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ropbox\MUSLIN PAJAMAS ALL IN FO\Stock\ของเข้าร้านใหญ่\12 ธันวาคม 66\22\2\"/>
    </mc:Choice>
  </mc:AlternateContent>
  <xr:revisionPtr revIDLastSave="0" documentId="13_ncr:1_{976A9FA4-A4EA-466C-9E49-02A95CDD4D3D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from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2" i="1" l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F7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1" i="1"/>
  <c r="S50" i="1"/>
  <c r="S49" i="1"/>
  <c r="S47" i="1"/>
  <c r="S34" i="1"/>
  <c r="F33" i="1"/>
  <c r="F34" i="1"/>
  <c r="F35" i="1"/>
  <c r="F36" i="1"/>
  <c r="F37" i="1"/>
  <c r="F38" i="1"/>
  <c r="F39" i="1"/>
  <c r="F40" i="1"/>
  <c r="F41" i="1"/>
  <c r="F42" i="1"/>
  <c r="D3" i="1"/>
  <c r="S3" i="1" s="1"/>
  <c r="E3" i="1"/>
  <c r="D4" i="1"/>
  <c r="F4" i="1" s="1"/>
  <c r="E4" i="1"/>
  <c r="D5" i="1"/>
  <c r="E5" i="1"/>
  <c r="D6" i="1"/>
  <c r="J6" i="1" s="1"/>
  <c r="E6" i="1"/>
  <c r="D7" i="1"/>
  <c r="J7" i="1" s="1"/>
  <c r="E7" i="1"/>
  <c r="A8" i="1"/>
  <c r="D8" i="1"/>
  <c r="F8" i="1" s="1"/>
  <c r="E8" i="1"/>
  <c r="D9" i="1"/>
  <c r="F9" i="1" s="1"/>
  <c r="E9" i="1"/>
  <c r="D10" i="1"/>
  <c r="E10" i="1"/>
  <c r="D11" i="1"/>
  <c r="J11" i="1" s="1"/>
  <c r="E11" i="1"/>
  <c r="D12" i="1"/>
  <c r="J12" i="1" s="1"/>
  <c r="E12" i="1"/>
  <c r="A13" i="1"/>
  <c r="D13" i="1"/>
  <c r="E13" i="1"/>
  <c r="D14" i="1"/>
  <c r="E14" i="1"/>
  <c r="D15" i="1"/>
  <c r="E15" i="1"/>
  <c r="D16" i="1"/>
  <c r="J16" i="1" s="1"/>
  <c r="E16" i="1"/>
  <c r="D17" i="1"/>
  <c r="J17" i="1" s="1"/>
  <c r="E17" i="1"/>
  <c r="A18" i="1"/>
  <c r="A23" i="1" s="1"/>
  <c r="A28" i="1" s="1"/>
  <c r="A33" i="1" s="1"/>
  <c r="A38" i="1" s="1"/>
  <c r="A43" i="1" s="1"/>
  <c r="A48" i="1" s="1"/>
  <c r="D18" i="1"/>
  <c r="E18" i="1"/>
  <c r="D19" i="1"/>
  <c r="E19" i="1"/>
  <c r="D20" i="1"/>
  <c r="E20" i="1"/>
  <c r="D21" i="1"/>
  <c r="J21" i="1" s="1"/>
  <c r="E21" i="1"/>
  <c r="D22" i="1"/>
  <c r="J22" i="1" s="1"/>
  <c r="E22" i="1"/>
  <c r="D23" i="1"/>
  <c r="E23" i="1"/>
  <c r="D24" i="1"/>
  <c r="E24" i="1"/>
  <c r="D25" i="1"/>
  <c r="E25" i="1"/>
  <c r="D26" i="1"/>
  <c r="J26" i="1" s="1"/>
  <c r="E26" i="1"/>
  <c r="D27" i="1"/>
  <c r="J27" i="1" s="1"/>
  <c r="E27" i="1"/>
  <c r="D28" i="1"/>
  <c r="E28" i="1"/>
  <c r="D29" i="1"/>
  <c r="E29" i="1"/>
  <c r="D30" i="1"/>
  <c r="E30" i="1"/>
  <c r="D31" i="1"/>
  <c r="J31" i="1" s="1"/>
  <c r="E31" i="1"/>
  <c r="D32" i="1"/>
  <c r="J32" i="1" s="1"/>
  <c r="E32" i="1"/>
  <c r="D33" i="1"/>
  <c r="J33" i="1" s="1"/>
  <c r="E33" i="1"/>
  <c r="D34" i="1"/>
  <c r="J34" i="1" s="1"/>
  <c r="E34" i="1"/>
  <c r="D35" i="1"/>
  <c r="S35" i="1" s="1"/>
  <c r="E35" i="1"/>
  <c r="D36" i="1"/>
  <c r="J36" i="1" s="1"/>
  <c r="E36" i="1"/>
  <c r="D37" i="1"/>
  <c r="S37" i="1" s="1"/>
  <c r="E37" i="1"/>
  <c r="D38" i="1"/>
  <c r="J38" i="1" s="1"/>
  <c r="E38" i="1"/>
  <c r="D39" i="1"/>
  <c r="S39" i="1" s="1"/>
  <c r="E39" i="1"/>
  <c r="D40" i="1"/>
  <c r="S40" i="1" s="1"/>
  <c r="E40" i="1"/>
  <c r="D41" i="1"/>
  <c r="J41" i="1" s="1"/>
  <c r="E41" i="1"/>
  <c r="D42" i="1"/>
  <c r="J42" i="1" s="1"/>
  <c r="E42" i="1"/>
  <c r="D43" i="1"/>
  <c r="J43" i="1" s="1"/>
  <c r="E43" i="1"/>
  <c r="D44" i="1"/>
  <c r="F44" i="1" s="1"/>
  <c r="E44" i="1"/>
  <c r="D45" i="1"/>
  <c r="F45" i="1" s="1"/>
  <c r="E45" i="1"/>
  <c r="D46" i="1"/>
  <c r="J46" i="1" s="1"/>
  <c r="E46" i="1"/>
  <c r="F46" i="1"/>
  <c r="D47" i="1"/>
  <c r="J47" i="1" s="1"/>
  <c r="E47" i="1"/>
  <c r="F47" i="1"/>
  <c r="D48" i="1"/>
  <c r="J48" i="1" s="1"/>
  <c r="E48" i="1"/>
  <c r="F48" i="1"/>
  <c r="D49" i="1"/>
  <c r="F49" i="1" s="1"/>
  <c r="E49" i="1"/>
  <c r="D50" i="1"/>
  <c r="F50" i="1" s="1"/>
  <c r="E50" i="1"/>
  <c r="D51" i="1"/>
  <c r="J51" i="1" s="1"/>
  <c r="E51" i="1"/>
  <c r="F51" i="1"/>
  <c r="D52" i="1"/>
  <c r="J52" i="1" s="1"/>
  <c r="E52" i="1"/>
  <c r="F52" i="1"/>
  <c r="F11" i="1" l="1"/>
  <c r="F3" i="1"/>
  <c r="S10" i="1"/>
  <c r="S9" i="1"/>
  <c r="S8" i="1"/>
  <c r="S7" i="1"/>
  <c r="S6" i="1"/>
  <c r="S5" i="1"/>
  <c r="S4" i="1"/>
  <c r="S11" i="1"/>
  <c r="S41" i="1"/>
  <c r="S42" i="1"/>
  <c r="J37" i="1"/>
  <c r="S36" i="1"/>
  <c r="S44" i="1"/>
  <c r="S52" i="1"/>
  <c r="S45" i="1"/>
  <c r="S38" i="1"/>
  <c r="S46" i="1"/>
  <c r="J35" i="1"/>
  <c r="S43" i="1"/>
  <c r="S48" i="1"/>
  <c r="J50" i="1"/>
  <c r="F43" i="1"/>
  <c r="J19" i="1"/>
  <c r="J18" i="1"/>
  <c r="J40" i="1"/>
  <c r="J10" i="1"/>
  <c r="J49" i="1"/>
  <c r="J25" i="1"/>
  <c r="J9" i="1"/>
  <c r="J24" i="1"/>
  <c r="J8" i="1"/>
  <c r="J39" i="1"/>
  <c r="J23" i="1"/>
  <c r="J15" i="1"/>
  <c r="J30" i="1"/>
  <c r="J14" i="1"/>
  <c r="J45" i="1"/>
  <c r="J29" i="1"/>
  <c r="J13" i="1"/>
  <c r="J5" i="1"/>
  <c r="J44" i="1"/>
  <c r="J28" i="1"/>
  <c r="J20" i="1"/>
  <c r="J4" i="1"/>
  <c r="V8" i="1" l="1"/>
  <c r="V9" i="1"/>
  <c r="V10" i="1"/>
  <c r="V11" i="1"/>
  <c r="V12" i="1"/>
  <c r="U12" i="1"/>
  <c r="U11" i="1"/>
  <c r="U10" i="1"/>
  <c r="U9" i="1"/>
  <c r="U8" i="1"/>
  <c r="N67" i="1"/>
  <c r="O67" i="1" s="1"/>
  <c r="N66" i="1"/>
  <c r="O66" i="1" s="1"/>
  <c r="N65" i="1"/>
  <c r="O65" i="1" s="1"/>
  <c r="N64" i="1"/>
  <c r="O64" i="1" s="1"/>
  <c r="N63" i="1"/>
  <c r="O63" i="1" s="1"/>
  <c r="N62" i="1"/>
  <c r="O62" i="1" s="1"/>
  <c r="N61" i="1"/>
  <c r="O61" i="1" s="1"/>
  <c r="N60" i="1"/>
  <c r="Q60" i="1" s="1"/>
  <c r="N59" i="1"/>
  <c r="O59" i="1" s="1"/>
  <c r="N58" i="1"/>
  <c r="O58" i="1" s="1"/>
  <c r="N57" i="1"/>
  <c r="O57" i="1" s="1"/>
  <c r="N56" i="1"/>
  <c r="O56" i="1" s="1"/>
  <c r="N55" i="1"/>
  <c r="O55" i="1" s="1"/>
  <c r="N54" i="1"/>
  <c r="O54" i="1" s="1"/>
  <c r="N53" i="1"/>
  <c r="O53" i="1" s="1"/>
  <c r="N52" i="1"/>
  <c r="Q52" i="1" s="1"/>
  <c r="N51" i="1"/>
  <c r="O51" i="1" s="1"/>
  <c r="N50" i="1"/>
  <c r="O50" i="1" s="1"/>
  <c r="N49" i="1"/>
  <c r="O49" i="1" s="1"/>
  <c r="N48" i="1"/>
  <c r="O48" i="1" s="1"/>
  <c r="N47" i="1"/>
  <c r="Q47" i="1" s="1"/>
  <c r="N46" i="1"/>
  <c r="O46" i="1" s="1"/>
  <c r="N45" i="1"/>
  <c r="O45" i="1" s="1"/>
  <c r="N44" i="1"/>
  <c r="Q44" i="1" s="1"/>
  <c r="N43" i="1"/>
  <c r="O43" i="1" s="1"/>
  <c r="N42" i="1"/>
  <c r="O42" i="1" s="1"/>
  <c r="N41" i="1"/>
  <c r="O41" i="1" s="1"/>
  <c r="N40" i="1"/>
  <c r="O40" i="1" s="1"/>
  <c r="N39" i="1"/>
  <c r="O39" i="1" s="1"/>
  <c r="N38" i="1"/>
  <c r="O38" i="1" s="1"/>
  <c r="N37" i="1"/>
  <c r="O37" i="1" s="1"/>
  <c r="N36" i="1"/>
  <c r="O36" i="1" s="1"/>
  <c r="N35" i="1"/>
  <c r="O35" i="1" s="1"/>
  <c r="N34" i="1"/>
  <c r="O34" i="1" s="1"/>
  <c r="N33" i="1"/>
  <c r="Q33" i="1" s="1"/>
  <c r="N32" i="1"/>
  <c r="O32" i="1" s="1"/>
  <c r="N31" i="1"/>
  <c r="O31" i="1" s="1"/>
  <c r="N30" i="1"/>
  <c r="O30" i="1" s="1"/>
  <c r="N29" i="1"/>
  <c r="O29" i="1" s="1"/>
  <c r="N28" i="1"/>
  <c r="O28" i="1" s="1"/>
  <c r="N27" i="1"/>
  <c r="O27" i="1" s="1"/>
  <c r="N26" i="1"/>
  <c r="O26" i="1" s="1"/>
  <c r="N25" i="1"/>
  <c r="Q25" i="1" s="1"/>
  <c r="N24" i="1"/>
  <c r="O24" i="1" s="1"/>
  <c r="N23" i="1"/>
  <c r="Q23" i="1" s="1"/>
  <c r="N22" i="1"/>
  <c r="O22" i="1" s="1"/>
  <c r="N21" i="1"/>
  <c r="O21" i="1" s="1"/>
  <c r="N20" i="1"/>
  <c r="O20" i="1" s="1"/>
  <c r="N19" i="1"/>
  <c r="O19" i="1" s="1"/>
  <c r="N18" i="1"/>
  <c r="Q18" i="1" s="1"/>
  <c r="N17" i="1"/>
  <c r="O17" i="1" s="1"/>
  <c r="N16" i="1"/>
  <c r="O16" i="1" s="1"/>
  <c r="N15" i="1"/>
  <c r="Q15" i="1" s="1"/>
  <c r="N14" i="1"/>
  <c r="O14" i="1" s="1"/>
  <c r="N13" i="1"/>
  <c r="O13" i="1" s="1"/>
  <c r="N12" i="1"/>
  <c r="O12" i="1" s="1"/>
  <c r="N11" i="1"/>
  <c r="Q11" i="1" s="1"/>
  <c r="N10" i="1"/>
  <c r="Q10" i="1" s="1"/>
  <c r="N9" i="1"/>
  <c r="O9" i="1" s="1"/>
  <c r="N8" i="1"/>
  <c r="O8" i="1" s="1"/>
  <c r="N7" i="1"/>
  <c r="Q7" i="1" s="1"/>
  <c r="N6" i="1"/>
  <c r="O6" i="1" s="1"/>
  <c r="N5" i="1"/>
  <c r="O5" i="1" s="1"/>
  <c r="N4" i="1"/>
  <c r="O4" i="1" s="1"/>
  <c r="N3" i="1"/>
  <c r="O3" i="1" s="1"/>
  <c r="A53" i="1"/>
  <c r="A58" i="1" s="1"/>
  <c r="A63" i="1" s="1"/>
  <c r="A68" i="1" s="1"/>
  <c r="A73" i="1" s="1"/>
  <c r="A78" i="1" s="1"/>
  <c r="A83" i="1" s="1"/>
  <c r="A88" i="1" s="1"/>
  <c r="A93" i="1" s="1"/>
  <c r="A98" i="1" s="1"/>
  <c r="A103" i="1" s="1"/>
  <c r="A108" i="1" s="1"/>
  <c r="A113" i="1" s="1"/>
  <c r="A118" i="1" s="1"/>
  <c r="A123" i="1" s="1"/>
  <c r="A128" i="1" s="1"/>
  <c r="A133" i="1" s="1"/>
  <c r="A138" i="1" s="1"/>
  <c r="A143" i="1" s="1"/>
  <c r="A148" i="1" s="1"/>
  <c r="A153" i="1" s="1"/>
  <c r="A158" i="1" s="1"/>
  <c r="A163" i="1" s="1"/>
  <c r="A168" i="1" s="1"/>
  <c r="A173" i="1" s="1"/>
  <c r="A178" i="1" s="1"/>
  <c r="A183" i="1" s="1"/>
  <c r="Q41" i="1"/>
  <c r="D53" i="1"/>
  <c r="E53" i="1"/>
  <c r="D54" i="1"/>
  <c r="E54" i="1"/>
  <c r="F54" i="1"/>
  <c r="D55" i="1"/>
  <c r="E55" i="1"/>
  <c r="F55" i="1"/>
  <c r="D56" i="1"/>
  <c r="J56" i="1" s="1"/>
  <c r="E56" i="1"/>
  <c r="F56" i="1"/>
  <c r="D57" i="1"/>
  <c r="J57" i="1" s="1"/>
  <c r="E57" i="1"/>
  <c r="F57" i="1"/>
  <c r="D58" i="1"/>
  <c r="J58" i="1" s="1"/>
  <c r="E58" i="1"/>
  <c r="D59" i="1"/>
  <c r="J59" i="1" s="1"/>
  <c r="E59" i="1"/>
  <c r="F59" i="1"/>
  <c r="D60" i="1"/>
  <c r="J60" i="1" s="1"/>
  <c r="E60" i="1"/>
  <c r="F60" i="1"/>
  <c r="D61" i="1"/>
  <c r="J61" i="1" s="1"/>
  <c r="E61" i="1"/>
  <c r="F61" i="1"/>
  <c r="D62" i="1"/>
  <c r="J62" i="1" s="1"/>
  <c r="E62" i="1"/>
  <c r="F62" i="1"/>
  <c r="D63" i="1"/>
  <c r="J63" i="1" s="1"/>
  <c r="E63" i="1"/>
  <c r="F63" i="1"/>
  <c r="D64" i="1"/>
  <c r="J64" i="1" s="1"/>
  <c r="E64" i="1"/>
  <c r="F64" i="1"/>
  <c r="D65" i="1"/>
  <c r="J65" i="1" s="1"/>
  <c r="E65" i="1"/>
  <c r="F65" i="1"/>
  <c r="D66" i="1"/>
  <c r="J66" i="1" s="1"/>
  <c r="E66" i="1"/>
  <c r="F66" i="1"/>
  <c r="D67" i="1"/>
  <c r="J67" i="1" s="1"/>
  <c r="E67" i="1"/>
  <c r="F67" i="1"/>
  <c r="D68" i="1"/>
  <c r="J68" i="1" s="1"/>
  <c r="E68" i="1"/>
  <c r="N68" i="1"/>
  <c r="Q68" i="1" s="1"/>
  <c r="D69" i="1"/>
  <c r="J69" i="1" s="1"/>
  <c r="E69" i="1"/>
  <c r="F69" i="1"/>
  <c r="N69" i="1"/>
  <c r="D70" i="1"/>
  <c r="J70" i="1" s="1"/>
  <c r="E70" i="1"/>
  <c r="F70" i="1"/>
  <c r="N70" i="1"/>
  <c r="Q70" i="1" s="1"/>
  <c r="D71" i="1"/>
  <c r="J71" i="1" s="1"/>
  <c r="E71" i="1"/>
  <c r="F71" i="1"/>
  <c r="N71" i="1"/>
  <c r="Q71" i="1" s="1"/>
  <c r="D72" i="1"/>
  <c r="J72" i="1" s="1"/>
  <c r="E72" i="1"/>
  <c r="F72" i="1"/>
  <c r="N72" i="1"/>
  <c r="O72" i="1" s="1"/>
  <c r="D73" i="1"/>
  <c r="J73" i="1" s="1"/>
  <c r="E73" i="1"/>
  <c r="N73" i="1"/>
  <c r="O73" i="1" s="1"/>
  <c r="D74" i="1"/>
  <c r="J74" i="1" s="1"/>
  <c r="E74" i="1"/>
  <c r="F74" i="1"/>
  <c r="N74" i="1"/>
  <c r="Q74" i="1" s="1"/>
  <c r="D75" i="1"/>
  <c r="J75" i="1" s="1"/>
  <c r="E75" i="1"/>
  <c r="F75" i="1"/>
  <c r="N75" i="1"/>
  <c r="O75" i="1" s="1"/>
  <c r="D76" i="1"/>
  <c r="J76" i="1" s="1"/>
  <c r="E76" i="1"/>
  <c r="F76" i="1"/>
  <c r="N76" i="1"/>
  <c r="D77" i="1"/>
  <c r="J77" i="1" s="1"/>
  <c r="E77" i="1"/>
  <c r="F77" i="1"/>
  <c r="N77" i="1"/>
  <c r="Q77" i="1" s="1"/>
  <c r="D78" i="1"/>
  <c r="J78" i="1" s="1"/>
  <c r="E78" i="1"/>
  <c r="N78" i="1"/>
  <c r="Q78" i="1" s="1"/>
  <c r="D79" i="1"/>
  <c r="J79" i="1" s="1"/>
  <c r="E79" i="1"/>
  <c r="F79" i="1"/>
  <c r="N79" i="1"/>
  <c r="D80" i="1"/>
  <c r="J80" i="1" s="1"/>
  <c r="E80" i="1"/>
  <c r="F80" i="1"/>
  <c r="N80" i="1"/>
  <c r="Q80" i="1" s="1"/>
  <c r="D81" i="1"/>
  <c r="J81" i="1" s="1"/>
  <c r="E81" i="1"/>
  <c r="F81" i="1"/>
  <c r="N81" i="1"/>
  <c r="O81" i="1" s="1"/>
  <c r="D82" i="1"/>
  <c r="J82" i="1" s="1"/>
  <c r="E82" i="1"/>
  <c r="F82" i="1"/>
  <c r="N82" i="1"/>
  <c r="O82" i="1" s="1"/>
  <c r="D83" i="1"/>
  <c r="J83" i="1" s="1"/>
  <c r="E83" i="1"/>
  <c r="F83" i="1"/>
  <c r="N83" i="1"/>
  <c r="O83" i="1" s="1"/>
  <c r="D84" i="1"/>
  <c r="J84" i="1" s="1"/>
  <c r="E84" i="1"/>
  <c r="F84" i="1"/>
  <c r="N84" i="1"/>
  <c r="Q84" i="1" s="1"/>
  <c r="D85" i="1"/>
  <c r="J85" i="1" s="1"/>
  <c r="E85" i="1"/>
  <c r="F85" i="1"/>
  <c r="N85" i="1"/>
  <c r="O85" i="1" s="1"/>
  <c r="D86" i="1"/>
  <c r="J86" i="1" s="1"/>
  <c r="E86" i="1"/>
  <c r="F86" i="1"/>
  <c r="N86" i="1"/>
  <c r="D87" i="1"/>
  <c r="J87" i="1" s="1"/>
  <c r="E87" i="1"/>
  <c r="F87" i="1"/>
  <c r="N87" i="1"/>
  <c r="Q87" i="1" s="1"/>
  <c r="D88" i="1"/>
  <c r="J88" i="1" s="1"/>
  <c r="E88" i="1"/>
  <c r="N88" i="1"/>
  <c r="Q88" i="1" s="1"/>
  <c r="D89" i="1"/>
  <c r="J89" i="1" s="1"/>
  <c r="E89" i="1"/>
  <c r="F89" i="1"/>
  <c r="N89" i="1"/>
  <c r="D90" i="1"/>
  <c r="J90" i="1" s="1"/>
  <c r="E90" i="1"/>
  <c r="F90" i="1"/>
  <c r="N90" i="1"/>
  <c r="Q90" i="1" s="1"/>
  <c r="D91" i="1"/>
  <c r="J91" i="1" s="1"/>
  <c r="E91" i="1"/>
  <c r="F91" i="1"/>
  <c r="N91" i="1"/>
  <c r="O91" i="1" s="1"/>
  <c r="D92" i="1"/>
  <c r="J92" i="1" s="1"/>
  <c r="E92" i="1"/>
  <c r="F92" i="1"/>
  <c r="N92" i="1"/>
  <c r="O92" i="1" s="1"/>
  <c r="D93" i="1"/>
  <c r="J93" i="1" s="1"/>
  <c r="E93" i="1"/>
  <c r="F93" i="1"/>
  <c r="N93" i="1"/>
  <c r="O93" i="1" s="1"/>
  <c r="D94" i="1"/>
  <c r="J94" i="1" s="1"/>
  <c r="E94" i="1"/>
  <c r="F94" i="1"/>
  <c r="N94" i="1"/>
  <c r="O94" i="1" s="1"/>
  <c r="D95" i="1"/>
  <c r="J95" i="1" s="1"/>
  <c r="E95" i="1"/>
  <c r="F95" i="1"/>
  <c r="N95" i="1"/>
  <c r="O95" i="1" s="1"/>
  <c r="D96" i="1"/>
  <c r="J96" i="1" s="1"/>
  <c r="E96" i="1"/>
  <c r="F96" i="1"/>
  <c r="N96" i="1"/>
  <c r="Q96" i="1" s="1"/>
  <c r="D97" i="1"/>
  <c r="J97" i="1" s="1"/>
  <c r="E97" i="1"/>
  <c r="F97" i="1"/>
  <c r="N97" i="1"/>
  <c r="O97" i="1" s="1"/>
  <c r="D98" i="1"/>
  <c r="J98" i="1" s="1"/>
  <c r="E98" i="1"/>
  <c r="N98" i="1"/>
  <c r="Q98" i="1" s="1"/>
  <c r="D99" i="1"/>
  <c r="J99" i="1" s="1"/>
  <c r="E99" i="1"/>
  <c r="F99" i="1"/>
  <c r="N99" i="1"/>
  <c r="Q99" i="1" s="1"/>
  <c r="D100" i="1"/>
  <c r="J100" i="1" s="1"/>
  <c r="E100" i="1"/>
  <c r="F100" i="1"/>
  <c r="N100" i="1"/>
  <c r="Q100" i="1" s="1"/>
  <c r="D101" i="1"/>
  <c r="J101" i="1" s="1"/>
  <c r="E101" i="1"/>
  <c r="F101" i="1"/>
  <c r="N101" i="1"/>
  <c r="Q101" i="1" s="1"/>
  <c r="D102" i="1"/>
  <c r="J102" i="1" s="1"/>
  <c r="E102" i="1"/>
  <c r="F102" i="1"/>
  <c r="N102" i="1"/>
  <c r="O102" i="1" s="1"/>
  <c r="D103" i="1"/>
  <c r="J103" i="1" s="1"/>
  <c r="E103" i="1"/>
  <c r="F103" i="1"/>
  <c r="N103" i="1"/>
  <c r="O103" i="1" s="1"/>
  <c r="D104" i="1"/>
  <c r="J104" i="1" s="1"/>
  <c r="E104" i="1"/>
  <c r="F104" i="1"/>
  <c r="N104" i="1"/>
  <c r="O104" i="1" s="1"/>
  <c r="D105" i="1"/>
  <c r="J105" i="1" s="1"/>
  <c r="E105" i="1"/>
  <c r="F105" i="1"/>
  <c r="N105" i="1"/>
  <c r="O105" i="1" s="1"/>
  <c r="D106" i="1"/>
  <c r="J106" i="1" s="1"/>
  <c r="E106" i="1"/>
  <c r="F106" i="1"/>
  <c r="N106" i="1"/>
  <c r="D107" i="1"/>
  <c r="J107" i="1" s="1"/>
  <c r="E107" i="1"/>
  <c r="F107" i="1"/>
  <c r="N107" i="1"/>
  <c r="Q107" i="1" s="1"/>
  <c r="D108" i="1"/>
  <c r="J108" i="1" s="1"/>
  <c r="E108" i="1"/>
  <c r="N108" i="1"/>
  <c r="Q108" i="1" s="1"/>
  <c r="D109" i="1"/>
  <c r="J109" i="1" s="1"/>
  <c r="E109" i="1"/>
  <c r="F109" i="1"/>
  <c r="N109" i="1"/>
  <c r="D110" i="1"/>
  <c r="J110" i="1" s="1"/>
  <c r="E110" i="1"/>
  <c r="F110" i="1"/>
  <c r="N110" i="1"/>
  <c r="Q110" i="1" s="1"/>
  <c r="D111" i="1"/>
  <c r="J111" i="1" s="1"/>
  <c r="E111" i="1"/>
  <c r="F111" i="1"/>
  <c r="N111" i="1"/>
  <c r="O111" i="1" s="1"/>
  <c r="D112" i="1"/>
  <c r="J112" i="1" s="1"/>
  <c r="E112" i="1"/>
  <c r="F112" i="1"/>
  <c r="N112" i="1"/>
  <c r="O112" i="1" s="1"/>
  <c r="D113" i="1"/>
  <c r="J113" i="1" s="1"/>
  <c r="E113" i="1"/>
  <c r="N113" i="1"/>
  <c r="O113" i="1" s="1"/>
  <c r="D114" i="1"/>
  <c r="J114" i="1" s="1"/>
  <c r="E114" i="1"/>
  <c r="F114" i="1"/>
  <c r="N114" i="1"/>
  <c r="Q114" i="1" s="1"/>
  <c r="D115" i="1"/>
  <c r="J115" i="1" s="1"/>
  <c r="E115" i="1"/>
  <c r="F115" i="1"/>
  <c r="N115" i="1"/>
  <c r="D116" i="1"/>
  <c r="J116" i="1" s="1"/>
  <c r="E116" i="1"/>
  <c r="F116" i="1"/>
  <c r="N116" i="1"/>
  <c r="Q116" i="1" s="1"/>
  <c r="D117" i="1"/>
  <c r="J117" i="1" s="1"/>
  <c r="E117" i="1"/>
  <c r="F117" i="1"/>
  <c r="N117" i="1"/>
  <c r="Q117" i="1" s="1"/>
  <c r="D118" i="1"/>
  <c r="J118" i="1" s="1"/>
  <c r="E118" i="1"/>
  <c r="N118" i="1"/>
  <c r="Q118" i="1" s="1"/>
  <c r="D119" i="1"/>
  <c r="J119" i="1" s="1"/>
  <c r="E119" i="1"/>
  <c r="F119" i="1"/>
  <c r="N119" i="1"/>
  <c r="Q119" i="1" s="1"/>
  <c r="D120" i="1"/>
  <c r="J120" i="1" s="1"/>
  <c r="E120" i="1"/>
  <c r="F120" i="1"/>
  <c r="N120" i="1"/>
  <c r="O120" i="1" s="1"/>
  <c r="D121" i="1"/>
  <c r="J121" i="1" s="1"/>
  <c r="E121" i="1"/>
  <c r="F121" i="1"/>
  <c r="N121" i="1"/>
  <c r="O121" i="1" s="1"/>
  <c r="D122" i="1"/>
  <c r="J122" i="1" s="1"/>
  <c r="E122" i="1"/>
  <c r="F122" i="1"/>
  <c r="N122" i="1"/>
  <c r="O122" i="1" s="1"/>
  <c r="D123" i="1"/>
  <c r="J123" i="1" s="1"/>
  <c r="E123" i="1"/>
  <c r="N123" i="1"/>
  <c r="O123" i="1" s="1"/>
  <c r="D124" i="1"/>
  <c r="J124" i="1" s="1"/>
  <c r="E124" i="1"/>
  <c r="F124" i="1"/>
  <c r="N124" i="1"/>
  <c r="O124" i="1" s="1"/>
  <c r="D125" i="1"/>
  <c r="J125" i="1" s="1"/>
  <c r="E125" i="1"/>
  <c r="F125" i="1"/>
  <c r="N125" i="1"/>
  <c r="O125" i="1" s="1"/>
  <c r="D126" i="1"/>
  <c r="J126" i="1" s="1"/>
  <c r="E126" i="1"/>
  <c r="F126" i="1"/>
  <c r="N126" i="1"/>
  <c r="D127" i="1"/>
  <c r="J127" i="1" s="1"/>
  <c r="E127" i="1"/>
  <c r="F127" i="1"/>
  <c r="N127" i="1"/>
  <c r="Q127" i="1" s="1"/>
  <c r="D128" i="1"/>
  <c r="J128" i="1" s="1"/>
  <c r="E128" i="1"/>
  <c r="N128" i="1"/>
  <c r="Q128" i="1" s="1"/>
  <c r="D129" i="1"/>
  <c r="J129" i="1" s="1"/>
  <c r="E129" i="1"/>
  <c r="F129" i="1"/>
  <c r="N129" i="1"/>
  <c r="Q129" i="1" s="1"/>
  <c r="D130" i="1"/>
  <c r="J130" i="1" s="1"/>
  <c r="E130" i="1"/>
  <c r="F130" i="1"/>
  <c r="N130" i="1"/>
  <c r="D131" i="1"/>
  <c r="J131" i="1" s="1"/>
  <c r="E131" i="1"/>
  <c r="F131" i="1"/>
  <c r="N131" i="1"/>
  <c r="O131" i="1" s="1"/>
  <c r="D132" i="1"/>
  <c r="J132" i="1" s="1"/>
  <c r="E132" i="1"/>
  <c r="F132" i="1"/>
  <c r="N132" i="1"/>
  <c r="O132" i="1" s="1"/>
  <c r="D133" i="1"/>
  <c r="J133" i="1" s="1"/>
  <c r="E133" i="1"/>
  <c r="N133" i="1"/>
  <c r="O133" i="1" s="1"/>
  <c r="D134" i="1"/>
  <c r="J134" i="1" s="1"/>
  <c r="E134" i="1"/>
  <c r="F134" i="1"/>
  <c r="N134" i="1"/>
  <c r="O134" i="1" s="1"/>
  <c r="D135" i="1"/>
  <c r="J135" i="1" s="1"/>
  <c r="E135" i="1"/>
  <c r="F135" i="1"/>
  <c r="N135" i="1"/>
  <c r="O135" i="1" s="1"/>
  <c r="D136" i="1"/>
  <c r="J136" i="1" s="1"/>
  <c r="E136" i="1"/>
  <c r="F136" i="1"/>
  <c r="N136" i="1"/>
  <c r="Q136" i="1" s="1"/>
  <c r="D137" i="1"/>
  <c r="J137" i="1" s="1"/>
  <c r="E137" i="1"/>
  <c r="F137" i="1"/>
  <c r="N137" i="1"/>
  <c r="Q137" i="1" s="1"/>
  <c r="D138" i="1"/>
  <c r="J138" i="1" s="1"/>
  <c r="E138" i="1"/>
  <c r="N138" i="1"/>
  <c r="Q138" i="1" s="1"/>
  <c r="D139" i="1"/>
  <c r="J139" i="1" s="1"/>
  <c r="E139" i="1"/>
  <c r="F139" i="1"/>
  <c r="N139" i="1"/>
  <c r="Q139" i="1" s="1"/>
  <c r="D140" i="1"/>
  <c r="J140" i="1" s="1"/>
  <c r="E140" i="1"/>
  <c r="F140" i="1"/>
  <c r="N140" i="1"/>
  <c r="Q140" i="1" s="1"/>
  <c r="D141" i="1"/>
  <c r="J141" i="1" s="1"/>
  <c r="E141" i="1"/>
  <c r="F141" i="1"/>
  <c r="N141" i="1"/>
  <c r="O141" i="1" s="1"/>
  <c r="Q141" i="1"/>
  <c r="D142" i="1"/>
  <c r="J142" i="1" s="1"/>
  <c r="E142" i="1"/>
  <c r="F142" i="1"/>
  <c r="N142" i="1"/>
  <c r="D143" i="1"/>
  <c r="J143" i="1" s="1"/>
  <c r="E143" i="1"/>
  <c r="N143" i="1"/>
  <c r="O143" i="1" s="1"/>
  <c r="D144" i="1"/>
  <c r="J144" i="1" s="1"/>
  <c r="E144" i="1"/>
  <c r="F144" i="1"/>
  <c r="N144" i="1"/>
  <c r="Q144" i="1" s="1"/>
  <c r="D145" i="1"/>
  <c r="J145" i="1" s="1"/>
  <c r="E145" i="1"/>
  <c r="F145" i="1"/>
  <c r="N145" i="1"/>
  <c r="O145" i="1" s="1"/>
  <c r="D146" i="1"/>
  <c r="J146" i="1" s="1"/>
  <c r="E146" i="1"/>
  <c r="F146" i="1"/>
  <c r="N146" i="1"/>
  <c r="Q146" i="1" s="1"/>
  <c r="D147" i="1"/>
  <c r="J147" i="1" s="1"/>
  <c r="E147" i="1"/>
  <c r="F147" i="1"/>
  <c r="N147" i="1"/>
  <c r="O147" i="1" s="1"/>
  <c r="D148" i="1"/>
  <c r="J148" i="1" s="1"/>
  <c r="E148" i="1"/>
  <c r="F148" i="1"/>
  <c r="N148" i="1"/>
  <c r="Q148" i="1" s="1"/>
  <c r="D149" i="1"/>
  <c r="J149" i="1" s="1"/>
  <c r="E149" i="1"/>
  <c r="F149" i="1"/>
  <c r="N149" i="1"/>
  <c r="Q149" i="1" s="1"/>
  <c r="D150" i="1"/>
  <c r="J150" i="1" s="1"/>
  <c r="E150" i="1"/>
  <c r="F150" i="1"/>
  <c r="N150" i="1"/>
  <c r="O150" i="1" s="1"/>
  <c r="D151" i="1"/>
  <c r="J151" i="1" s="1"/>
  <c r="E151" i="1"/>
  <c r="F151" i="1"/>
  <c r="N151" i="1"/>
  <c r="O151" i="1" s="1"/>
  <c r="D152" i="1"/>
  <c r="J152" i="1" s="1"/>
  <c r="E152" i="1"/>
  <c r="F152" i="1"/>
  <c r="N152" i="1"/>
  <c r="O152" i="1" s="1"/>
  <c r="D153" i="1"/>
  <c r="J153" i="1" s="1"/>
  <c r="E153" i="1"/>
  <c r="N153" i="1"/>
  <c r="O153" i="1" s="1"/>
  <c r="D154" i="1"/>
  <c r="J154" i="1" s="1"/>
  <c r="E154" i="1"/>
  <c r="F154" i="1"/>
  <c r="N154" i="1"/>
  <c r="O154" i="1" s="1"/>
  <c r="D155" i="1"/>
  <c r="J155" i="1" s="1"/>
  <c r="E155" i="1"/>
  <c r="F155" i="1"/>
  <c r="N155" i="1"/>
  <c r="D156" i="1"/>
  <c r="J156" i="1" s="1"/>
  <c r="E156" i="1"/>
  <c r="F156" i="1"/>
  <c r="N156" i="1"/>
  <c r="Q156" i="1" s="1"/>
  <c r="D157" i="1"/>
  <c r="J157" i="1" s="1"/>
  <c r="E157" i="1"/>
  <c r="F157" i="1"/>
  <c r="N157" i="1"/>
  <c r="Q157" i="1" s="1"/>
  <c r="D158" i="1"/>
  <c r="J158" i="1" s="1"/>
  <c r="E158" i="1"/>
  <c r="F158" i="1"/>
  <c r="N158" i="1"/>
  <c r="Q158" i="1" s="1"/>
  <c r="D159" i="1"/>
  <c r="J159" i="1" s="1"/>
  <c r="E159" i="1"/>
  <c r="F159" i="1"/>
  <c r="N159" i="1"/>
  <c r="Q159" i="1" s="1"/>
  <c r="D160" i="1"/>
  <c r="J160" i="1" s="1"/>
  <c r="E160" i="1"/>
  <c r="F160" i="1"/>
  <c r="N160" i="1"/>
  <c r="Q160" i="1" s="1"/>
  <c r="D161" i="1"/>
  <c r="J161" i="1" s="1"/>
  <c r="E161" i="1"/>
  <c r="F161" i="1"/>
  <c r="N161" i="1"/>
  <c r="Q161" i="1" s="1"/>
  <c r="D162" i="1"/>
  <c r="J162" i="1" s="1"/>
  <c r="E162" i="1"/>
  <c r="F162" i="1"/>
  <c r="N162" i="1"/>
  <c r="O162" i="1" s="1"/>
  <c r="D163" i="1"/>
  <c r="J163" i="1" s="1"/>
  <c r="E163" i="1"/>
  <c r="F163" i="1"/>
  <c r="N163" i="1"/>
  <c r="O163" i="1" s="1"/>
  <c r="D164" i="1"/>
  <c r="J164" i="1" s="1"/>
  <c r="E164" i="1"/>
  <c r="F164" i="1"/>
  <c r="N164" i="1"/>
  <c r="Q164" i="1" s="1"/>
  <c r="D165" i="1"/>
  <c r="J165" i="1" s="1"/>
  <c r="E165" i="1"/>
  <c r="F165" i="1"/>
  <c r="N165" i="1"/>
  <c r="O165" i="1" s="1"/>
  <c r="D166" i="1"/>
  <c r="J166" i="1" s="1"/>
  <c r="E166" i="1"/>
  <c r="F166" i="1"/>
  <c r="N166" i="1"/>
  <c r="D167" i="1"/>
  <c r="J167" i="1" s="1"/>
  <c r="E167" i="1"/>
  <c r="F167" i="1"/>
  <c r="N167" i="1"/>
  <c r="Q167" i="1" s="1"/>
  <c r="D168" i="1"/>
  <c r="J168" i="1" s="1"/>
  <c r="E168" i="1"/>
  <c r="F168" i="1"/>
  <c r="N168" i="1"/>
  <c r="Q168" i="1" s="1"/>
  <c r="D169" i="1"/>
  <c r="J169" i="1" s="1"/>
  <c r="E169" i="1"/>
  <c r="F169" i="1"/>
  <c r="N169" i="1"/>
  <c r="Q169" i="1" s="1"/>
  <c r="D170" i="1"/>
  <c r="J170" i="1" s="1"/>
  <c r="E170" i="1"/>
  <c r="F170" i="1"/>
  <c r="N170" i="1"/>
  <c r="D171" i="1"/>
  <c r="J171" i="1" s="1"/>
  <c r="E171" i="1"/>
  <c r="F171" i="1"/>
  <c r="N171" i="1"/>
  <c r="Q171" i="1" s="1"/>
  <c r="D172" i="1"/>
  <c r="J172" i="1" s="1"/>
  <c r="E172" i="1"/>
  <c r="F172" i="1"/>
  <c r="N172" i="1"/>
  <c r="O172" i="1" s="1"/>
  <c r="D173" i="1"/>
  <c r="J173" i="1" s="1"/>
  <c r="E173" i="1"/>
  <c r="F173" i="1"/>
  <c r="N173" i="1"/>
  <c r="Q173" i="1" s="1"/>
  <c r="D174" i="1"/>
  <c r="J174" i="1" s="1"/>
  <c r="E174" i="1"/>
  <c r="F174" i="1"/>
  <c r="N174" i="1"/>
  <c r="Q174" i="1" s="1"/>
  <c r="D175" i="1"/>
  <c r="J175" i="1" s="1"/>
  <c r="E175" i="1"/>
  <c r="F175" i="1"/>
  <c r="N175" i="1"/>
  <c r="O175" i="1" s="1"/>
  <c r="D176" i="1"/>
  <c r="J176" i="1" s="1"/>
  <c r="E176" i="1"/>
  <c r="F176" i="1"/>
  <c r="N176" i="1"/>
  <c r="O176" i="1" s="1"/>
  <c r="D177" i="1"/>
  <c r="J177" i="1" s="1"/>
  <c r="E177" i="1"/>
  <c r="F177" i="1"/>
  <c r="N177" i="1"/>
  <c r="O177" i="1" s="1"/>
  <c r="D178" i="1"/>
  <c r="J178" i="1" s="1"/>
  <c r="E178" i="1"/>
  <c r="F178" i="1"/>
  <c r="N178" i="1"/>
  <c r="O178" i="1" s="1"/>
  <c r="D179" i="1"/>
  <c r="J179" i="1" s="1"/>
  <c r="E179" i="1"/>
  <c r="F179" i="1"/>
  <c r="N179" i="1"/>
  <c r="O179" i="1" s="1"/>
  <c r="D180" i="1"/>
  <c r="J180" i="1" s="1"/>
  <c r="E180" i="1"/>
  <c r="F180" i="1"/>
  <c r="N180" i="1"/>
  <c r="O180" i="1" s="1"/>
  <c r="D181" i="1"/>
  <c r="J181" i="1" s="1"/>
  <c r="E181" i="1"/>
  <c r="F181" i="1"/>
  <c r="N181" i="1"/>
  <c r="Q181" i="1" s="1"/>
  <c r="D182" i="1"/>
  <c r="J182" i="1" s="1"/>
  <c r="E182" i="1"/>
  <c r="F182" i="1"/>
  <c r="N182" i="1"/>
  <c r="O182" i="1" s="1"/>
  <c r="D183" i="1"/>
  <c r="J183" i="1" s="1"/>
  <c r="E183" i="1"/>
  <c r="F183" i="1"/>
  <c r="N183" i="1"/>
  <c r="Q183" i="1" s="1"/>
  <c r="D184" i="1"/>
  <c r="J184" i="1" s="1"/>
  <c r="E184" i="1"/>
  <c r="F184" i="1"/>
  <c r="N184" i="1"/>
  <c r="Q184" i="1" s="1"/>
  <c r="D185" i="1"/>
  <c r="J185" i="1" s="1"/>
  <c r="E185" i="1"/>
  <c r="F185" i="1"/>
  <c r="N185" i="1"/>
  <c r="O185" i="1" s="1"/>
  <c r="D186" i="1"/>
  <c r="J186" i="1" s="1"/>
  <c r="E186" i="1"/>
  <c r="F186" i="1"/>
  <c r="N186" i="1"/>
  <c r="O186" i="1" s="1"/>
  <c r="D187" i="1"/>
  <c r="J187" i="1" s="1"/>
  <c r="F187" i="1"/>
  <c r="N187" i="1"/>
  <c r="Q187" i="1" s="1"/>
  <c r="J54" i="1" l="1"/>
  <c r="S54" i="1"/>
  <c r="J53" i="1"/>
  <c r="S53" i="1"/>
  <c r="J55" i="1"/>
  <c r="S55" i="1"/>
  <c r="F133" i="1"/>
  <c r="F73" i="1"/>
  <c r="F113" i="1"/>
  <c r="F123" i="1"/>
  <c r="F138" i="1"/>
  <c r="F128" i="1"/>
  <c r="F118" i="1"/>
  <c r="F108" i="1"/>
  <c r="F98" i="1"/>
  <c r="F88" i="1"/>
  <c r="F78" i="1"/>
  <c r="F68" i="1"/>
  <c r="F153" i="1"/>
  <c r="F143" i="1"/>
  <c r="F53" i="1"/>
  <c r="F58" i="1"/>
  <c r="Q103" i="1"/>
  <c r="Q67" i="1"/>
  <c r="O183" i="1"/>
  <c r="Q48" i="1"/>
  <c r="Q43" i="1"/>
  <c r="O161" i="1"/>
  <c r="Q113" i="1"/>
  <c r="Q62" i="1"/>
  <c r="O173" i="1"/>
  <c r="O148" i="1"/>
  <c r="O84" i="1"/>
  <c r="O157" i="1"/>
  <c r="O140" i="1"/>
  <c r="Q35" i="1"/>
  <c r="O164" i="1"/>
  <c r="Q91" i="1"/>
  <c r="Q17" i="1"/>
  <c r="Q64" i="1"/>
  <c r="Q153" i="1"/>
  <c r="O144" i="1"/>
  <c r="Q104" i="1"/>
  <c r="Q85" i="1"/>
  <c r="Q51" i="1"/>
  <c r="Q176" i="1"/>
  <c r="O169" i="1"/>
  <c r="O127" i="1"/>
  <c r="Q32" i="1"/>
  <c r="O167" i="1"/>
  <c r="O160" i="1"/>
  <c r="O71" i="1"/>
  <c r="Q65" i="1"/>
  <c r="Q58" i="1"/>
  <c r="Q34" i="1"/>
  <c r="Q27" i="1"/>
  <c r="O181" i="1"/>
  <c r="P178" i="1" s="1"/>
  <c r="Q50" i="1"/>
  <c r="Q42" i="1"/>
  <c r="Q4" i="1"/>
  <c r="Q179" i="1"/>
  <c r="O116" i="1"/>
  <c r="O107" i="1"/>
  <c r="Q82" i="1"/>
  <c r="O184" i="1"/>
  <c r="O156" i="1"/>
  <c r="O149" i="1"/>
  <c r="O114" i="1"/>
  <c r="Q105" i="1"/>
  <c r="O174" i="1"/>
  <c r="P173" i="1" s="1"/>
  <c r="O171" i="1"/>
  <c r="O137" i="1"/>
  <c r="O128" i="1"/>
  <c r="O98" i="1"/>
  <c r="O74" i="1"/>
  <c r="Q152" i="1"/>
  <c r="Q147" i="1"/>
  <c r="O117" i="1"/>
  <c r="Q112" i="1"/>
  <c r="Q72" i="1"/>
  <c r="Q131" i="1"/>
  <c r="Q175" i="1"/>
  <c r="Q172" i="1"/>
  <c r="Q120" i="1"/>
  <c r="O187" i="1"/>
  <c r="O138" i="1"/>
  <c r="O101" i="1"/>
  <c r="O77" i="1"/>
  <c r="O70" i="1"/>
  <c r="Q185" i="1"/>
  <c r="Q182" i="1"/>
  <c r="Q121" i="1"/>
  <c r="Q165" i="1"/>
  <c r="Q154" i="1"/>
  <c r="Q145" i="1"/>
  <c r="Q132" i="1"/>
  <c r="O129" i="1"/>
  <c r="Q124" i="1"/>
  <c r="O110" i="1"/>
  <c r="Q83" i="1"/>
  <c r="Q186" i="1"/>
  <c r="O168" i="1"/>
  <c r="O139" i="1"/>
  <c r="O136" i="1"/>
  <c r="P133" i="1" s="1"/>
  <c r="Q133" i="1"/>
  <c r="O108" i="1"/>
  <c r="O100" i="1"/>
  <c r="O80" i="1"/>
  <c r="Q151" i="1"/>
  <c r="Q134" i="1"/>
  <c r="Q125" i="1"/>
  <c r="O96" i="1"/>
  <c r="P93" i="1" s="1"/>
  <c r="O87" i="1"/>
  <c r="Q14" i="1"/>
  <c r="Q38" i="1"/>
  <c r="Q61" i="1"/>
  <c r="Q54" i="1"/>
  <c r="O33" i="1"/>
  <c r="P33" i="1" s="1"/>
  <c r="Q81" i="1"/>
  <c r="Q22" i="1"/>
  <c r="Q102" i="1"/>
  <c r="O90" i="1"/>
  <c r="Q57" i="1"/>
  <c r="Q37" i="1"/>
  <c r="Q21" i="1"/>
  <c r="Q45" i="1"/>
  <c r="Q30" i="1"/>
  <c r="Q40" i="1"/>
  <c r="Q63" i="1"/>
  <c r="Q53" i="1"/>
  <c r="Q111" i="1"/>
  <c r="Q94" i="1"/>
  <c r="Q13" i="1"/>
  <c r="O99" i="1"/>
  <c r="Q75" i="1"/>
  <c r="Q73" i="1"/>
  <c r="Q31" i="1"/>
  <c r="O25" i="1"/>
  <c r="Q24" i="1"/>
  <c r="O18" i="1"/>
  <c r="P18" i="1" s="1"/>
  <c r="O11" i="1"/>
  <c r="O10" i="1"/>
  <c r="Q8" i="1"/>
  <c r="Q3" i="1"/>
  <c r="O60" i="1"/>
  <c r="P58" i="1" s="1"/>
  <c r="Q55" i="1"/>
  <c r="Q5" i="1"/>
  <c r="Q12" i="1"/>
  <c r="O44" i="1"/>
  <c r="Q28" i="1"/>
  <c r="Q20" i="1"/>
  <c r="O7" i="1"/>
  <c r="P3" i="1" s="1"/>
  <c r="O15" i="1"/>
  <c r="P13" i="1" s="1"/>
  <c r="O23" i="1"/>
  <c r="O47" i="1"/>
  <c r="O52" i="1"/>
  <c r="P48" i="1" s="1"/>
  <c r="Q126" i="1"/>
  <c r="O126" i="1"/>
  <c r="Q166" i="1"/>
  <c r="O166" i="1"/>
  <c r="O155" i="1"/>
  <c r="Q155" i="1"/>
  <c r="O142" i="1"/>
  <c r="Q142" i="1"/>
  <c r="R138" i="1" s="1"/>
  <c r="O130" i="1"/>
  <c r="Q130" i="1"/>
  <c r="O170" i="1"/>
  <c r="Q170" i="1"/>
  <c r="R98" i="1"/>
  <c r="O115" i="1"/>
  <c r="Q115" i="1"/>
  <c r="Q178" i="1"/>
  <c r="Q79" i="1"/>
  <c r="O79" i="1"/>
  <c r="Q76" i="1"/>
  <c r="O76" i="1"/>
  <c r="Q59" i="1"/>
  <c r="Q56" i="1"/>
  <c r="P53" i="1"/>
  <c r="Q39" i="1"/>
  <c r="Q36" i="1"/>
  <c r="Q19" i="1"/>
  <c r="Q9" i="1"/>
  <c r="Q180" i="1"/>
  <c r="Q177" i="1"/>
  <c r="Q150" i="1"/>
  <c r="Q97" i="1"/>
  <c r="Q163" i="1"/>
  <c r="Q162" i="1"/>
  <c r="R158" i="1" s="1"/>
  <c r="O146" i="1"/>
  <c r="Q135" i="1"/>
  <c r="Q123" i="1"/>
  <c r="Q122" i="1"/>
  <c r="Q93" i="1"/>
  <c r="Q92" i="1"/>
  <c r="O88" i="1"/>
  <c r="O68" i="1"/>
  <c r="Q26" i="1"/>
  <c r="O89" i="1"/>
  <c r="Q89" i="1"/>
  <c r="O86" i="1"/>
  <c r="P83" i="1" s="1"/>
  <c r="Q86" i="1"/>
  <c r="Q49" i="1"/>
  <c r="Q46" i="1"/>
  <c r="P28" i="1"/>
  <c r="Q29" i="1"/>
  <c r="O159" i="1"/>
  <c r="O158" i="1"/>
  <c r="O119" i="1"/>
  <c r="O118" i="1"/>
  <c r="Q95" i="1"/>
  <c r="Q16" i="1"/>
  <c r="Q6" i="1"/>
  <c r="O69" i="1"/>
  <c r="Q69" i="1"/>
  <c r="P63" i="1"/>
  <c r="Q66" i="1"/>
  <c r="Q143" i="1"/>
  <c r="O109" i="1"/>
  <c r="Q109" i="1"/>
  <c r="O106" i="1"/>
  <c r="Q106" i="1"/>
  <c r="O78" i="1"/>
  <c r="P38" i="1"/>
  <c r="U187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7" i="1"/>
  <c r="U6" i="1"/>
  <c r="U5" i="1"/>
  <c r="U4" i="1"/>
  <c r="U3" i="1"/>
  <c r="R3" i="1" l="1"/>
  <c r="P123" i="1"/>
  <c r="P103" i="1"/>
  <c r="R63" i="1"/>
  <c r="P153" i="1"/>
  <c r="R113" i="1"/>
  <c r="P128" i="1"/>
  <c r="P43" i="1"/>
  <c r="X8" i="1"/>
  <c r="X11" i="1"/>
  <c r="X9" i="1"/>
  <c r="X12" i="1"/>
  <c r="X10" i="1"/>
  <c r="R153" i="1"/>
  <c r="P138" i="1"/>
  <c r="R173" i="1"/>
  <c r="R68" i="1"/>
  <c r="R58" i="1"/>
  <c r="P183" i="1"/>
  <c r="P108" i="1"/>
  <c r="R48" i="1"/>
  <c r="P163" i="1"/>
  <c r="P148" i="1"/>
  <c r="R103" i="1"/>
  <c r="P143" i="1"/>
  <c r="R163" i="1"/>
  <c r="R13" i="1"/>
  <c r="R143" i="1"/>
  <c r="R83" i="1"/>
  <c r="R148" i="1"/>
  <c r="R118" i="1"/>
  <c r="P113" i="1"/>
  <c r="P73" i="1"/>
  <c r="P8" i="1"/>
  <c r="P98" i="1"/>
  <c r="P168" i="1"/>
  <c r="R23" i="1"/>
  <c r="R168" i="1"/>
  <c r="P23" i="1"/>
  <c r="R183" i="1"/>
  <c r="R128" i="1"/>
  <c r="P118" i="1"/>
  <c r="P78" i="1"/>
  <c r="R133" i="1"/>
  <c r="R38" i="1"/>
  <c r="P158" i="1"/>
  <c r="R43" i="1"/>
  <c r="R123" i="1"/>
  <c r="R33" i="1"/>
  <c r="R88" i="1"/>
  <c r="R108" i="1"/>
  <c r="R73" i="1"/>
  <c r="R78" i="1"/>
  <c r="R53" i="1"/>
  <c r="P88" i="1"/>
  <c r="R8" i="1"/>
  <c r="R28" i="1"/>
  <c r="R18" i="1"/>
  <c r="R93" i="1"/>
  <c r="P68" i="1"/>
  <c r="R178" i="1"/>
  <c r="X15" i="1"/>
  <c r="X19" i="1"/>
  <c r="X14" i="1"/>
  <c r="X18" i="1"/>
  <c r="X17" i="1"/>
  <c r="X16" i="1"/>
  <c r="X7" i="1"/>
  <c r="X13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7" i="1"/>
  <c r="V6" i="1"/>
  <c r="V5" i="1"/>
  <c r="V4" i="1"/>
  <c r="V3" i="1"/>
  <c r="T18" i="1" l="1"/>
  <c r="T148" i="1"/>
  <c r="T68" i="1"/>
  <c r="T158" i="1"/>
  <c r="T48" i="1"/>
  <c r="T98" i="1"/>
  <c r="T8" i="1"/>
  <c r="T173" i="1"/>
  <c r="T58" i="1"/>
  <c r="T3" i="1"/>
  <c r="T168" i="1"/>
  <c r="T108" i="1"/>
  <c r="T113" i="1"/>
  <c r="T53" i="1"/>
  <c r="T88" i="1"/>
  <c r="T73" i="1"/>
  <c r="T93" i="1"/>
  <c r="T33" i="1"/>
  <c r="T128" i="1"/>
  <c r="T23" i="1" l="1"/>
  <c r="T178" i="1"/>
  <c r="T163" i="1"/>
  <c r="T118" i="1"/>
  <c r="T78" i="1"/>
  <c r="T123" i="1"/>
  <c r="T103" i="1"/>
  <c r="T43" i="1"/>
  <c r="T138" i="1"/>
  <c r="T63" i="1"/>
  <c r="T183" i="1"/>
  <c r="T13" i="1"/>
  <c r="T38" i="1"/>
  <c r="T133" i="1"/>
  <c r="T153" i="1"/>
  <c r="T83" i="1"/>
  <c r="T28" i="1"/>
  <c r="T143" i="1"/>
  <c r="Z3" i="1"/>
  <c r="Y3" i="1"/>
  <c r="AA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3" authorId="0" shapeId="0" xr:uid="{809831CD-F56E-4F2F-9BF8-119C6433962F}">
      <text>
        <r>
          <rPr>
            <b/>
            <sz val="12"/>
            <color indexed="81"/>
            <rFont val="Tahoma"/>
            <family val="2"/>
          </rPr>
          <t>Insert Pictures</t>
        </r>
        <r>
          <rPr>
            <b/>
            <sz val="11"/>
            <color indexed="81"/>
            <rFont val="Tahoma"/>
            <family val="2"/>
          </rPr>
          <t xml:space="preserve">
1.Click Here
2.Control + Shift + I
3.Select all pictures
</t>
        </r>
      </text>
    </comment>
  </commentList>
</comments>
</file>

<file path=xl/sharedStrings.xml><?xml version="1.0" encoding="utf-8"?>
<sst xmlns="http://schemas.openxmlformats.org/spreadsheetml/2006/main" count="58" uniqueCount="51">
  <si>
    <t>SKU</t>
  </si>
  <si>
    <t>SIZE</t>
  </si>
  <si>
    <t>CNY</t>
  </si>
  <si>
    <t>THB</t>
  </si>
  <si>
    <t>Rate Price</t>
  </si>
  <si>
    <t>rate</t>
  </si>
  <si>
    <t xml:space="preserve">exchange </t>
  </si>
  <si>
    <t>NO.</t>
  </si>
  <si>
    <t xml:space="preserve">Picture </t>
  </si>
  <si>
    <t>SALE</t>
  </si>
  <si>
    <t>Description</t>
  </si>
  <si>
    <t xml:space="preserve"> Order </t>
  </si>
  <si>
    <t xml:space="preserve">Incoming </t>
  </si>
  <si>
    <t>Check Order</t>
  </si>
  <si>
    <t>Date</t>
  </si>
  <si>
    <t>CODE</t>
  </si>
  <si>
    <t>QTY</t>
  </si>
  <si>
    <t xml:space="preserve"> Incoming </t>
  </si>
  <si>
    <t>Order</t>
  </si>
  <si>
    <t>Difference</t>
  </si>
  <si>
    <t>PO</t>
  </si>
  <si>
    <t>No Size</t>
  </si>
  <si>
    <t>Income</t>
  </si>
  <si>
    <t>23/12/2021</t>
  </si>
  <si>
    <t>ชุดนอนผ้าเยื่อไผ่ กระโปรง</t>
  </si>
  <si>
    <t>ชุดนอนผ้าเยื่อไผ่ แขนสั้นขาห้าส่วน</t>
  </si>
  <si>
    <t>ชุดนอน silk satin เดรส</t>
  </si>
  <si>
    <t>ชุดนอน silk satin แขนสั้นขาสั้น</t>
  </si>
  <si>
    <t>ชุดนอน silk satin แขนสั้นขายาว</t>
  </si>
  <si>
    <t>ชุคนอน silk satn แขนยาวขายาว</t>
  </si>
  <si>
    <t>ชุดนอน silk satin แขนยาวขาสั้น</t>
  </si>
  <si>
    <t>ชุดนอนผู้ชาย Y</t>
  </si>
  <si>
    <t>ชุดนอนผ้าเยื่อไผ่ แขนสั้นขาสี่ส่วน</t>
  </si>
  <si>
    <t>ชุดนอนผ้าเยื่อไผ่ แขนสั้นขาสั้น</t>
  </si>
  <si>
    <t>ชุดนอนผ้าเยื่อไผ่ แขนสั้นขายาว</t>
  </si>
  <si>
    <t>ชุดนอนผ้าเยื่อไผ่ แขนยาวขายาว</t>
  </si>
  <si>
    <t>ชุดนอน High End</t>
  </si>
  <si>
    <t>QC</t>
  </si>
  <si>
    <t>pass</t>
  </si>
  <si>
    <t>not pass</t>
  </si>
  <si>
    <t>Price</t>
  </si>
  <si>
    <t xml:space="preserve">H2312150778 po </t>
  </si>
  <si>
    <t>M</t>
  </si>
  <si>
    <t>L</t>
  </si>
  <si>
    <t>XL</t>
  </si>
  <si>
    <t>2XL</t>
  </si>
  <si>
    <t>SV1207</t>
  </si>
  <si>
    <t>SW1207</t>
  </si>
  <si>
    <t>ซาติน แขนสั้นขายาว Haussmannian Gray XL</t>
  </si>
  <si>
    <t>ซาติน แขนสั้นขายาว Haussmannian Gray 2XL</t>
  </si>
  <si>
    <t>ซาติน แขนสั้นขาสั้น Haussmannian Gray 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</si>
</sst>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34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rgb="FF006100"/>
      <name val="Calibri"/>
      <family val="2"/>
      <charset val="222"/>
      <scheme val="minor"/>
    </font>
    <font>
      <sz val="11"/>
      <color rgb="FF9C0006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1"/>
      <name val="Calibri Light"/>
      <family val="2"/>
      <charset val="222"/>
      <scheme val="major"/>
    </font>
    <font>
      <b/>
      <sz val="15"/>
      <color theme="3"/>
      <name val="Calibri"/>
      <family val="2"/>
      <charset val="222"/>
      <scheme val="minor"/>
    </font>
    <font>
      <b/>
      <sz val="13"/>
      <color theme="3"/>
      <name val="Calibri"/>
      <family val="2"/>
      <charset val="222"/>
      <scheme val="minor"/>
    </font>
    <font>
      <b/>
      <sz val="11"/>
      <color theme="3"/>
      <name val="Calibri"/>
      <family val="2"/>
      <charset val="222"/>
      <scheme val="minor"/>
    </font>
    <font>
      <sz val="20"/>
      <color rgb="FF9C5700"/>
      <name val="Calibri"/>
      <family val="2"/>
      <scheme val="minor"/>
    </font>
    <font>
      <b/>
      <sz val="12"/>
      <color theme="3"/>
      <name val="Calibri"/>
      <family val="2"/>
      <charset val="222"/>
      <scheme val="minor"/>
    </font>
    <font>
      <b/>
      <sz val="14"/>
      <color theme="3"/>
      <name val="Calibri"/>
      <family val="2"/>
      <charset val="222"/>
      <scheme val="minor"/>
    </font>
    <font>
      <b/>
      <sz val="12"/>
      <color theme="3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16"/>
      <color theme="3"/>
      <name val="Calibri"/>
      <family val="2"/>
      <charset val="222"/>
      <scheme val="minor"/>
    </font>
    <font>
      <b/>
      <sz val="14"/>
      <color theme="4" tint="-0.499984740745262"/>
      <name val="Calibri"/>
      <family val="2"/>
      <scheme val="minor"/>
    </font>
    <font>
      <sz val="8"/>
      <name val="Calibri"/>
      <family val="2"/>
      <charset val="222"/>
      <scheme val="minor"/>
    </font>
    <font>
      <b/>
      <sz val="24"/>
      <color theme="4" tint="-0.499984740745262"/>
      <name val="Calibri"/>
      <family val="2"/>
      <scheme val="minor"/>
    </font>
    <font>
      <sz val="16"/>
      <color theme="1"/>
      <name val="Calibri"/>
      <family val="2"/>
      <charset val="222"/>
      <scheme val="minor"/>
    </font>
    <font>
      <b/>
      <sz val="18"/>
      <color theme="3"/>
      <name val="Calibri"/>
      <family val="2"/>
      <charset val="222"/>
      <scheme val="minor"/>
    </font>
    <font>
      <b/>
      <sz val="26"/>
      <color theme="4" tint="-0.499984740745262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11"/>
      <color rgb="FFFF0000"/>
      <name val="Calibri"/>
      <family val="2"/>
      <charset val="222"/>
      <scheme val="minor"/>
    </font>
    <font>
      <b/>
      <sz val="28"/>
      <color theme="8" tint="-0.499984740745262"/>
      <name val="Calibri"/>
      <family val="2"/>
      <scheme val="minor"/>
    </font>
    <font>
      <b/>
      <sz val="28"/>
      <color theme="5" tint="-0.249977111117893"/>
      <name val="Calibri"/>
      <family val="2"/>
      <scheme val="minor"/>
    </font>
    <font>
      <b/>
      <sz val="26"/>
      <color rgb="FF9C0006"/>
      <name val="Calibri"/>
      <family val="2"/>
      <scheme val="minor"/>
    </font>
    <font>
      <sz val="18"/>
      <color theme="8" tint="-0.499984740745262"/>
      <name val="Calibri"/>
      <family val="2"/>
      <scheme val="minor"/>
    </font>
    <font>
      <sz val="18"/>
      <color theme="5" tint="-0.249977111117893"/>
      <name val="Calibri"/>
      <family val="2"/>
      <scheme val="minor"/>
    </font>
    <font>
      <sz val="18"/>
      <color rgb="FF9C0006"/>
      <name val="Calibri"/>
      <family val="2"/>
      <charset val="222"/>
      <scheme val="minor"/>
    </font>
    <font>
      <sz val="11"/>
      <color theme="9" tint="-0.249977111117893"/>
      <name val="Calibri"/>
      <family val="2"/>
      <charset val="222"/>
      <scheme val="minor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7A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E6CDFF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4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4">
    <xf numFmtId="0" fontId="0" fillId="0" borderId="0"/>
    <xf numFmtId="0" fontId="1" fillId="5" borderId="0" applyNumberFormat="0" applyBorder="0" applyAlignment="0" applyProtection="0"/>
    <xf numFmtId="0" fontId="4" fillId="0" borderId="0"/>
    <xf numFmtId="0" fontId="5" fillId="2" borderId="0" applyNumberFormat="0" applyBorder="0" applyAlignment="0" applyProtection="0"/>
    <xf numFmtId="0" fontId="6" fillId="4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164" fontId="1" fillId="0" borderId="0" applyFont="0" applyFill="0" applyBorder="0" applyAlignment="0" applyProtection="0"/>
    <xf numFmtId="0" fontId="8" fillId="0" borderId="23" applyNumberFormat="0" applyFill="0" applyAlignment="0" applyProtection="0"/>
    <xf numFmtId="0" fontId="9" fillId="0" borderId="24" applyNumberFormat="0" applyFill="0" applyAlignment="0" applyProtection="0"/>
    <xf numFmtId="0" fontId="10" fillId="0" borderId="25" applyNumberFormat="0" applyFill="0" applyAlignment="0" applyProtection="0"/>
    <xf numFmtId="0" fontId="1" fillId="8" borderId="0" applyNumberFormat="0" applyBorder="0" applyAlignment="0" applyProtection="0"/>
    <xf numFmtId="0" fontId="1" fillId="0" borderId="0"/>
  </cellStyleXfs>
  <cellXfs count="170">
    <xf numFmtId="0" fontId="0" fillId="0" borderId="0" xfId="0"/>
    <xf numFmtId="0" fontId="0" fillId="0" borderId="0" xfId="0" applyProtection="1">
      <protection locked="0"/>
    </xf>
    <xf numFmtId="0" fontId="7" fillId="0" borderId="32" xfId="5" applyFont="1" applyBorder="1" applyAlignment="1" applyProtection="1">
      <alignment horizontal="left"/>
      <protection locked="0"/>
    </xf>
    <xf numFmtId="0" fontId="0" fillId="5" borderId="7" xfId="1" applyFont="1" applyBorder="1" applyAlignment="1" applyProtection="1">
      <alignment horizontal="center" vertical="center"/>
      <protection locked="0"/>
    </xf>
    <xf numFmtId="0" fontId="1" fillId="5" borderId="7" xfId="1" applyBorder="1" applyAlignment="1" applyProtection="1">
      <alignment horizontal="center" vertical="center"/>
      <protection locked="0"/>
    </xf>
    <xf numFmtId="0" fontId="7" fillId="0" borderId="31" xfId="5" applyFont="1" applyBorder="1" applyAlignment="1" applyProtection="1">
      <alignment horizontal="left"/>
      <protection locked="0"/>
    </xf>
    <xf numFmtId="0" fontId="0" fillId="5" borderId="10" xfId="1" applyFont="1" applyBorder="1" applyAlignment="1" applyProtection="1">
      <alignment horizontal="center" vertical="center"/>
      <protection locked="0"/>
    </xf>
    <xf numFmtId="0" fontId="1" fillId="5" borderId="10" xfId="1" applyBorder="1" applyAlignment="1" applyProtection="1">
      <alignment horizontal="center" vertical="center"/>
      <protection locked="0"/>
    </xf>
    <xf numFmtId="0" fontId="7" fillId="0" borderId="33" xfId="5" applyFont="1" applyBorder="1" applyAlignment="1" applyProtection="1">
      <alignment horizontal="left"/>
      <protection locked="0"/>
    </xf>
    <xf numFmtId="0" fontId="0" fillId="5" borderId="13" xfId="1" applyFont="1" applyBorder="1" applyAlignment="1" applyProtection="1">
      <alignment horizontal="center" vertical="center"/>
      <protection locked="0"/>
    </xf>
    <xf numFmtId="0" fontId="1" fillId="5" borderId="13" xfId="1" applyBorder="1" applyAlignment="1" applyProtection="1">
      <alignment horizontal="center" vertical="center"/>
      <protection locked="0"/>
    </xf>
    <xf numFmtId="0" fontId="7" fillId="0" borderId="34" xfId="5" applyFont="1" applyBorder="1" applyAlignment="1" applyProtection="1">
      <alignment horizontal="left"/>
      <protection locked="0"/>
    </xf>
    <xf numFmtId="0" fontId="1" fillId="5" borderId="12" xfId="1" applyBorder="1" applyAlignment="1" applyProtection="1">
      <alignment horizontal="center" vertical="center"/>
      <protection locked="0"/>
    </xf>
    <xf numFmtId="0" fontId="0" fillId="5" borderId="8" xfId="1" applyFont="1" applyBorder="1" applyAlignment="1" applyProtection="1">
      <alignment horizontal="center" vertical="center"/>
      <protection locked="0"/>
    </xf>
    <xf numFmtId="0" fontId="1" fillId="5" borderId="8" xfId="1" applyBorder="1" applyAlignment="1" applyProtection="1">
      <alignment horizontal="center" vertical="center"/>
      <protection locked="0"/>
    </xf>
    <xf numFmtId="0" fontId="1" fillId="5" borderId="0" xfId="1" applyBorder="1" applyAlignment="1" applyProtection="1">
      <alignment horizontal="center" vertical="center"/>
      <protection locked="0"/>
    </xf>
    <xf numFmtId="164" fontId="1" fillId="7" borderId="0" xfId="8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locked="0"/>
    </xf>
    <xf numFmtId="0" fontId="1" fillId="5" borderId="0" xfId="1" applyAlignment="1" applyProtection="1">
      <alignment horizontal="center" vertical="center"/>
      <protection locked="0"/>
    </xf>
    <xf numFmtId="164" fontId="1" fillId="7" borderId="0" xfId="8" applyFill="1" applyAlignment="1" applyProtection="1">
      <alignment horizontal="center" vertical="center"/>
      <protection locked="0"/>
    </xf>
    <xf numFmtId="0" fontId="1" fillId="8" borderId="7" xfId="12" applyBorder="1" applyAlignment="1" applyProtection="1">
      <alignment horizontal="center" vertical="center"/>
      <protection locked="0"/>
    </xf>
    <xf numFmtId="0" fontId="1" fillId="8" borderId="10" xfId="12" applyBorder="1" applyAlignment="1" applyProtection="1">
      <alignment horizontal="center" vertical="center"/>
      <protection locked="0"/>
    </xf>
    <xf numFmtId="0" fontId="1" fillId="8" borderId="13" xfId="12" applyBorder="1" applyAlignment="1" applyProtection="1">
      <alignment horizontal="center" vertical="center"/>
      <protection locked="0"/>
    </xf>
    <xf numFmtId="0" fontId="1" fillId="8" borderId="12" xfId="12" applyBorder="1" applyAlignment="1" applyProtection="1">
      <alignment horizontal="center" vertical="center"/>
      <protection locked="0"/>
    </xf>
    <xf numFmtId="0" fontId="1" fillId="8" borderId="8" xfId="12" applyBorder="1" applyAlignment="1" applyProtection="1">
      <alignment horizontal="center" vertical="center"/>
      <protection locked="0"/>
    </xf>
    <xf numFmtId="0" fontId="1" fillId="8" borderId="0" xfId="12" applyBorder="1" applyAlignment="1" applyProtection="1">
      <alignment horizontal="center" vertical="center"/>
      <protection locked="0"/>
    </xf>
    <xf numFmtId="0" fontId="1" fillId="8" borderId="0" xfId="12" applyAlignment="1" applyProtection="1">
      <alignment horizontal="center" vertical="center"/>
      <protection locked="0"/>
    </xf>
    <xf numFmtId="164" fontId="10" fillId="9" borderId="35" xfId="8" applyFont="1" applyFill="1" applyBorder="1" applyAlignment="1" applyProtection="1">
      <alignment horizontal="center" vertical="center"/>
      <protection hidden="1"/>
    </xf>
    <xf numFmtId="164" fontId="10" fillId="9" borderId="10" xfId="8" applyFont="1" applyFill="1" applyBorder="1" applyAlignment="1" applyProtection="1">
      <alignment horizontal="center" vertical="center"/>
      <protection hidden="1"/>
    </xf>
    <xf numFmtId="164" fontId="10" fillId="9" borderId="12" xfId="8" applyFont="1" applyFill="1" applyBorder="1" applyAlignment="1" applyProtection="1">
      <alignment horizontal="center" vertical="center"/>
      <protection hidden="1"/>
    </xf>
    <xf numFmtId="164" fontId="10" fillId="9" borderId="0" xfId="8" applyFont="1" applyFill="1" applyBorder="1" applyAlignment="1" applyProtection="1">
      <alignment horizontal="center" vertical="center"/>
      <protection locked="0" hidden="1"/>
    </xf>
    <xf numFmtId="164" fontId="10" fillId="9" borderId="0" xfId="8" applyFont="1" applyFill="1" applyAlignment="1" applyProtection="1">
      <alignment horizontal="center" vertical="center"/>
      <protection locked="0" hidden="1"/>
    </xf>
    <xf numFmtId="164" fontId="10" fillId="10" borderId="10" xfId="8" applyFont="1" applyFill="1" applyBorder="1" applyAlignment="1" applyProtection="1">
      <alignment horizontal="center" vertical="center"/>
      <protection hidden="1"/>
    </xf>
    <xf numFmtId="164" fontId="10" fillId="10" borderId="0" xfId="8" applyFont="1" applyFill="1" applyBorder="1" applyAlignment="1" applyProtection="1">
      <alignment horizontal="center" vertical="center"/>
      <protection locked="0" hidden="1"/>
    </xf>
    <xf numFmtId="164" fontId="10" fillId="10" borderId="0" xfId="8" applyFont="1" applyFill="1" applyAlignment="1" applyProtection="1">
      <alignment horizontal="center" vertical="center"/>
      <protection locked="0" hidden="1"/>
    </xf>
    <xf numFmtId="164" fontId="10" fillId="10" borderId="7" xfId="8" applyFont="1" applyFill="1" applyBorder="1" applyAlignment="1" applyProtection="1">
      <alignment horizontal="center" vertical="center"/>
      <protection hidden="1"/>
    </xf>
    <xf numFmtId="164" fontId="10" fillId="10" borderId="36" xfId="8" applyFont="1" applyFill="1" applyBorder="1" applyAlignment="1" applyProtection="1">
      <alignment horizontal="center" vertical="center"/>
      <protection hidden="1"/>
    </xf>
    <xf numFmtId="164" fontId="10" fillId="11" borderId="0" xfId="8" applyFont="1" applyFill="1" applyBorder="1" applyAlignment="1" applyProtection="1">
      <alignment horizontal="center" vertical="center"/>
      <protection locked="0" hidden="1"/>
    </xf>
    <xf numFmtId="164" fontId="10" fillId="11" borderId="0" xfId="8" applyFont="1" applyFill="1" applyAlignment="1" applyProtection="1">
      <alignment horizontal="center" vertical="center"/>
      <protection locked="0" hidden="1"/>
    </xf>
    <xf numFmtId="164" fontId="10" fillId="12" borderId="0" xfId="8" applyFont="1" applyFill="1" applyBorder="1" applyAlignment="1" applyProtection="1">
      <alignment horizontal="center" vertical="center"/>
      <protection locked="0" hidden="1"/>
    </xf>
    <xf numFmtId="164" fontId="10" fillId="12" borderId="0" xfId="8" applyFont="1" applyFill="1" applyAlignment="1" applyProtection="1">
      <alignment horizontal="center" vertical="center"/>
      <protection locked="0" hidden="1"/>
    </xf>
    <xf numFmtId="164" fontId="12" fillId="15" borderId="26" xfId="11" applyNumberFormat="1" applyFont="1" applyFill="1" applyBorder="1" applyAlignment="1" applyProtection="1">
      <alignment horizontal="center" vertical="center"/>
      <protection locked="0" hidden="1"/>
    </xf>
    <xf numFmtId="164" fontId="1" fillId="15" borderId="14" xfId="8" applyFill="1" applyBorder="1" applyAlignment="1" applyProtection="1">
      <alignment horizontal="center" vertical="center"/>
      <protection hidden="1"/>
    </xf>
    <xf numFmtId="164" fontId="1" fillId="15" borderId="10" xfId="8" applyFill="1" applyBorder="1" applyAlignment="1" applyProtection="1">
      <alignment horizontal="center" vertical="center"/>
      <protection hidden="1"/>
    </xf>
    <xf numFmtId="164" fontId="1" fillId="15" borderId="18" xfId="8" applyFill="1" applyBorder="1" applyAlignment="1" applyProtection="1">
      <alignment horizontal="center" vertical="center"/>
      <protection hidden="1"/>
    </xf>
    <xf numFmtId="164" fontId="1" fillId="15" borderId="15" xfId="8" applyFill="1" applyBorder="1" applyAlignment="1" applyProtection="1">
      <alignment horizontal="center" vertical="center"/>
      <protection hidden="1"/>
    </xf>
    <xf numFmtId="164" fontId="1" fillId="15" borderId="0" xfId="8" applyFill="1" applyBorder="1" applyAlignment="1" applyProtection="1">
      <alignment horizontal="center" vertical="center"/>
      <protection locked="0" hidden="1"/>
    </xf>
    <xf numFmtId="164" fontId="1" fillId="15" borderId="0" xfId="8" applyFill="1" applyAlignment="1" applyProtection="1">
      <alignment horizontal="center" vertical="center"/>
      <protection locked="0" hidden="1"/>
    </xf>
    <xf numFmtId="0" fontId="19" fillId="4" borderId="1" xfId="4" applyFont="1" applyBorder="1" applyAlignment="1">
      <alignment horizontal="center" vertical="center"/>
    </xf>
    <xf numFmtId="0" fontId="19" fillId="4" borderId="30" xfId="4" applyFont="1" applyBorder="1" applyAlignment="1">
      <alignment horizontal="center" vertical="center"/>
    </xf>
    <xf numFmtId="0" fontId="11" fillId="4" borderId="26" xfId="4" applyFont="1" applyBorder="1" applyAlignment="1">
      <alignment horizontal="center"/>
    </xf>
    <xf numFmtId="0" fontId="8" fillId="16" borderId="1" xfId="9" applyFill="1" applyBorder="1" applyAlignment="1" applyProtection="1">
      <alignment horizontal="center"/>
      <protection locked="0"/>
    </xf>
    <xf numFmtId="0" fontId="8" fillId="16" borderId="30" xfId="9" applyFill="1" applyBorder="1" applyAlignment="1" applyProtection="1">
      <alignment horizontal="center" vertical="top"/>
      <protection locked="0"/>
    </xf>
    <xf numFmtId="0" fontId="7" fillId="0" borderId="7" xfId="5" applyFont="1" applyBorder="1" applyProtection="1">
      <protection locked="0"/>
    </xf>
    <xf numFmtId="0" fontId="7" fillId="0" borderId="10" xfId="5" applyFont="1" applyBorder="1" applyProtection="1">
      <protection locked="0"/>
    </xf>
    <xf numFmtId="0" fontId="7" fillId="0" borderId="12" xfId="5" applyFont="1" applyBorder="1" applyProtection="1">
      <protection locked="0"/>
    </xf>
    <xf numFmtId="0" fontId="7" fillId="0" borderId="0" xfId="5" applyFont="1" applyAlignment="1" applyProtection="1">
      <alignment vertical="center"/>
      <protection locked="0"/>
    </xf>
    <xf numFmtId="0" fontId="7" fillId="0" borderId="0" xfId="5" applyFont="1" applyProtection="1">
      <protection locked="0"/>
    </xf>
    <xf numFmtId="0" fontId="7" fillId="0" borderId="0" xfId="5" applyFont="1" applyAlignment="1" applyProtection="1">
      <alignment horizontal="left"/>
      <protection locked="0"/>
    </xf>
    <xf numFmtId="0" fontId="1" fillId="0" borderId="0" xfId="5" applyProtection="1">
      <protection locked="0"/>
    </xf>
    <xf numFmtId="164" fontId="28" fillId="11" borderId="26" xfId="8" applyFont="1" applyFill="1" applyBorder="1"/>
    <xf numFmtId="164" fontId="29" fillId="12" borderId="26" xfId="3" applyNumberFormat="1" applyFont="1" applyFill="1" applyBorder="1"/>
    <xf numFmtId="164" fontId="30" fillId="3" borderId="26" xfId="6" applyNumberFormat="1" applyFont="1" applyBorder="1"/>
    <xf numFmtId="0" fontId="24" fillId="0" borderId="0" xfId="0" applyFont="1"/>
    <xf numFmtId="0" fontId="31" fillId="0" borderId="0" xfId="0" applyFont="1"/>
    <xf numFmtId="0" fontId="0" fillId="0" borderId="0" xfId="0" applyAlignment="1" applyProtection="1">
      <alignment horizontal="center" vertical="center"/>
      <protection locked="0"/>
    </xf>
    <xf numFmtId="0" fontId="7" fillId="0" borderId="0" xfId="5" applyFont="1" applyAlignment="1" applyProtection="1">
      <alignment horizontal="center" vertical="center"/>
      <protection locked="0"/>
    </xf>
    <xf numFmtId="164" fontId="14" fillId="7" borderId="37" xfId="11" applyNumberFormat="1" applyFont="1" applyFill="1" applyBorder="1" applyAlignment="1" applyProtection="1">
      <alignment horizontal="center" vertical="center"/>
      <protection locked="0"/>
    </xf>
    <xf numFmtId="0" fontId="1" fillId="8" borderId="17" xfId="12" applyBorder="1" applyAlignment="1" applyProtection="1">
      <alignment horizontal="center" vertical="center"/>
      <protection locked="0"/>
    </xf>
    <xf numFmtId="0" fontId="15" fillId="5" borderId="2" xfId="11" applyFont="1" applyFill="1" applyBorder="1" applyAlignment="1" applyProtection="1">
      <alignment horizontal="center" vertical="center"/>
      <protection locked="0"/>
    </xf>
    <xf numFmtId="0" fontId="15" fillId="8" borderId="3" xfId="12" applyFont="1" applyBorder="1" applyAlignment="1" applyProtection="1">
      <alignment horizontal="center" vertical="center"/>
      <protection locked="0"/>
    </xf>
    <xf numFmtId="0" fontId="15" fillId="5" borderId="26" xfId="11" applyFont="1" applyFill="1" applyBorder="1" applyAlignment="1" applyProtection="1">
      <alignment horizontal="center" vertical="center"/>
      <protection locked="0"/>
    </xf>
    <xf numFmtId="0" fontId="0" fillId="0" borderId="38" xfId="0" applyBorder="1"/>
    <xf numFmtId="0" fontId="20" fillId="0" borderId="6" xfId="0" applyFont="1" applyBorder="1"/>
    <xf numFmtId="0" fontId="20" fillId="0" borderId="9" xfId="0" applyFont="1" applyBorder="1"/>
    <xf numFmtId="0" fontId="20" fillId="0" borderId="11" xfId="0" applyFont="1" applyBorder="1"/>
    <xf numFmtId="49" fontId="20" fillId="8" borderId="30" xfId="12" applyNumberFormat="1" applyFont="1" applyBorder="1" applyAlignment="1">
      <alignment horizontal="center" vertical="center"/>
    </xf>
    <xf numFmtId="0" fontId="21" fillId="0" borderId="0" xfId="10" applyFont="1" applyBorder="1" applyAlignment="1" applyProtection="1">
      <alignment horizontal="center" vertical="center"/>
      <protection locked="0"/>
    </xf>
    <xf numFmtId="0" fontId="23" fillId="0" borderId="0" xfId="5" applyFont="1" applyAlignment="1" applyProtection="1">
      <alignment horizontal="center" vertical="center"/>
      <protection locked="0"/>
    </xf>
    <xf numFmtId="164" fontId="1" fillId="7" borderId="32" xfId="8" applyFill="1" applyBorder="1" applyAlignment="1" applyProtection="1">
      <alignment horizontal="left" vertical="center"/>
      <protection locked="0"/>
    </xf>
    <xf numFmtId="164" fontId="1" fillId="7" borderId="34" xfId="8" applyFill="1" applyBorder="1" applyAlignment="1" applyProtection="1">
      <alignment horizontal="center" vertical="center"/>
      <protection locked="0"/>
    </xf>
    <xf numFmtId="164" fontId="1" fillId="7" borderId="31" xfId="8" applyFill="1" applyBorder="1" applyAlignment="1" applyProtection="1">
      <alignment horizontal="left" vertical="center"/>
      <protection locked="0"/>
    </xf>
    <xf numFmtId="164" fontId="1" fillId="7" borderId="31" xfId="8" applyFill="1" applyBorder="1" applyAlignment="1" applyProtection="1">
      <alignment horizontal="center" vertical="center"/>
      <protection locked="0"/>
    </xf>
    <xf numFmtId="0" fontId="15" fillId="8" borderId="2" xfId="12" applyFont="1" applyBorder="1" applyAlignment="1" applyProtection="1">
      <alignment horizontal="center" vertical="center"/>
      <protection locked="0"/>
    </xf>
    <xf numFmtId="0" fontId="7" fillId="0" borderId="8" xfId="5" applyFont="1" applyBorder="1" applyProtection="1">
      <protection locked="0"/>
    </xf>
    <xf numFmtId="164" fontId="1" fillId="7" borderId="40" xfId="8" applyFill="1" applyBorder="1" applyAlignment="1" applyProtection="1">
      <alignment horizontal="left" vertical="center"/>
      <protection locked="0"/>
    </xf>
    <xf numFmtId="164" fontId="10" fillId="9" borderId="41" xfId="8" applyFont="1" applyFill="1" applyBorder="1" applyAlignment="1" applyProtection="1">
      <alignment horizontal="center" vertical="center"/>
      <protection hidden="1"/>
    </xf>
    <xf numFmtId="164" fontId="10" fillId="10" borderId="8" xfId="8" applyFont="1" applyFill="1" applyBorder="1" applyAlignment="1" applyProtection="1">
      <alignment horizontal="center" vertical="center"/>
      <protection hidden="1"/>
    </xf>
    <xf numFmtId="0" fontId="0" fillId="5" borderId="14" xfId="1" applyFont="1" applyBorder="1" applyAlignment="1" applyProtection="1">
      <alignment horizontal="center" vertical="center"/>
      <protection locked="0"/>
    </xf>
    <xf numFmtId="0" fontId="1" fillId="8" borderId="42" xfId="12" applyBorder="1" applyAlignment="1" applyProtection="1">
      <alignment horizontal="center" vertical="center"/>
      <protection locked="0"/>
    </xf>
    <xf numFmtId="0" fontId="1" fillId="8" borderId="43" xfId="12" applyBorder="1" applyAlignment="1" applyProtection="1">
      <alignment horizontal="center" vertical="center"/>
      <protection locked="0"/>
    </xf>
    <xf numFmtId="0" fontId="15" fillId="17" borderId="26" xfId="12" applyFont="1" applyFill="1" applyBorder="1" applyAlignment="1" applyProtection="1">
      <alignment horizontal="center" vertical="center"/>
      <protection locked="0"/>
    </xf>
    <xf numFmtId="0" fontId="15" fillId="17" borderId="3" xfId="12" applyFont="1" applyFill="1" applyBorder="1" applyAlignment="1" applyProtection="1">
      <alignment horizontal="center" vertical="center"/>
      <protection locked="0"/>
    </xf>
    <xf numFmtId="0" fontId="1" fillId="17" borderId="7" xfId="12" applyFill="1" applyBorder="1" applyAlignment="1" applyProtection="1">
      <alignment horizontal="center" vertical="center"/>
      <protection locked="0"/>
    </xf>
    <xf numFmtId="0" fontId="1" fillId="17" borderId="10" xfId="12" applyFill="1" applyBorder="1" applyAlignment="1" applyProtection="1">
      <alignment horizontal="center" vertical="center"/>
      <protection locked="0"/>
    </xf>
    <xf numFmtId="0" fontId="1" fillId="17" borderId="12" xfId="12" applyFill="1" applyBorder="1" applyAlignment="1" applyProtection="1">
      <alignment horizontal="center" vertical="center"/>
      <protection locked="0"/>
    </xf>
    <xf numFmtId="0" fontId="1" fillId="17" borderId="0" xfId="12" applyFill="1" applyBorder="1" applyAlignment="1" applyProtection="1">
      <alignment horizontal="center" vertical="center"/>
      <protection locked="0"/>
    </xf>
    <xf numFmtId="0" fontId="1" fillId="17" borderId="0" xfId="12" applyFill="1" applyAlignment="1" applyProtection="1">
      <alignment horizontal="center" vertical="center"/>
      <protection locked="0"/>
    </xf>
    <xf numFmtId="0" fontId="16" fillId="18" borderId="21" xfId="9" applyFont="1" applyFill="1" applyBorder="1" applyAlignment="1" applyProtection="1">
      <alignment horizontal="center" vertical="center" wrapText="1"/>
      <protection locked="0"/>
    </xf>
    <xf numFmtId="164" fontId="13" fillId="18" borderId="20" xfId="10" applyNumberFormat="1" applyFont="1" applyFill="1" applyBorder="1" applyAlignment="1" applyProtection="1">
      <alignment horizontal="center" vertical="center"/>
      <protection locked="0" hidden="1"/>
    </xf>
    <xf numFmtId="164" fontId="10" fillId="19" borderId="10" xfId="8" applyFont="1" applyFill="1" applyBorder="1" applyAlignment="1" applyProtection="1">
      <alignment horizontal="center" vertical="center"/>
      <protection hidden="1"/>
    </xf>
    <xf numFmtId="164" fontId="10" fillId="19" borderId="10" xfId="8" applyFont="1" applyFill="1" applyBorder="1" applyAlignment="1" applyProtection="1">
      <alignment horizontal="center" vertical="center"/>
      <protection locked="0" hidden="1"/>
    </xf>
    <xf numFmtId="0" fontId="7" fillId="0" borderId="16" xfId="5" applyFont="1" applyBorder="1" applyAlignment="1">
      <alignment horizontal="center" vertical="center"/>
    </xf>
    <xf numFmtId="0" fontId="7" fillId="0" borderId="9" xfId="5" applyFont="1" applyBorder="1" applyAlignment="1">
      <alignment horizontal="center" vertical="center"/>
    </xf>
    <xf numFmtId="0" fontId="7" fillId="0" borderId="19" xfId="5" applyFont="1" applyBorder="1" applyAlignment="1">
      <alignment horizontal="center" vertical="center"/>
    </xf>
    <xf numFmtId="0" fontId="7" fillId="0" borderId="11" xfId="5" applyFont="1" applyBorder="1" applyAlignment="1">
      <alignment horizontal="center" vertical="center"/>
    </xf>
    <xf numFmtId="0" fontId="7" fillId="0" borderId="7" xfId="5" applyFont="1" applyBorder="1" applyAlignment="1" applyProtection="1">
      <alignment horizontal="center"/>
      <protection locked="0"/>
    </xf>
    <xf numFmtId="0" fontId="7" fillId="0" borderId="10" xfId="5" applyFont="1" applyBorder="1" applyAlignment="1" applyProtection="1">
      <alignment horizontal="center"/>
      <protection locked="0"/>
    </xf>
    <xf numFmtId="0" fontId="7" fillId="0" borderId="13" xfId="5" applyFont="1" applyBorder="1" applyAlignment="1" applyProtection="1">
      <alignment horizontal="center"/>
      <protection locked="0"/>
    </xf>
    <xf numFmtId="0" fontId="7" fillId="0" borderId="12" xfId="5" applyFont="1" applyBorder="1" applyAlignment="1" applyProtection="1">
      <alignment horizontal="center"/>
      <protection locked="0"/>
    </xf>
    <xf numFmtId="164" fontId="10" fillId="11" borderId="7" xfId="8" applyFont="1" applyFill="1" applyBorder="1" applyAlignment="1" applyProtection="1">
      <alignment horizontal="center" vertical="center"/>
      <protection hidden="1"/>
    </xf>
    <xf numFmtId="164" fontId="10" fillId="11" borderId="10" xfId="8" applyFont="1" applyFill="1" applyBorder="1" applyAlignment="1" applyProtection="1">
      <alignment horizontal="center" vertical="center"/>
      <protection hidden="1"/>
    </xf>
    <xf numFmtId="164" fontId="10" fillId="11" borderId="12" xfId="8" applyFont="1" applyFill="1" applyBorder="1" applyAlignment="1" applyProtection="1">
      <alignment horizontal="center" vertical="center"/>
      <protection hidden="1"/>
    </xf>
    <xf numFmtId="164" fontId="10" fillId="12" borderId="42" xfId="8" applyFont="1" applyFill="1" applyBorder="1" applyAlignment="1" applyProtection="1">
      <alignment horizontal="center" vertical="center"/>
      <protection hidden="1"/>
    </xf>
    <xf numFmtId="164" fontId="10" fillId="12" borderId="17" xfId="8" applyFont="1" applyFill="1" applyBorder="1" applyAlignment="1" applyProtection="1">
      <alignment horizontal="center" vertical="center"/>
      <protection hidden="1"/>
    </xf>
    <xf numFmtId="164" fontId="10" fillId="12" borderId="43" xfId="8" applyFont="1" applyFill="1" applyBorder="1" applyAlignment="1" applyProtection="1">
      <alignment horizontal="center" vertical="center"/>
      <protection hidden="1"/>
    </xf>
    <xf numFmtId="0" fontId="23" fillId="0" borderId="21" xfId="5" applyFont="1" applyBorder="1" applyAlignment="1" applyProtection="1">
      <alignment horizontal="center" vertical="center"/>
      <protection locked="0"/>
    </xf>
    <xf numFmtId="0" fontId="23" fillId="0" borderId="20" xfId="5" applyFont="1" applyBorder="1" applyAlignment="1" applyProtection="1">
      <alignment horizontal="center" vertical="center"/>
      <protection locked="0"/>
    </xf>
    <xf numFmtId="0" fontId="23" fillId="0" borderId="22" xfId="5" applyFont="1" applyBorder="1" applyAlignment="1" applyProtection="1">
      <alignment horizontal="center" vertical="center"/>
      <protection locked="0"/>
    </xf>
    <xf numFmtId="0" fontId="7" fillId="0" borderId="14" xfId="5" applyFont="1" applyBorder="1" applyAlignment="1" applyProtection="1">
      <alignment horizontal="center" vertical="center"/>
      <protection locked="0"/>
    </xf>
    <xf numFmtId="0" fontId="7" fillId="0" borderId="18" xfId="5" applyFont="1" applyBorder="1" applyAlignment="1" applyProtection="1">
      <alignment horizontal="center" vertical="center"/>
      <protection locked="0"/>
    </xf>
    <xf numFmtId="0" fontId="7" fillId="0" borderId="15" xfId="5" applyFont="1" applyBorder="1" applyAlignment="1" applyProtection="1">
      <alignment horizontal="center" vertical="center"/>
      <protection locked="0"/>
    </xf>
    <xf numFmtId="0" fontId="7" fillId="0" borderId="8" xfId="5" applyFont="1" applyBorder="1" applyAlignment="1" applyProtection="1">
      <alignment horizontal="center"/>
      <protection locked="0"/>
    </xf>
    <xf numFmtId="0" fontId="26" fillId="12" borderId="1" xfId="3" applyFont="1" applyFill="1" applyBorder="1" applyAlignment="1">
      <alignment horizontal="center" vertical="center"/>
    </xf>
    <xf numFmtId="0" fontId="26" fillId="12" borderId="30" xfId="3" applyFont="1" applyFill="1" applyBorder="1" applyAlignment="1">
      <alignment horizontal="center" vertical="center"/>
    </xf>
    <xf numFmtId="0" fontId="27" fillId="3" borderId="1" xfId="6" applyFont="1" applyBorder="1" applyAlignment="1">
      <alignment horizontal="center" vertical="center"/>
    </xf>
    <xf numFmtId="0" fontId="27" fillId="3" borderId="30" xfId="6" applyFont="1" applyBorder="1" applyAlignment="1">
      <alignment horizontal="center" vertical="center"/>
    </xf>
    <xf numFmtId="164" fontId="10" fillId="11" borderId="8" xfId="8" applyFont="1" applyFill="1" applyBorder="1" applyAlignment="1" applyProtection="1">
      <alignment horizontal="center" vertical="center"/>
      <protection hidden="1"/>
    </xf>
    <xf numFmtId="164" fontId="10" fillId="12" borderId="47" xfId="8" applyFont="1" applyFill="1" applyBorder="1" applyAlignment="1" applyProtection="1">
      <alignment horizontal="center" vertical="center"/>
      <protection hidden="1"/>
    </xf>
    <xf numFmtId="0" fontId="25" fillId="11" borderId="1" xfId="6" applyFont="1" applyFill="1" applyBorder="1" applyAlignment="1">
      <alignment horizontal="center" vertical="center"/>
    </xf>
    <xf numFmtId="0" fontId="25" fillId="11" borderId="30" xfId="6" applyFont="1" applyFill="1" applyBorder="1" applyAlignment="1">
      <alignment horizontal="center" vertical="center"/>
    </xf>
    <xf numFmtId="0" fontId="22" fillId="8" borderId="1" xfId="12" applyFont="1" applyBorder="1" applyAlignment="1">
      <alignment horizontal="center" vertical="center"/>
    </xf>
    <xf numFmtId="0" fontId="22" fillId="8" borderId="30" xfId="12" applyFont="1" applyBorder="1" applyAlignment="1">
      <alignment horizontal="center" vertical="center"/>
    </xf>
    <xf numFmtId="0" fontId="21" fillId="0" borderId="1" xfId="10" applyFont="1" applyBorder="1" applyAlignment="1" applyProtection="1">
      <alignment horizontal="center" vertical="center"/>
      <protection locked="0"/>
    </xf>
    <xf numFmtId="0" fontId="21" fillId="0" borderId="30" xfId="10" applyFont="1" applyBorder="1" applyAlignment="1" applyProtection="1">
      <alignment horizontal="center" vertical="center"/>
      <protection locked="0"/>
    </xf>
    <xf numFmtId="0" fontId="10" fillId="0" borderId="29" xfId="11" applyBorder="1" applyAlignment="1" applyProtection="1">
      <alignment horizontal="center" vertical="center" wrapText="1"/>
      <protection locked="0"/>
    </xf>
    <xf numFmtId="0" fontId="10" fillId="0" borderId="5" xfId="11" applyBorder="1" applyAlignment="1" applyProtection="1">
      <alignment horizontal="center" vertical="center"/>
      <protection locked="0"/>
    </xf>
    <xf numFmtId="0" fontId="9" fillId="0" borderId="27" xfId="10" applyBorder="1" applyAlignment="1" applyProtection="1">
      <alignment horizontal="center" vertical="center"/>
      <protection locked="0"/>
    </xf>
    <xf numFmtId="0" fontId="9" fillId="0" borderId="5" xfId="10" applyBorder="1" applyAlignment="1" applyProtection="1">
      <alignment horizontal="center" vertical="center"/>
      <protection locked="0"/>
    </xf>
    <xf numFmtId="0" fontId="8" fillId="0" borderId="28" xfId="9" applyBorder="1" applyAlignment="1" applyProtection="1">
      <alignment horizontal="center" vertical="center"/>
      <protection locked="0"/>
    </xf>
    <xf numFmtId="0" fontId="8" fillId="0" borderId="5" xfId="9" applyBorder="1" applyAlignment="1" applyProtection="1">
      <alignment horizontal="center" vertical="center"/>
      <protection locked="0"/>
    </xf>
    <xf numFmtId="0" fontId="9" fillId="0" borderId="37" xfId="10" applyBorder="1" applyAlignment="1" applyProtection="1">
      <alignment horizontal="center" vertical="center"/>
      <protection locked="0"/>
    </xf>
    <xf numFmtId="0" fontId="17" fillId="5" borderId="2" xfId="10" applyFont="1" applyFill="1" applyBorder="1" applyAlignment="1" applyProtection="1">
      <alignment horizontal="center" vertical="center" wrapText="1"/>
      <protection locked="0"/>
    </xf>
    <xf numFmtId="0" fontId="17" fillId="5" borderId="4" xfId="10" applyFont="1" applyFill="1" applyBorder="1" applyAlignment="1" applyProtection="1">
      <alignment horizontal="center" vertical="center" wrapText="1"/>
      <protection locked="0"/>
    </xf>
    <xf numFmtId="0" fontId="16" fillId="6" borderId="2" xfId="9" applyFont="1" applyFill="1" applyBorder="1" applyAlignment="1" applyProtection="1">
      <alignment horizontal="center" vertical="center" wrapText="1"/>
      <protection locked="0"/>
    </xf>
    <xf numFmtId="0" fontId="16" fillId="6" borderId="4" xfId="9" applyFont="1" applyFill="1" applyBorder="1" applyAlignment="1" applyProtection="1">
      <alignment horizontal="center" vertical="center" wrapText="1"/>
      <protection locked="0"/>
    </xf>
    <xf numFmtId="0" fontId="16" fillId="6" borderId="3" xfId="9" applyFont="1" applyFill="1" applyBorder="1" applyAlignment="1" applyProtection="1">
      <alignment horizontal="center" vertical="center" wrapText="1"/>
      <protection locked="0"/>
    </xf>
    <xf numFmtId="164" fontId="13" fillId="14" borderId="2" xfId="10" applyNumberFormat="1" applyFont="1" applyFill="1" applyBorder="1" applyAlignment="1" applyProtection="1">
      <alignment horizontal="center" vertical="center"/>
      <protection locked="0" hidden="1"/>
    </xf>
    <xf numFmtId="164" fontId="13" fillId="14" borderId="3" xfId="10" applyNumberFormat="1" applyFont="1" applyFill="1" applyBorder="1" applyAlignment="1" applyProtection="1">
      <alignment horizontal="center" vertical="center"/>
      <protection locked="0" hidden="1"/>
    </xf>
    <xf numFmtId="164" fontId="13" fillId="13" borderId="2" xfId="10" applyNumberFormat="1" applyFont="1" applyFill="1" applyBorder="1" applyAlignment="1" applyProtection="1">
      <alignment horizontal="center" vertical="center"/>
      <protection locked="0" hidden="1"/>
    </xf>
    <xf numFmtId="164" fontId="13" fillId="13" borderId="3" xfId="10" applyNumberFormat="1" applyFont="1" applyFill="1" applyBorder="1" applyAlignment="1" applyProtection="1">
      <alignment horizontal="center" vertical="center"/>
      <protection locked="0" hidden="1"/>
    </xf>
    <xf numFmtId="0" fontId="17" fillId="8" borderId="2" xfId="12" applyFont="1" applyBorder="1" applyAlignment="1" applyProtection="1">
      <alignment horizontal="center" vertical="center" wrapText="1"/>
      <protection locked="0"/>
    </xf>
    <xf numFmtId="0" fontId="17" fillId="8" borderId="21" xfId="12" applyFont="1" applyBorder="1" applyAlignment="1" applyProtection="1">
      <alignment horizontal="center" vertical="center" wrapText="1"/>
      <protection locked="0"/>
    </xf>
    <xf numFmtId="0" fontId="17" fillId="17" borderId="39" xfId="12" applyFont="1" applyFill="1" applyBorder="1" applyAlignment="1" applyProtection="1">
      <alignment horizontal="center" vertical="center" wrapText="1"/>
      <protection locked="0"/>
    </xf>
    <xf numFmtId="0" fontId="17" fillId="17" borderId="21" xfId="12" applyFont="1" applyFill="1" applyBorder="1" applyAlignment="1" applyProtection="1">
      <alignment horizontal="center" vertical="center" wrapText="1"/>
      <protection locked="0"/>
    </xf>
    <xf numFmtId="0" fontId="7" fillId="0" borderId="44" xfId="5" applyFont="1" applyBorder="1" applyAlignment="1">
      <alignment horizontal="center" vertical="center"/>
    </xf>
    <xf numFmtId="0" fontId="7" fillId="0" borderId="45" xfId="5" applyFont="1" applyBorder="1" applyAlignment="1">
      <alignment horizontal="center" vertical="center"/>
    </xf>
    <xf numFmtId="0" fontId="7" fillId="0" borderId="46" xfId="5" applyFont="1" applyBorder="1" applyAlignment="1">
      <alignment horizontal="center" vertical="center"/>
    </xf>
    <xf numFmtId="0" fontId="7" fillId="0" borderId="14" xfId="5" applyFont="1" applyBorder="1" applyAlignment="1" applyProtection="1">
      <alignment horizontal="center"/>
      <protection locked="0"/>
    </xf>
    <xf numFmtId="0" fontId="7" fillId="0" borderId="18" xfId="5" applyFont="1" applyBorder="1" applyAlignment="1" applyProtection="1">
      <alignment horizontal="center"/>
      <protection locked="0"/>
    </xf>
    <xf numFmtId="0" fontId="7" fillId="0" borderId="15" xfId="5" applyFont="1" applyBorder="1" applyAlignment="1" applyProtection="1">
      <alignment horizontal="center"/>
      <protection locked="0"/>
    </xf>
    <xf numFmtId="0" fontId="7" fillId="0" borderId="44" xfId="5" applyFont="1" applyBorder="1" applyAlignment="1" applyProtection="1">
      <alignment horizontal="center" vertical="center"/>
      <protection locked="0"/>
    </xf>
    <xf numFmtId="0" fontId="7" fillId="0" borderId="45" xfId="5" applyFont="1" applyBorder="1" applyAlignment="1" applyProtection="1">
      <alignment horizontal="center" vertical="center"/>
      <protection locked="0"/>
    </xf>
    <xf numFmtId="0" fontId="7" fillId="0" borderId="46" xfId="5" applyFont="1" applyBorder="1" applyAlignment="1" applyProtection="1">
      <alignment horizontal="center" vertical="center"/>
      <protection locked="0"/>
    </xf>
    <xf numFmtId="0" fontId="7" fillId="0" borderId="1" xfId="5" applyFont="1" applyBorder="1" applyAlignment="1">
      <alignment horizontal="center" vertical="center"/>
    </xf>
    <xf numFmtId="0" fontId="7" fillId="0" borderId="5" xfId="5" applyFont="1" applyBorder="1" applyAlignment="1">
      <alignment horizontal="center" vertical="center"/>
    </xf>
    <xf numFmtId="0" fontId="7" fillId="0" borderId="30" xfId="5" applyFont="1" applyBorder="1" applyAlignment="1">
      <alignment horizontal="center" vertical="center"/>
    </xf>
    <xf numFmtId="0" fontId="7" fillId="0" borderId="44" xfId="5" applyFont="1" applyBorder="1" applyAlignment="1" applyProtection="1">
      <alignment horizontal="center"/>
      <protection locked="0"/>
    </xf>
    <xf numFmtId="0" fontId="7" fillId="0" borderId="45" xfId="5" applyFont="1" applyBorder="1" applyAlignment="1" applyProtection="1">
      <alignment horizontal="center"/>
      <protection locked="0"/>
    </xf>
    <xf numFmtId="0" fontId="7" fillId="0" borderId="46" xfId="5" applyFont="1" applyBorder="1" applyAlignment="1" applyProtection="1">
      <alignment horizontal="center"/>
      <protection locked="0"/>
    </xf>
  </cellXfs>
  <cellStyles count="14">
    <cellStyle name="20% - ส่วนที่ถูกเน้น1" xfId="1" builtinId="30"/>
    <cellStyle name="20% - ส่วนที่ถูกเน้น2" xfId="12" builtinId="34"/>
    <cellStyle name="Bad 2" xfId="6" xr:uid="{00000000-0005-0000-0000-000006000000}"/>
    <cellStyle name="Good 2" xfId="7" xr:uid="{00000000-0005-0000-0000-000007000000}"/>
    <cellStyle name="Good 3" xfId="3" xr:uid="{00000000-0005-0000-0000-000008000000}"/>
    <cellStyle name="Neutral 2" xfId="4" xr:uid="{00000000-0005-0000-0000-000009000000}"/>
    <cellStyle name="Normal 2" xfId="2" xr:uid="{00000000-0005-0000-0000-00000B000000}"/>
    <cellStyle name="Normal 2 3" xfId="5" xr:uid="{00000000-0005-0000-0000-00000C000000}"/>
    <cellStyle name="Normal 2 3 2" xfId="13" xr:uid="{53DA91D2-6A3C-475C-85EF-FC78488DEE16}"/>
    <cellStyle name="จุลภาค" xfId="8" builtinId="3"/>
    <cellStyle name="ปกติ" xfId="0" builtinId="0"/>
    <cellStyle name="หัวเรื่อง 1" xfId="9" builtinId="16"/>
    <cellStyle name="หัวเรื่อง 2" xfId="10" builtinId="17"/>
    <cellStyle name="หัวเรื่อง 3" xfId="11" builtinId="18"/>
  </cellStyles>
  <dxfs count="0"/>
  <tableStyles count="0" defaultTableStyle="TableStyleMedium2" defaultPivotStyle="PivotStyleLight16"/>
  <colors>
    <mruColors>
      <color rgb="FFCC99FF"/>
      <color rgb="FFE6CDFF"/>
      <color rgb="FFCCCCFF"/>
      <color rgb="FFCC66FF"/>
      <color rgb="FFFF97A3"/>
      <color rgb="FFFFDD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38100</xdr:rowOff>
    </xdr:from>
    <xdr:to>
      <xdr:col>1</xdr:col>
      <xdr:colOff>1473200</xdr:colOff>
      <xdr:row>6</xdr:row>
      <xdr:rowOff>384175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F32F7C9A-2F10-0619-F37B-1BAADA5D3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857250"/>
          <a:ext cx="1435100" cy="198437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7</xdr:row>
      <xdr:rowOff>38100</xdr:rowOff>
    </xdr:from>
    <xdr:to>
      <xdr:col>1</xdr:col>
      <xdr:colOff>1473200</xdr:colOff>
      <xdr:row>11</xdr:row>
      <xdr:rowOff>384175</xdr:rowOff>
    </xdr:to>
    <xdr:pic>
      <xdr:nvPicPr>
        <xdr:cNvPr id="7" name="รูปภาพ 6">
          <a:extLst>
            <a:ext uri="{FF2B5EF4-FFF2-40B4-BE49-F238E27FC236}">
              <a16:creationId xmlns:a16="http://schemas.microsoft.com/office/drawing/2014/main" id="{D72E5967-4A11-CCBF-AEC4-F89441F1B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2905125"/>
          <a:ext cx="1435100" cy="19843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SUS\Dropbox\MUSLIN%20PAJAMAS%20ALL%20IN%20FO\Manual\PO\&#3586;&#3629;&#3591;&#3648;&#3586;&#3657;&#3634;&#3617;&#3633;&#3626;&#3621;&#3636;&#3609;\data.xlsx" TargetMode="External"/><Relationship Id="rId1" Type="http://schemas.openxmlformats.org/officeDocument/2006/relationships/externalLinkPath" Target="/Users/ASUS/Dropbox/MUSLIN%20PAJAMAS%20ALL%20IN%20FO/Manual/PO/&#3586;&#3629;&#3591;&#3648;&#3586;&#3657;&#3634;&#3617;&#3633;&#3626;&#3621;&#3636;&#3609;/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rksheet"/>
    </sheetNames>
    <sheetDataSet>
      <sheetData sheetId="0">
        <row r="1">
          <cell r="A1" t="str">
            <v>รหัสสต็อก</v>
          </cell>
          <cell r="B1" t="str">
            <v>รหัสขาย</v>
          </cell>
          <cell r="C1" t="str">
            <v>รายละเอียด</v>
          </cell>
          <cell r="D1" t="str">
            <v>หน่วย</v>
          </cell>
          <cell r="E1" t="str">
            <v>จำนวน</v>
          </cell>
          <cell r="F1" t="str">
            <v>ราคา</v>
          </cell>
        </row>
        <row r="2">
          <cell r="A2" t="str">
            <v>BA0001-L</v>
          </cell>
          <cell r="B2" t="str">
            <v>A1</v>
          </cell>
          <cell r="C2" t="str">
            <v>[AB]  เยื่อไผ่ แขนสั้นขาสั้น ผีเสื้อ L</v>
          </cell>
          <cell r="E2">
            <v>8</v>
          </cell>
          <cell r="F2">
            <v>790</v>
          </cell>
        </row>
        <row r="3">
          <cell r="A3" t="str">
            <v>BA0001-M</v>
          </cell>
          <cell r="B3" t="str">
            <v>A1</v>
          </cell>
          <cell r="C3" t="str">
            <v>เยื่อไผ่ แขนสั้นขาสั้น ผีเสื้อ M</v>
          </cell>
          <cell r="E3">
            <v>0</v>
          </cell>
          <cell r="F3">
            <v>790</v>
          </cell>
        </row>
        <row r="4">
          <cell r="A4" t="str">
            <v>BA0001-S</v>
          </cell>
          <cell r="B4" t="str">
            <v>A1</v>
          </cell>
          <cell r="C4" t="str">
            <v>เยื่อไผ่ แขนสั้นขาสั้น ผีเสื้อ S</v>
          </cell>
          <cell r="E4">
            <v>2</v>
          </cell>
          <cell r="F4">
            <v>790</v>
          </cell>
        </row>
        <row r="5">
          <cell r="A5" t="str">
            <v>BA0001-XL</v>
          </cell>
          <cell r="B5" t="str">
            <v>A1</v>
          </cell>
          <cell r="C5" t="str">
            <v>เยื่อไผ่ แขนสั้นขาสั้น ผีเสื้อ XL</v>
          </cell>
          <cell r="E5">
            <v>2</v>
          </cell>
          <cell r="F5">
            <v>790</v>
          </cell>
        </row>
        <row r="6">
          <cell r="A6" t="str">
            <v>BA0002-L</v>
          </cell>
          <cell r="B6" t="str">
            <v>A2</v>
          </cell>
          <cell r="C6" t="str">
            <v>เยื่อไผ่ แขนสั้นขาสั้น ผีเสื้อ นู้ด L</v>
          </cell>
          <cell r="E6">
            <v>0</v>
          </cell>
          <cell r="F6">
            <v>790</v>
          </cell>
        </row>
        <row r="7">
          <cell r="A7" t="str">
            <v>BA0002-M</v>
          </cell>
          <cell r="B7" t="str">
            <v>A2</v>
          </cell>
          <cell r="C7" t="str">
            <v>เยื่อไผ่ แขนสั้นขาสั้น ผีเสื้อ นู้ด M</v>
          </cell>
          <cell r="E7">
            <v>0</v>
          </cell>
          <cell r="F7">
            <v>790</v>
          </cell>
        </row>
        <row r="8">
          <cell r="A8" t="str">
            <v>BA0002-S</v>
          </cell>
          <cell r="B8" t="str">
            <v>A2</v>
          </cell>
          <cell r="C8" t="str">
            <v>เยื่อไผ่ แขนสั้นขาสั้น ผีเสื้อ นู้ด S</v>
          </cell>
          <cell r="E8">
            <v>0</v>
          </cell>
          <cell r="F8">
            <v>790</v>
          </cell>
        </row>
        <row r="9">
          <cell r="A9" t="str">
            <v>BA0005-L</v>
          </cell>
          <cell r="B9" t="str">
            <v>A5</v>
          </cell>
          <cell r="C9" t="str">
            <v>เยื่อไผ่ แขนสั้นขาสั้น นก นู้ด L</v>
          </cell>
          <cell r="E9">
            <v>0</v>
          </cell>
          <cell r="F9">
            <v>790</v>
          </cell>
        </row>
        <row r="10">
          <cell r="A10" t="str">
            <v>BA0005-M</v>
          </cell>
          <cell r="B10" t="str">
            <v>A5</v>
          </cell>
          <cell r="C10" t="str">
            <v>เยื่อไผ่ แขนสั้นขาสั้น นก นู้ด M</v>
          </cell>
          <cell r="E10">
            <v>0</v>
          </cell>
          <cell r="F10">
            <v>790</v>
          </cell>
        </row>
        <row r="11">
          <cell r="A11" t="str">
            <v>BA0005-XL</v>
          </cell>
          <cell r="B11" t="str">
            <v>A5</v>
          </cell>
          <cell r="C11" t="str">
            <v>เยื่อไผ่ แขนสั้นขาสั้น นก นู้ด XL</v>
          </cell>
          <cell r="E11">
            <v>0</v>
          </cell>
          <cell r="F11">
            <v>790</v>
          </cell>
        </row>
        <row r="12">
          <cell r="A12" t="str">
            <v>BA0006-L</v>
          </cell>
          <cell r="B12" t="str">
            <v>A6</v>
          </cell>
          <cell r="C12" t="str">
            <v>เยื่อไผ่ แขนสั้นขาสั้น นก ครีม L</v>
          </cell>
          <cell r="E12">
            <v>0</v>
          </cell>
          <cell r="F12">
            <v>790</v>
          </cell>
        </row>
        <row r="13">
          <cell r="A13" t="str">
            <v>BA0006-M</v>
          </cell>
          <cell r="B13" t="str">
            <v>A6</v>
          </cell>
          <cell r="C13" t="str">
            <v>เยื่อไผ่ แขนสั้นขาสั้น นก ครีม M</v>
          </cell>
          <cell r="E13">
            <v>0</v>
          </cell>
          <cell r="F13">
            <v>790</v>
          </cell>
        </row>
        <row r="14">
          <cell r="A14" t="str">
            <v>BA0006-XL</v>
          </cell>
          <cell r="B14" t="str">
            <v>A6</v>
          </cell>
          <cell r="C14" t="str">
            <v>เยื่อไผ่ แขนสั้นขาสั้น นก ครีม XL</v>
          </cell>
          <cell r="E14">
            <v>0</v>
          </cell>
          <cell r="F14">
            <v>790</v>
          </cell>
        </row>
        <row r="15">
          <cell r="A15" t="str">
            <v>BA0007-M</v>
          </cell>
          <cell r="B15" t="str">
            <v>A7</v>
          </cell>
          <cell r="C15" t="str">
            <v>เยื่อไผ่ แขนสั้นขาสั้น นก ชมพู M Oversize</v>
          </cell>
          <cell r="E15">
            <v>0</v>
          </cell>
          <cell r="F15">
            <v>790</v>
          </cell>
        </row>
        <row r="16">
          <cell r="A16" t="str">
            <v>BA0007-XL</v>
          </cell>
          <cell r="B16" t="str">
            <v>A7</v>
          </cell>
          <cell r="C16" t="str">
            <v>เยื่อไผ่ แขนสั้นขาสั้น นก ชมพู XL Oversize</v>
          </cell>
          <cell r="E16">
            <v>0</v>
          </cell>
          <cell r="F16">
            <v>790</v>
          </cell>
        </row>
        <row r="17">
          <cell r="A17" t="str">
            <v>BA0009-2XL</v>
          </cell>
          <cell r="B17" t="str">
            <v>A9</v>
          </cell>
          <cell r="C17" t="str">
            <v>เยื่อไผ่ แขนสั้นขาสั้น นกบราว 2XL</v>
          </cell>
          <cell r="E17">
            <v>0</v>
          </cell>
          <cell r="F17">
            <v>790</v>
          </cell>
        </row>
        <row r="18">
          <cell r="A18" t="str">
            <v>BA0009-L</v>
          </cell>
          <cell r="B18" t="str">
            <v>A9</v>
          </cell>
          <cell r="C18" t="str">
            <v>เยื่อไผ่ แขนสั้น ขาสั้น นกบราว L</v>
          </cell>
          <cell r="E18">
            <v>0</v>
          </cell>
          <cell r="F18">
            <v>790</v>
          </cell>
        </row>
        <row r="19">
          <cell r="A19" t="str">
            <v>BA0009-M</v>
          </cell>
          <cell r="B19" t="str">
            <v>A9</v>
          </cell>
          <cell r="C19" t="str">
            <v>เยื่อไผ่ แขนสั้นขาสั้น นกบราว M</v>
          </cell>
          <cell r="E19">
            <v>0</v>
          </cell>
          <cell r="F19">
            <v>790</v>
          </cell>
        </row>
        <row r="20">
          <cell r="A20" t="str">
            <v>BA0009-XL</v>
          </cell>
          <cell r="B20" t="str">
            <v>A9</v>
          </cell>
          <cell r="C20" t="str">
            <v>เยื่อไผ่ แขนสั้น ขาสั้น นกบราว XL</v>
          </cell>
          <cell r="E20">
            <v>0</v>
          </cell>
          <cell r="F20">
            <v>790</v>
          </cell>
        </row>
        <row r="21">
          <cell r="A21" t="str">
            <v>BA0013-L</v>
          </cell>
          <cell r="B21" t="str">
            <v>A13</v>
          </cell>
          <cell r="C21" t="str">
            <v>เยื่อไผ่ แขนสั้นขาสั้น แมวฟ้า L</v>
          </cell>
          <cell r="E21">
            <v>0</v>
          </cell>
          <cell r="F21">
            <v>790</v>
          </cell>
        </row>
        <row r="22">
          <cell r="A22" t="str">
            <v>BA0013-M</v>
          </cell>
          <cell r="B22" t="str">
            <v>A13</v>
          </cell>
          <cell r="C22" t="str">
            <v>เยื่อไผ่ แขนสั้นขาสั้น แมวฟ้า M</v>
          </cell>
          <cell r="E22">
            <v>0</v>
          </cell>
          <cell r="F22">
            <v>790</v>
          </cell>
        </row>
        <row r="23">
          <cell r="A23" t="str">
            <v>BA0013-S</v>
          </cell>
          <cell r="B23" t="str">
            <v>A13</v>
          </cell>
          <cell r="C23" t="str">
            <v>เยื่อไผ่ แขนสั้นขาสั้น แมวฟ้า S</v>
          </cell>
          <cell r="E23">
            <v>0</v>
          </cell>
          <cell r="F23">
            <v>790</v>
          </cell>
        </row>
        <row r="24">
          <cell r="A24" t="str">
            <v>BA0014-L</v>
          </cell>
          <cell r="B24" t="str">
            <v>A14</v>
          </cell>
          <cell r="C24" t="str">
            <v>เยื่อไผ่ แขนสั้นขาสั้น ทางเทา น้องหมา L</v>
          </cell>
          <cell r="E24">
            <v>0</v>
          </cell>
          <cell r="F24">
            <v>790</v>
          </cell>
        </row>
        <row r="25">
          <cell r="A25" t="str">
            <v>BA0014-M</v>
          </cell>
          <cell r="B25" t="str">
            <v>A14</v>
          </cell>
          <cell r="C25" t="str">
            <v>เยื่อไผ่ แขนสั้นขาสั้น ทางเทา น้องหมา M</v>
          </cell>
          <cell r="E25">
            <v>0</v>
          </cell>
          <cell r="F25">
            <v>790</v>
          </cell>
        </row>
        <row r="26">
          <cell r="A26" t="str">
            <v>BA0014-S</v>
          </cell>
          <cell r="B26" t="str">
            <v>A14</v>
          </cell>
          <cell r="C26" t="str">
            <v>เยื่อไผ่ แขนสั้นขาสั้น ทางเทา น้องหมา S</v>
          </cell>
          <cell r="E26">
            <v>0</v>
          </cell>
          <cell r="F26">
            <v>790</v>
          </cell>
        </row>
        <row r="27">
          <cell r="A27" t="str">
            <v>BA0014-XL</v>
          </cell>
          <cell r="B27" t="str">
            <v>A14</v>
          </cell>
          <cell r="C27" t="str">
            <v>เยื่อไผ่ แขนสั้นขาสั้น ทางเทา น้องหมา XL</v>
          </cell>
          <cell r="E27">
            <v>0</v>
          </cell>
          <cell r="F27">
            <v>790</v>
          </cell>
        </row>
        <row r="28">
          <cell r="A28" t="str">
            <v>BA0015-L</v>
          </cell>
          <cell r="B28" t="str">
            <v>A15</v>
          </cell>
          <cell r="C28" t="str">
            <v>เยื่อไผ่ แขนสั้นขาสั้น ลายทางดำ น้องหมา L</v>
          </cell>
          <cell r="E28">
            <v>0</v>
          </cell>
          <cell r="F28">
            <v>790</v>
          </cell>
        </row>
        <row r="29">
          <cell r="A29" t="str">
            <v>BA0015-S</v>
          </cell>
          <cell r="B29" t="str">
            <v>A15</v>
          </cell>
          <cell r="C29" t="str">
            <v>เยื่อไผ่ แขนสั้นขาสั้น ลายทางดำ น้องหมา S</v>
          </cell>
          <cell r="E29">
            <v>0</v>
          </cell>
          <cell r="F29">
            <v>790</v>
          </cell>
        </row>
        <row r="30">
          <cell r="A30" t="str">
            <v>BA0015-XL</v>
          </cell>
          <cell r="B30" t="str">
            <v>A15</v>
          </cell>
          <cell r="C30" t="str">
            <v>เยื่อไผ่ แขนสั้นขาสั้น ลายทางดำ น้องหมา XL</v>
          </cell>
          <cell r="E30">
            <v>0</v>
          </cell>
          <cell r="F30">
            <v>790</v>
          </cell>
        </row>
        <row r="31">
          <cell r="A31" t="str">
            <v>BA0020-L</v>
          </cell>
          <cell r="B31" t="str">
            <v>A20</v>
          </cell>
          <cell r="C31" t="str">
            <v>เยื่อไผ่ แขนสั้นขาสั้น ใบไม้เขียว NEW L</v>
          </cell>
          <cell r="E31">
            <v>0</v>
          </cell>
          <cell r="F31">
            <v>790</v>
          </cell>
        </row>
        <row r="32">
          <cell r="A32" t="str">
            <v>BA0020-M</v>
          </cell>
          <cell r="B32" t="str">
            <v>A20</v>
          </cell>
          <cell r="C32" t="str">
            <v>เยื่อไผ่ แขนสั้นขาสั้น ใบไม้เขียว NEW M</v>
          </cell>
          <cell r="E32">
            <v>0</v>
          </cell>
          <cell r="F32">
            <v>790</v>
          </cell>
        </row>
        <row r="33">
          <cell r="A33" t="str">
            <v>BA0020-S</v>
          </cell>
          <cell r="B33" t="str">
            <v>QA20</v>
          </cell>
          <cell r="C33" t="str">
            <v>เยื่อไผ่ แขนสั้นขาสั้น ใบไม้เขียว NEW S QC</v>
          </cell>
          <cell r="E33">
            <v>0</v>
          </cell>
          <cell r="F33">
            <v>790</v>
          </cell>
        </row>
        <row r="34">
          <cell r="A34" t="str">
            <v>BA0020-XL</v>
          </cell>
          <cell r="B34" t="str">
            <v>A20</v>
          </cell>
          <cell r="C34" t="str">
            <v>เยื่อไผ่ แขนสั้นขาสั้น ใบไม้เขียว NEW XL</v>
          </cell>
          <cell r="E34">
            <v>0</v>
          </cell>
          <cell r="F34">
            <v>790</v>
          </cell>
        </row>
        <row r="35">
          <cell r="A35" t="str">
            <v>BA0021-L</v>
          </cell>
          <cell r="B35" t="str">
            <v>A21</v>
          </cell>
          <cell r="C35" t="str">
            <v>เยื่อไผ่ แขนสั้นขาสั้น Tropical ใบไม้เขียว L Oversize</v>
          </cell>
          <cell r="E35">
            <v>0</v>
          </cell>
          <cell r="F35">
            <v>790</v>
          </cell>
        </row>
        <row r="36">
          <cell r="A36" t="str">
            <v>BA0021-M</v>
          </cell>
          <cell r="B36" t="str">
            <v>A21</v>
          </cell>
          <cell r="C36" t="str">
            <v>เยื่อไผ่ แขนสั้นขาสั้น Tropical ใบไม้เขียว M Oversize</v>
          </cell>
          <cell r="E36">
            <v>0</v>
          </cell>
          <cell r="F36">
            <v>790</v>
          </cell>
        </row>
        <row r="37">
          <cell r="A37" t="str">
            <v>BA0021-XL</v>
          </cell>
          <cell r="B37" t="str">
            <v>A21</v>
          </cell>
          <cell r="C37" t="str">
            <v>เยื่อไผ่ แขนสั้นขาสั้น Tropical ใบไม้เขียว XL Oversize</v>
          </cell>
          <cell r="E37">
            <v>0</v>
          </cell>
          <cell r="F37">
            <v>790</v>
          </cell>
        </row>
        <row r="38">
          <cell r="A38" t="str">
            <v>BA0023-L</v>
          </cell>
          <cell r="B38" t="str">
            <v>QA23</v>
          </cell>
          <cell r="C38" t="str">
            <v>เยื่อไผ่ แขนสั้นขาสั้น TropicaL ใบไม้เหลือง OverSize L QC</v>
          </cell>
          <cell r="E38">
            <v>0</v>
          </cell>
          <cell r="F38">
            <v>790</v>
          </cell>
        </row>
        <row r="39">
          <cell r="A39" t="str">
            <v>BA0023-M</v>
          </cell>
          <cell r="B39" t="str">
            <v>A23</v>
          </cell>
          <cell r="C39" t="str">
            <v>เยื่อไผ่ แขนสั้นขาสั้น TropicaL ใบไม้เหลือง M OverSize</v>
          </cell>
          <cell r="E39">
            <v>0</v>
          </cell>
          <cell r="F39">
            <v>790</v>
          </cell>
        </row>
        <row r="40">
          <cell r="A40" t="str">
            <v>BA0023-S</v>
          </cell>
          <cell r="B40" t="str">
            <v>A23</v>
          </cell>
          <cell r="C40" t="str">
            <v>เยื่อไผ่ แขนสั้นขาสั้น TropicaL ใบไม้เหลือง S OverSize</v>
          </cell>
          <cell r="E40">
            <v>0</v>
          </cell>
          <cell r="F40">
            <v>790</v>
          </cell>
        </row>
        <row r="41">
          <cell r="A41" t="str">
            <v>BA0024-L</v>
          </cell>
          <cell r="B41" t="str">
            <v>A24</v>
          </cell>
          <cell r="C41" t="str">
            <v>เยื่อไผ่ แขนสั้นขาสั้น ใบไม้น้ำตาล คอแดง L</v>
          </cell>
          <cell r="E41">
            <v>0</v>
          </cell>
          <cell r="F41">
            <v>790</v>
          </cell>
        </row>
        <row r="42">
          <cell r="A42" t="str">
            <v>BA0024-M</v>
          </cell>
          <cell r="B42" t="str">
            <v>A24</v>
          </cell>
          <cell r="C42" t="str">
            <v>เยื่อไผ่ แขนสั้นขาสั้น ใบไม้น้ำตาล คอแดง M</v>
          </cell>
          <cell r="E42">
            <v>0</v>
          </cell>
          <cell r="F42">
            <v>790</v>
          </cell>
        </row>
        <row r="43">
          <cell r="A43" t="str">
            <v>BA0024-S</v>
          </cell>
          <cell r="B43" t="str">
            <v>A24</v>
          </cell>
          <cell r="C43" t="str">
            <v>เยื่อไผ่ แขนสั้นขาสั้น ใบไม้น้ำตาล คอแดง S</v>
          </cell>
          <cell r="E43">
            <v>0</v>
          </cell>
          <cell r="F43">
            <v>790</v>
          </cell>
        </row>
        <row r="44">
          <cell r="A44" t="str">
            <v>BA0025-L</v>
          </cell>
          <cell r="B44" t="str">
            <v>A25</v>
          </cell>
          <cell r="C44" t="str">
            <v>เยื่อไผ่ แขนสั้นขาสั้น ใบไม้น้ำตาล ขอบแดง L</v>
          </cell>
          <cell r="E44">
            <v>0</v>
          </cell>
          <cell r="F44">
            <v>790</v>
          </cell>
        </row>
        <row r="45">
          <cell r="A45" t="str">
            <v>BA0025-M</v>
          </cell>
          <cell r="B45" t="str">
            <v>A25</v>
          </cell>
          <cell r="C45" t="str">
            <v>เยื่อไผ่ แขนสั้นขาสั้น ใบไม้น้ำตาล ขอบแดง M</v>
          </cell>
          <cell r="E45">
            <v>0</v>
          </cell>
          <cell r="F45">
            <v>790</v>
          </cell>
        </row>
        <row r="46">
          <cell r="A46" t="str">
            <v>BA0025-S</v>
          </cell>
          <cell r="B46" t="str">
            <v>A25</v>
          </cell>
          <cell r="C46" t="str">
            <v>เยื่อไผ่ แขนสั้นขาสั้น ใบไม้น้ำตาล ขอบแดง S</v>
          </cell>
          <cell r="E46">
            <v>0</v>
          </cell>
          <cell r="F46">
            <v>790</v>
          </cell>
        </row>
        <row r="47">
          <cell r="A47" t="str">
            <v>BA0025-XL</v>
          </cell>
          <cell r="B47" t="str">
            <v>A25</v>
          </cell>
          <cell r="C47" t="str">
            <v>เยื่อไผ่ แขนสั้นขาสั้น ใบไม้น้ำตาล ขอบแดง XL</v>
          </cell>
          <cell r="E47">
            <v>0</v>
          </cell>
          <cell r="F47">
            <v>790</v>
          </cell>
        </row>
        <row r="48">
          <cell r="A48" t="str">
            <v>BA0032-L</v>
          </cell>
          <cell r="B48" t="str">
            <v>A32</v>
          </cell>
          <cell r="C48" t="str">
            <v>เยื่อไผ่ แขนสั้นขาสั้น ฮาวายเขียว L</v>
          </cell>
          <cell r="E48">
            <v>0</v>
          </cell>
          <cell r="F48">
            <v>790</v>
          </cell>
        </row>
        <row r="49">
          <cell r="A49" t="str">
            <v>BA0032-M</v>
          </cell>
          <cell r="B49" t="str">
            <v>A32</v>
          </cell>
          <cell r="C49" t="str">
            <v>เยื่อไผ่ แขนสั้นขาสั้น ฮาวายเขียว M</v>
          </cell>
          <cell r="E49">
            <v>0</v>
          </cell>
          <cell r="F49">
            <v>790</v>
          </cell>
        </row>
        <row r="50">
          <cell r="A50" t="str">
            <v>BA0032-XL</v>
          </cell>
          <cell r="B50" t="str">
            <v>A32</v>
          </cell>
          <cell r="C50" t="str">
            <v>เยื่อไผ่ แขนสั้นขาสั้น ฮาวายเขียว XL</v>
          </cell>
          <cell r="E50">
            <v>0</v>
          </cell>
          <cell r="F50">
            <v>790</v>
          </cell>
        </row>
        <row r="51">
          <cell r="A51" t="str">
            <v>BA0033-L</v>
          </cell>
          <cell r="B51" t="str">
            <v>A33</v>
          </cell>
          <cell r="C51" t="str">
            <v>เยื่อไผ่ แขนสั้นขาสั้น ฮาวายเหลือง L</v>
          </cell>
          <cell r="E51">
            <v>0</v>
          </cell>
          <cell r="F51">
            <v>790</v>
          </cell>
        </row>
        <row r="52">
          <cell r="A52" t="str">
            <v>BA0033-M</v>
          </cell>
          <cell r="B52" t="str">
            <v>A33</v>
          </cell>
          <cell r="C52" t="str">
            <v>เยื่อไผ่ แขนสั้นขาสั้น ฮาวายเหลือง M</v>
          </cell>
          <cell r="E52">
            <v>0</v>
          </cell>
          <cell r="F52">
            <v>790</v>
          </cell>
        </row>
        <row r="53">
          <cell r="A53" t="str">
            <v>BA0033-XL</v>
          </cell>
          <cell r="B53" t="str">
            <v>A33</v>
          </cell>
          <cell r="C53" t="str">
            <v>เยื่อไผ่ แขนสั้นขาสั้น ฮาวายเหลือง XL</v>
          </cell>
          <cell r="E53">
            <v>0</v>
          </cell>
          <cell r="F53">
            <v>790</v>
          </cell>
        </row>
        <row r="54">
          <cell r="A54" t="str">
            <v>BA00330-L</v>
          </cell>
          <cell r="B54" t="str">
            <v>A330</v>
          </cell>
          <cell r="E54">
            <v>0</v>
          </cell>
          <cell r="F54">
            <v>0</v>
          </cell>
        </row>
        <row r="55">
          <cell r="A55" t="str">
            <v>BA0034-L</v>
          </cell>
          <cell r="B55" t="str">
            <v>A34</v>
          </cell>
          <cell r="C55" t="str">
            <v>เยื่อไผ่ แขนสั้นขาสั้น ใบบัวน้ำตาล พื้นม่วง L</v>
          </cell>
          <cell r="E55">
            <v>0</v>
          </cell>
          <cell r="F55">
            <v>790</v>
          </cell>
        </row>
        <row r="56">
          <cell r="A56" t="str">
            <v>BA0034-M</v>
          </cell>
          <cell r="B56" t="str">
            <v>A34</v>
          </cell>
          <cell r="C56" t="str">
            <v>เยื่อไผ่ แขนสั้นขาสั้น ใบบัวน้ำตาล พื้นม่วง M</v>
          </cell>
          <cell r="E56">
            <v>0</v>
          </cell>
          <cell r="F56">
            <v>790</v>
          </cell>
        </row>
        <row r="57">
          <cell r="A57" t="str">
            <v>BA0034-S</v>
          </cell>
          <cell r="B57" t="str">
            <v>A34</v>
          </cell>
          <cell r="C57" t="str">
            <v>เยื่อไผ่ แขนสั้นขาสั้น ใบบัวน้ำตาล พื้นม่วง S</v>
          </cell>
          <cell r="E57">
            <v>0</v>
          </cell>
          <cell r="F57">
            <v>790</v>
          </cell>
        </row>
        <row r="58">
          <cell r="A58" t="str">
            <v>BA0035-L</v>
          </cell>
          <cell r="B58" t="str">
            <v>A35</v>
          </cell>
          <cell r="C58" t="str">
            <v>เยื่อไผ่ แขนสั้นขาสั้น ขาวดอกไม้เล็ก L</v>
          </cell>
          <cell r="E58">
            <v>0</v>
          </cell>
          <cell r="F58">
            <v>790</v>
          </cell>
        </row>
        <row r="59">
          <cell r="A59" t="str">
            <v>BA0035-M</v>
          </cell>
          <cell r="B59" t="str">
            <v>A35</v>
          </cell>
          <cell r="C59" t="str">
            <v>เยื่อไผ่ แขนสั้นขาสั้น ขาวดอกไม้เล็ก M</v>
          </cell>
          <cell r="E59">
            <v>0</v>
          </cell>
          <cell r="F59">
            <v>790</v>
          </cell>
        </row>
        <row r="60">
          <cell r="A60" t="str">
            <v>BA0035-S</v>
          </cell>
          <cell r="B60" t="str">
            <v>A35</v>
          </cell>
          <cell r="C60" t="str">
            <v>เยื่อไผ่ แขนสั้นขาสั้น ขาวดอกไม้เล็ก S</v>
          </cell>
          <cell r="E60">
            <v>0</v>
          </cell>
          <cell r="F60">
            <v>790</v>
          </cell>
        </row>
        <row r="61">
          <cell r="A61" t="str">
            <v>BA0035-XL</v>
          </cell>
          <cell r="B61" t="str">
            <v>A35</v>
          </cell>
          <cell r="C61" t="str">
            <v>เยื่อไผ่ แขนสั้นขาสั้น ขาวดอกไม้เล็ก XL</v>
          </cell>
          <cell r="E61">
            <v>0</v>
          </cell>
          <cell r="F61">
            <v>790</v>
          </cell>
        </row>
        <row r="62">
          <cell r="A62" t="str">
            <v>BA0036-L</v>
          </cell>
          <cell r="B62" t="str">
            <v>A36</v>
          </cell>
          <cell r="C62" t="str">
            <v>เยื่อไผ่ แขนสั้นขาสั้น ดอกไม้ขาวใหญ่ พื้นเขียว L</v>
          </cell>
          <cell r="E62">
            <v>0</v>
          </cell>
          <cell r="F62">
            <v>790</v>
          </cell>
        </row>
        <row r="63">
          <cell r="A63" t="str">
            <v>BA0036-M</v>
          </cell>
          <cell r="B63" t="str">
            <v>A36</v>
          </cell>
          <cell r="C63" t="str">
            <v>เยื่อไผ่ แขนสั้นขาสั้น ดอกไม้ขาวใหญ่ พื้นเขียว M</v>
          </cell>
          <cell r="E63">
            <v>0</v>
          </cell>
          <cell r="F63">
            <v>790</v>
          </cell>
        </row>
        <row r="64">
          <cell r="A64" t="str">
            <v>BA0036-XL</v>
          </cell>
          <cell r="B64" t="str">
            <v>A36</v>
          </cell>
          <cell r="C64" t="str">
            <v>เยื่อไผ่ แขนสั้นขาสั้น ดอกไม้ขาวใหญ่ พื้นเขียว XL</v>
          </cell>
          <cell r="E64">
            <v>0</v>
          </cell>
          <cell r="F64">
            <v>790</v>
          </cell>
        </row>
        <row r="65">
          <cell r="A65" t="str">
            <v>BA0037-L</v>
          </cell>
          <cell r="B65" t="str">
            <v>A37</v>
          </cell>
          <cell r="C65" t="str">
            <v>เยื่อไผ่ แขนสั้นขนสั้น สีกรม ดอกไม้ขาว L</v>
          </cell>
          <cell r="E65">
            <v>0</v>
          </cell>
          <cell r="F65">
            <v>790</v>
          </cell>
        </row>
        <row r="66">
          <cell r="A66" t="str">
            <v>BA0037-M</v>
          </cell>
          <cell r="B66" t="str">
            <v>A37</v>
          </cell>
          <cell r="C66" t="str">
            <v>เยื่อไผ่ แขนสั้นขาสั้น สีกรม ดอกไม้ขาว M</v>
          </cell>
          <cell r="E66">
            <v>0</v>
          </cell>
          <cell r="F66">
            <v>790</v>
          </cell>
        </row>
        <row r="67">
          <cell r="A67" t="str">
            <v>BA0037-XL</v>
          </cell>
          <cell r="B67" t="str">
            <v>A37</v>
          </cell>
          <cell r="C67" t="str">
            <v>เยื่อไผ่ แขนสั้นขาสั้น สีกรม ดอกไม้ขาว XL</v>
          </cell>
          <cell r="E67">
            <v>0</v>
          </cell>
          <cell r="F67">
            <v>790</v>
          </cell>
        </row>
        <row r="68">
          <cell r="A68" t="str">
            <v>BA0057-L</v>
          </cell>
          <cell r="B68" t="str">
            <v>A57</v>
          </cell>
          <cell r="C68" t="str">
            <v>เยื่อไผ่ แขนสั้นขาสั้น ดอกไม้ พื้นครีม L</v>
          </cell>
          <cell r="E68">
            <v>0</v>
          </cell>
          <cell r="F68">
            <v>790</v>
          </cell>
        </row>
        <row r="69">
          <cell r="A69" t="str">
            <v>BA0057-M</v>
          </cell>
          <cell r="B69" t="str">
            <v>A57</v>
          </cell>
          <cell r="C69" t="str">
            <v>เยื่อไผ่ แขนสั้นขาสั้น ดอกไม้ พื้นครีม M</v>
          </cell>
          <cell r="E69">
            <v>0</v>
          </cell>
          <cell r="F69">
            <v>790</v>
          </cell>
        </row>
        <row r="70">
          <cell r="A70" t="str">
            <v>BA0057-S</v>
          </cell>
          <cell r="B70" t="str">
            <v>QA57</v>
          </cell>
          <cell r="C70" t="str">
            <v>เยื่อไผ่ แขนสั้นขาสั้น ดอกไม้ พื้นครีม S QC</v>
          </cell>
          <cell r="E70">
            <v>0</v>
          </cell>
          <cell r="F70">
            <v>790</v>
          </cell>
        </row>
        <row r="71">
          <cell r="A71" t="str">
            <v>BA0057-XL</v>
          </cell>
          <cell r="B71" t="str">
            <v>A57</v>
          </cell>
          <cell r="C71" t="str">
            <v>เยื่อไผ่ แขนสั้นขาสั้น ดอกไม้ พื้นครีม XL</v>
          </cell>
          <cell r="E71">
            <v>0</v>
          </cell>
          <cell r="F71">
            <v>790</v>
          </cell>
        </row>
        <row r="72">
          <cell r="A72" t="str">
            <v>BA0065-L</v>
          </cell>
          <cell r="B72" t="str">
            <v>A65</v>
          </cell>
          <cell r="C72" t="str">
            <v>เยื่อไผ่ แขนสั้นขาสั้น ดอกไม้ชมพู พื้นฟ้าอ่อน L</v>
          </cell>
          <cell r="E72">
            <v>0</v>
          </cell>
          <cell r="F72">
            <v>790</v>
          </cell>
        </row>
        <row r="73">
          <cell r="A73" t="str">
            <v>BA0065-M</v>
          </cell>
          <cell r="B73" t="str">
            <v>A65</v>
          </cell>
          <cell r="C73" t="str">
            <v>เยื่อไผ่ แขนสั้นขาสั้น ดอกไม้ชมพู พื้นฟ้าอ่อน M</v>
          </cell>
          <cell r="E73">
            <v>0</v>
          </cell>
          <cell r="F73">
            <v>790</v>
          </cell>
        </row>
        <row r="74">
          <cell r="A74" t="str">
            <v>BA0065-XL</v>
          </cell>
          <cell r="B74" t="str">
            <v>A65</v>
          </cell>
          <cell r="C74" t="str">
            <v>เยื่อไผ่ แขนสั้นขาสั้น ดอกไม้ชมพู พื้นฟ้าอ่อน XL</v>
          </cell>
          <cell r="E74">
            <v>0</v>
          </cell>
          <cell r="F74">
            <v>790</v>
          </cell>
        </row>
        <row r="75">
          <cell r="A75" t="str">
            <v>BA0068-F</v>
          </cell>
          <cell r="B75" t="str">
            <v>A68</v>
          </cell>
          <cell r="C75" t="str">
            <v>เยื่อไผ่ แขนสั้นขาสั้น สีดำ ดอกไม้ชมพู FreeSize</v>
          </cell>
          <cell r="E75">
            <v>0</v>
          </cell>
          <cell r="F75">
            <v>790</v>
          </cell>
        </row>
        <row r="76">
          <cell r="A76" t="str">
            <v>BA0070-L</v>
          </cell>
          <cell r="B76" t="str">
            <v>A70</v>
          </cell>
          <cell r="C76" t="str">
            <v>เยื่อไผ่ แขนสั้นขาสั้น ดอกไม้ม่วง L</v>
          </cell>
          <cell r="E76">
            <v>0</v>
          </cell>
          <cell r="F76">
            <v>790</v>
          </cell>
        </row>
        <row r="77">
          <cell r="A77" t="str">
            <v>BA0070-M</v>
          </cell>
          <cell r="B77" t="str">
            <v>A70</v>
          </cell>
          <cell r="C77" t="str">
            <v>เยื่อไผ่ แขนสั้นขาสั้น ดอกไม้ม่วง M</v>
          </cell>
          <cell r="E77">
            <v>0</v>
          </cell>
          <cell r="F77">
            <v>790</v>
          </cell>
        </row>
        <row r="78">
          <cell r="A78" t="str">
            <v>BA0070-XL</v>
          </cell>
          <cell r="B78" t="str">
            <v>A70</v>
          </cell>
          <cell r="C78" t="str">
            <v>เยื่อไผ่ แขนสั้นขาสั้น ดอกไม้ม่วง XL</v>
          </cell>
          <cell r="E78">
            <v>0</v>
          </cell>
          <cell r="F78">
            <v>790</v>
          </cell>
        </row>
        <row r="79">
          <cell r="A79" t="str">
            <v>BA0071-L</v>
          </cell>
          <cell r="B79" t="str">
            <v>A71</v>
          </cell>
          <cell r="C79" t="str">
            <v>เยื่อไผ่ แขนสั้นขาสั้น ดอกไม้ม่วง พื้นเหลือง L</v>
          </cell>
          <cell r="E79">
            <v>0</v>
          </cell>
          <cell r="F79">
            <v>790</v>
          </cell>
        </row>
        <row r="80">
          <cell r="A80" t="str">
            <v>BA0071-M</v>
          </cell>
          <cell r="B80" t="str">
            <v>A71</v>
          </cell>
          <cell r="C80" t="str">
            <v>เยื่อไผ่ แขนสั้นขาสั้น ดอกไม้ม่วง พื้นเหลือง M</v>
          </cell>
          <cell r="E80">
            <v>0</v>
          </cell>
          <cell r="F80">
            <v>790</v>
          </cell>
        </row>
        <row r="81">
          <cell r="A81" t="str">
            <v>BA0071-XL</v>
          </cell>
          <cell r="B81" t="str">
            <v>A71</v>
          </cell>
          <cell r="C81" t="str">
            <v>เยื่อไผ่ แขนสั้นขาสั้น ดอกไม้ม่วง พื้นเหลือง XL</v>
          </cell>
          <cell r="E81">
            <v>0</v>
          </cell>
          <cell r="F81">
            <v>790</v>
          </cell>
        </row>
        <row r="82">
          <cell r="A82" t="str">
            <v>BA0072-L</v>
          </cell>
          <cell r="B82" t="str">
            <v>A72</v>
          </cell>
          <cell r="C82" t="str">
            <v>เยื่อไผ่ แขนสั้นขาสั้น ชมอ่อน ดอกไม้ม่วงเทา L</v>
          </cell>
          <cell r="E82">
            <v>0</v>
          </cell>
          <cell r="F82">
            <v>790</v>
          </cell>
        </row>
        <row r="83">
          <cell r="A83" t="str">
            <v>BA0072-M</v>
          </cell>
          <cell r="B83" t="str">
            <v>A72</v>
          </cell>
          <cell r="C83" t="str">
            <v>เยื่อไผ่ แขนสั้นขาสั้น ชมอ่อน ดอกไม้ม่วงเทา M</v>
          </cell>
          <cell r="E83">
            <v>0</v>
          </cell>
          <cell r="F83">
            <v>790</v>
          </cell>
        </row>
        <row r="84">
          <cell r="A84" t="str">
            <v>BA0072-XL</v>
          </cell>
          <cell r="B84" t="str">
            <v>A72</v>
          </cell>
          <cell r="C84" t="str">
            <v>เยื่อไผ่ แขนสั้นขาสั้น ชมอ่อน ดอกไม้ม่วงเทา XL</v>
          </cell>
          <cell r="E84">
            <v>0</v>
          </cell>
          <cell r="F84">
            <v>790</v>
          </cell>
        </row>
        <row r="85">
          <cell r="A85" t="str">
            <v>BA0073-L</v>
          </cell>
          <cell r="B85" t="str">
            <v>A73</v>
          </cell>
          <cell r="C85" t="str">
            <v>เยื่อไผ่ แขนสั้นขาสั้น ดอกไม้น้ำตาล L</v>
          </cell>
          <cell r="E85">
            <v>0</v>
          </cell>
          <cell r="F85">
            <v>790</v>
          </cell>
        </row>
        <row r="86">
          <cell r="A86" t="str">
            <v>BA0073-M</v>
          </cell>
          <cell r="B86" t="str">
            <v>A73</v>
          </cell>
          <cell r="C86" t="str">
            <v>เยื่อไผ่ แขนสั้นขาสั้น ดอกไม้น้ำตาล M</v>
          </cell>
          <cell r="E86">
            <v>0</v>
          </cell>
          <cell r="F86">
            <v>790</v>
          </cell>
        </row>
        <row r="87">
          <cell r="A87" t="str">
            <v>BA0073-S</v>
          </cell>
          <cell r="B87" t="str">
            <v>A73</v>
          </cell>
          <cell r="C87" t="str">
            <v>เยื่อไผ่ แขนสั้นขาสั้น ลายดอกไม้น้ำตาล S</v>
          </cell>
          <cell r="E87">
            <v>0</v>
          </cell>
          <cell r="F87">
            <v>790</v>
          </cell>
        </row>
        <row r="88">
          <cell r="A88" t="str">
            <v>BA0073-XL</v>
          </cell>
          <cell r="B88" t="str">
            <v>A73</v>
          </cell>
          <cell r="C88" t="str">
            <v>เยื่อไผ่ แขนสั้นขาสั้น ดอกไม้น้ำตาล XL</v>
          </cell>
          <cell r="E88">
            <v>0</v>
          </cell>
          <cell r="F88">
            <v>790</v>
          </cell>
        </row>
        <row r="89">
          <cell r="A89" t="str">
            <v>BA0076-L</v>
          </cell>
          <cell r="B89" t="str">
            <v>A76</v>
          </cell>
          <cell r="C89" t="str">
            <v>เยื่อไผ่ แขนสั้นขาสั้น ดอกไม้ พื้นม่วง L</v>
          </cell>
          <cell r="E89">
            <v>0</v>
          </cell>
          <cell r="F89">
            <v>790</v>
          </cell>
        </row>
        <row r="90">
          <cell r="A90" t="str">
            <v>BA0076-M</v>
          </cell>
          <cell r="B90" t="str">
            <v>A76</v>
          </cell>
          <cell r="C90" t="str">
            <v>เยื่อไผ่ แขนสั้นขาสั้น ดอกไม้ พื้นม่วง M</v>
          </cell>
          <cell r="E90">
            <v>0</v>
          </cell>
          <cell r="F90">
            <v>790</v>
          </cell>
        </row>
        <row r="91">
          <cell r="A91" t="str">
            <v>BA0076-S</v>
          </cell>
          <cell r="B91" t="str">
            <v>A76</v>
          </cell>
          <cell r="C91" t="str">
            <v>เยื่อไผ่ แขนสั้นขาสั้น ดอกไม้ พื้นม่วง S</v>
          </cell>
          <cell r="E91">
            <v>0</v>
          </cell>
          <cell r="F91">
            <v>790</v>
          </cell>
        </row>
        <row r="92">
          <cell r="A92" t="str">
            <v>BA0088-L</v>
          </cell>
          <cell r="B92" t="str">
            <v>A88</v>
          </cell>
          <cell r="C92" t="str">
            <v>เยื่อไผ่ แขนสั้นขาสั้น ดอกกล้วยไม้ L</v>
          </cell>
          <cell r="E92">
            <v>0</v>
          </cell>
          <cell r="F92">
            <v>790</v>
          </cell>
        </row>
        <row r="93">
          <cell r="A93" t="str">
            <v>BA0088-M</v>
          </cell>
          <cell r="B93" t="str">
            <v>A88</v>
          </cell>
          <cell r="C93" t="str">
            <v>เยื่อไผ่ แขนสั้นขาสั้น ดอกกล้วยไม้ M</v>
          </cell>
          <cell r="E93">
            <v>0</v>
          </cell>
          <cell r="F93">
            <v>790</v>
          </cell>
        </row>
        <row r="94">
          <cell r="A94" t="str">
            <v>BA0088-S</v>
          </cell>
          <cell r="B94" t="str">
            <v>A88</v>
          </cell>
          <cell r="C94" t="str">
            <v>เยื่อไผ่ แขนสั้นขาสั้น ดอกกล้วยไม้ S</v>
          </cell>
          <cell r="E94">
            <v>0</v>
          </cell>
          <cell r="F94">
            <v>790</v>
          </cell>
        </row>
        <row r="95">
          <cell r="A95" t="str">
            <v>BA0089-L</v>
          </cell>
          <cell r="B95" t="str">
            <v>A89</v>
          </cell>
          <cell r="C95" t="str">
            <v>เยื่อไผ่ แขนสั้นขาสั้น กล้วยไม้ พื้นครีม L Oversize</v>
          </cell>
          <cell r="E95">
            <v>0</v>
          </cell>
          <cell r="F95">
            <v>790</v>
          </cell>
        </row>
        <row r="96">
          <cell r="A96" t="str">
            <v>BA0089-M</v>
          </cell>
          <cell r="B96" t="str">
            <v>A89</v>
          </cell>
          <cell r="C96" t="str">
            <v>เยื่อไผ่ แขนสั้นขาสั้น กล้วยไม้ พื้นครีม M Oversize</v>
          </cell>
          <cell r="E96">
            <v>0</v>
          </cell>
          <cell r="F96">
            <v>790</v>
          </cell>
        </row>
        <row r="97">
          <cell r="A97" t="str">
            <v>BA0089-XL</v>
          </cell>
          <cell r="B97" t="str">
            <v>A89</v>
          </cell>
          <cell r="C97" t="str">
            <v>เยื่อไผ่ แขนสั้นขาสั้น กล้วยไม้ พื้นครีม XL Oversize</v>
          </cell>
          <cell r="E97">
            <v>0</v>
          </cell>
          <cell r="F97">
            <v>790</v>
          </cell>
        </row>
        <row r="98">
          <cell r="A98" t="str">
            <v>BA0090-L</v>
          </cell>
          <cell r="B98" t="str">
            <v>A90</v>
          </cell>
          <cell r="C98" t="str">
            <v>เยื่อไผ่ แขนสั้นขาสั้น ดอกไม้ Secret L</v>
          </cell>
          <cell r="E98">
            <v>0</v>
          </cell>
          <cell r="F98">
            <v>790</v>
          </cell>
        </row>
        <row r="99">
          <cell r="A99" t="str">
            <v>BA0090-M</v>
          </cell>
          <cell r="B99" t="str">
            <v>QA90</v>
          </cell>
          <cell r="C99" t="str">
            <v>เยื่อไผ่ แขนสั้นขาสั้น ดอกไม้ Secret M QC</v>
          </cell>
          <cell r="E99">
            <v>0</v>
          </cell>
          <cell r="F99">
            <v>790</v>
          </cell>
        </row>
        <row r="100">
          <cell r="A100" t="str">
            <v>BA0090-S</v>
          </cell>
          <cell r="B100" t="str">
            <v>A90</v>
          </cell>
          <cell r="C100" t="str">
            <v>เยื่อไผ่ แขนสั้นขาสั้น ดอกไม้ Secret S</v>
          </cell>
          <cell r="E100">
            <v>0</v>
          </cell>
          <cell r="F100">
            <v>790</v>
          </cell>
        </row>
        <row r="101">
          <cell r="A101" t="str">
            <v>BA0090-XL</v>
          </cell>
          <cell r="B101" t="str">
            <v>A90</v>
          </cell>
          <cell r="C101" t="str">
            <v>เยื่อไผ่ แขนสั้นขาสั้น ดอกไม้ Secret XL</v>
          </cell>
          <cell r="E101">
            <v>0</v>
          </cell>
          <cell r="F101">
            <v>790</v>
          </cell>
        </row>
        <row r="102">
          <cell r="A102" t="str">
            <v>BA0091-L</v>
          </cell>
          <cell r="B102" t="str">
            <v>A91</v>
          </cell>
          <cell r="C102" t="str">
            <v>เยื่อไผ่ แขนสั้นขาสั้น สีเขียวน้ำทะเล ดอกไม้ L</v>
          </cell>
          <cell r="E102">
            <v>0</v>
          </cell>
          <cell r="F102">
            <v>790</v>
          </cell>
        </row>
        <row r="103">
          <cell r="A103" t="str">
            <v>BA0091-M</v>
          </cell>
          <cell r="B103" t="str">
            <v>A91</v>
          </cell>
          <cell r="C103" t="str">
            <v>เยื่อไผ่ แขนสั้นขาสั้น สีเขียวน้ำทะเล ดอกไม้ M</v>
          </cell>
          <cell r="E103">
            <v>0</v>
          </cell>
          <cell r="F103">
            <v>790</v>
          </cell>
        </row>
        <row r="104">
          <cell r="A104" t="str">
            <v>BA0091-XL</v>
          </cell>
          <cell r="B104" t="str">
            <v>A91</v>
          </cell>
          <cell r="C104" t="str">
            <v>เยื่อไผ่ แขนสั้นขาสั้น สีเขียวน้ำทะเล ดอกไม้ XL</v>
          </cell>
          <cell r="E104">
            <v>0</v>
          </cell>
          <cell r="F104">
            <v>790</v>
          </cell>
        </row>
        <row r="105">
          <cell r="A105" t="str">
            <v>BA0097-L</v>
          </cell>
          <cell r="B105" t="str">
            <v>A97</v>
          </cell>
          <cell r="C105" t="str">
            <v>เยื่อไผ่ แขนสั้นขาสั้น ดอกชบา ส้ม L</v>
          </cell>
          <cell r="E105">
            <v>0</v>
          </cell>
          <cell r="F105">
            <v>790</v>
          </cell>
        </row>
        <row r="106">
          <cell r="A106" t="str">
            <v>BA0097-M</v>
          </cell>
          <cell r="B106" t="str">
            <v>A97</v>
          </cell>
          <cell r="C106" t="str">
            <v>เยื่อไผ่ แขนสั้นขาสั้น ดอกชบา ส้ม M</v>
          </cell>
          <cell r="E106">
            <v>0</v>
          </cell>
          <cell r="F106">
            <v>790</v>
          </cell>
        </row>
        <row r="107">
          <cell r="A107" t="str">
            <v>BA0097-XL</v>
          </cell>
          <cell r="B107" t="str">
            <v>A97</v>
          </cell>
          <cell r="C107" t="str">
            <v>เยื่อไผ่ แขนสั้นขาสั้น ดอกชบา ส้ม XL</v>
          </cell>
          <cell r="E107">
            <v>0</v>
          </cell>
          <cell r="F107">
            <v>790</v>
          </cell>
        </row>
        <row r="108">
          <cell r="A108" t="str">
            <v>BA0098-L</v>
          </cell>
          <cell r="B108" t="str">
            <v>A98</v>
          </cell>
          <cell r="C108" t="str">
            <v>เยื่อไผ่ แขนสั้นขาสั้น โบตั๋น NEW L</v>
          </cell>
          <cell r="E108">
            <v>0</v>
          </cell>
          <cell r="F108">
            <v>790</v>
          </cell>
        </row>
        <row r="109">
          <cell r="A109" t="str">
            <v>BA0098-M</v>
          </cell>
          <cell r="B109" t="str">
            <v>A98</v>
          </cell>
          <cell r="C109" t="str">
            <v>เยื่อไผ่ แขนสั้นขาสั้น โบตั๋น NEW M</v>
          </cell>
          <cell r="E109">
            <v>0</v>
          </cell>
          <cell r="F109">
            <v>790</v>
          </cell>
        </row>
        <row r="110">
          <cell r="A110" t="str">
            <v>BA0098-S</v>
          </cell>
          <cell r="B110" t="str">
            <v>A98</v>
          </cell>
          <cell r="C110" t="str">
            <v>เยื่อไผ่ แขนสั้นขาสั้น โบตั๋น NEW S</v>
          </cell>
          <cell r="E110">
            <v>0</v>
          </cell>
          <cell r="F110">
            <v>790</v>
          </cell>
        </row>
        <row r="111">
          <cell r="A111" t="str">
            <v>BA0098-XL</v>
          </cell>
          <cell r="B111" t="str">
            <v>A98</v>
          </cell>
          <cell r="C111" t="str">
            <v>เยื่อไผ่ แขนสั้นขาสั้น โบตั๋น NEW XL</v>
          </cell>
          <cell r="E111">
            <v>0</v>
          </cell>
          <cell r="F111">
            <v>790</v>
          </cell>
        </row>
        <row r="112">
          <cell r="A112" t="str">
            <v>BA0103-L</v>
          </cell>
          <cell r="B112" t="str">
            <v>A103</v>
          </cell>
          <cell r="C112" t="str">
            <v>เยื่อไผ่ แขนสั้น ขาสั้น ดอกทิวลิป พื้นฟ้า L</v>
          </cell>
          <cell r="E112">
            <v>0</v>
          </cell>
          <cell r="F112">
            <v>790</v>
          </cell>
        </row>
        <row r="113">
          <cell r="A113" t="str">
            <v>BA0103-M</v>
          </cell>
          <cell r="B113" t="str">
            <v>A103</v>
          </cell>
          <cell r="C113" t="str">
            <v>เยื่อไผ่ แขนสั้นขาสั้น ดอกทิวลิป พื้นฟ้า M</v>
          </cell>
          <cell r="E113">
            <v>0</v>
          </cell>
          <cell r="F113">
            <v>790</v>
          </cell>
        </row>
        <row r="114">
          <cell r="A114" t="str">
            <v>BA0103-S</v>
          </cell>
          <cell r="B114" t="str">
            <v>A103</v>
          </cell>
          <cell r="C114" t="str">
            <v>เยื่อไผ่ แขนสั้น ขาสั้น ดอกทิวลิป พื้นฟ้า S</v>
          </cell>
          <cell r="E114">
            <v>0</v>
          </cell>
          <cell r="F114">
            <v>790</v>
          </cell>
        </row>
        <row r="115">
          <cell r="A115" t="str">
            <v>BA0103-XL</v>
          </cell>
          <cell r="B115" t="str">
            <v>A103</v>
          </cell>
          <cell r="C115" t="str">
            <v>เยื่อไผ่ แขนสั้นขาสั้น ดอกทิวลิป พื้นฟ้า XL</v>
          </cell>
          <cell r="E115">
            <v>0</v>
          </cell>
          <cell r="F115">
            <v>790</v>
          </cell>
        </row>
        <row r="116">
          <cell r="A116" t="str">
            <v>BA0106-L</v>
          </cell>
          <cell r="B116" t="str">
            <v>A106</v>
          </cell>
          <cell r="C116" t="str">
            <v>เยื่อไผ่ แขนสั้นขาสั้น พีช Tropical L</v>
          </cell>
          <cell r="E116">
            <v>0</v>
          </cell>
          <cell r="F116">
            <v>790</v>
          </cell>
        </row>
        <row r="117">
          <cell r="A117" t="str">
            <v>BA0106-M</v>
          </cell>
          <cell r="B117" t="str">
            <v>A106</v>
          </cell>
          <cell r="C117" t="str">
            <v>เยื่อไผ่ แขนสั้นขาสั้น พีช Tropical M</v>
          </cell>
          <cell r="E117">
            <v>0</v>
          </cell>
          <cell r="F117">
            <v>790</v>
          </cell>
        </row>
        <row r="118">
          <cell r="A118" t="str">
            <v>BA0106-S</v>
          </cell>
          <cell r="B118" t="str">
            <v>A106</v>
          </cell>
          <cell r="C118" t="str">
            <v>เยื่อไผ่ แขนสั้นขาสั้น พีช Tropical S</v>
          </cell>
          <cell r="E118">
            <v>0</v>
          </cell>
          <cell r="F118">
            <v>790</v>
          </cell>
        </row>
        <row r="119">
          <cell r="A119" t="str">
            <v>BA0106-XL</v>
          </cell>
          <cell r="B119" t="str">
            <v>A106</v>
          </cell>
          <cell r="C119" t="str">
            <v>เยื่อไผ่ แขนสั้นขาสั้น พีช Tropical XL</v>
          </cell>
          <cell r="E119">
            <v>0</v>
          </cell>
          <cell r="F119">
            <v>790</v>
          </cell>
        </row>
        <row r="120">
          <cell r="A120" t="str">
            <v>BA0108-F</v>
          </cell>
          <cell r="B120" t="str">
            <v>A108</v>
          </cell>
          <cell r="C120" t="str">
            <v>เยื่อไผ่ แขนสั้นขาสั้น พีช FreeSize</v>
          </cell>
          <cell r="E120">
            <v>0</v>
          </cell>
          <cell r="F120">
            <v>790</v>
          </cell>
        </row>
        <row r="121">
          <cell r="A121" t="str">
            <v>BA0108-L</v>
          </cell>
          <cell r="B121" t="str">
            <v>A108</v>
          </cell>
          <cell r="C121" t="str">
            <v>เยื่อไผ่ แขนสั้นขาสั้น พีช Oversize L</v>
          </cell>
          <cell r="E121">
            <v>0</v>
          </cell>
          <cell r="F121">
            <v>790</v>
          </cell>
        </row>
        <row r="122">
          <cell r="A122" t="str">
            <v>BA0108-M</v>
          </cell>
          <cell r="B122" t="str">
            <v>A108</v>
          </cell>
          <cell r="C122" t="str">
            <v>เยื่อไผ่ แขนสั้นขาสั้น พีช Oversize M</v>
          </cell>
          <cell r="E122">
            <v>0</v>
          </cell>
          <cell r="F122">
            <v>790</v>
          </cell>
        </row>
        <row r="123">
          <cell r="A123" t="str">
            <v>BA0108-S</v>
          </cell>
          <cell r="B123" t="str">
            <v>JA108</v>
          </cell>
          <cell r="C123" t="str">
            <v>เยื่อไผ่ แขนสั้นขาสั้น พีช Oversize S ตัวโชว์</v>
          </cell>
          <cell r="E123">
            <v>0</v>
          </cell>
          <cell r="F123">
            <v>790</v>
          </cell>
        </row>
        <row r="124">
          <cell r="A124" t="str">
            <v>BA0110-L</v>
          </cell>
          <cell r="B124" t="str">
            <v>A110</v>
          </cell>
          <cell r="C124" t="str">
            <v>เยื่อไผ่ แขนสั้นขาสั้น ลายเลมอน สีม่วง OverSize L</v>
          </cell>
          <cell r="E124">
            <v>0</v>
          </cell>
          <cell r="F124">
            <v>790</v>
          </cell>
        </row>
        <row r="125">
          <cell r="A125" t="str">
            <v>BA0110-M</v>
          </cell>
          <cell r="B125" t="str">
            <v>A110</v>
          </cell>
          <cell r="C125" t="str">
            <v>เยื่อไผ่ แขนสั้นขาสั้น ลายเลมอน สีม่วง OverSize M</v>
          </cell>
          <cell r="E125">
            <v>0</v>
          </cell>
          <cell r="F125">
            <v>790</v>
          </cell>
        </row>
        <row r="126">
          <cell r="A126" t="str">
            <v>BA0110-S</v>
          </cell>
          <cell r="B126" t="str">
            <v>A110</v>
          </cell>
          <cell r="C126" t="str">
            <v>เยื่อไผ่ แขนสั้นขาสั้น ลายเลมอน สีม่วง OverSize S</v>
          </cell>
          <cell r="E126">
            <v>0</v>
          </cell>
          <cell r="F126">
            <v>790</v>
          </cell>
        </row>
        <row r="127">
          <cell r="A127" t="str">
            <v>BA0111-L</v>
          </cell>
          <cell r="B127" t="str">
            <v>A111</v>
          </cell>
          <cell r="C127" t="str">
            <v>เยื่อไผ่ แขนสั้นขาสั้น สัปปะรด พื้นเหลือง OverSize L</v>
          </cell>
          <cell r="E127">
            <v>0</v>
          </cell>
          <cell r="F127">
            <v>790</v>
          </cell>
        </row>
        <row r="128">
          <cell r="A128" t="str">
            <v>BA0111-M</v>
          </cell>
          <cell r="B128" t="str">
            <v>A111</v>
          </cell>
          <cell r="C128" t="str">
            <v>เยื่อไผ่ แขนสั้นขาสั้น สัปปะรด พื้นเหลือง OVERSIZE M</v>
          </cell>
          <cell r="E128">
            <v>0</v>
          </cell>
          <cell r="F128">
            <v>790</v>
          </cell>
        </row>
        <row r="129">
          <cell r="A129" t="str">
            <v>BA0111-S</v>
          </cell>
          <cell r="B129" t="str">
            <v>A111</v>
          </cell>
          <cell r="C129" t="str">
            <v>เยื่อไผ่ แขนสั้นขาสั้น สัปปะรด พื้นเหลือง OverSize S</v>
          </cell>
          <cell r="E129">
            <v>0</v>
          </cell>
          <cell r="F129">
            <v>790</v>
          </cell>
        </row>
        <row r="130">
          <cell r="A130" t="str">
            <v>BA0112-L</v>
          </cell>
          <cell r="B130" t="str">
            <v>A112</v>
          </cell>
          <cell r="C130" t="str">
            <v>เยื่อไผ่ แขนสั้นขาสั้น สาลี่ L</v>
          </cell>
          <cell r="E130">
            <v>0</v>
          </cell>
          <cell r="F130">
            <v>790</v>
          </cell>
        </row>
        <row r="131">
          <cell r="A131" t="str">
            <v>BA0112-M</v>
          </cell>
          <cell r="B131" t="str">
            <v>A112</v>
          </cell>
          <cell r="C131" t="str">
            <v>เยื่อไผ่ แขนสั้นขาสั้น สาลี่ M</v>
          </cell>
          <cell r="E131">
            <v>0</v>
          </cell>
          <cell r="F131">
            <v>790</v>
          </cell>
        </row>
        <row r="132">
          <cell r="A132" t="str">
            <v>BA0112-S</v>
          </cell>
          <cell r="B132" t="str">
            <v>A112</v>
          </cell>
          <cell r="C132" t="str">
            <v>เยื่อไผ่ แขนสั้นขาสั้น สาลี่ S</v>
          </cell>
          <cell r="E132">
            <v>0</v>
          </cell>
          <cell r="F132">
            <v>790</v>
          </cell>
        </row>
        <row r="133">
          <cell r="A133" t="str">
            <v>BA0112-XL</v>
          </cell>
          <cell r="B133" t="str">
            <v>A112</v>
          </cell>
          <cell r="C133" t="str">
            <v>เยื่อไผ่ แขนสั้นขาสั้น สาลี่ XL</v>
          </cell>
          <cell r="E133">
            <v>0</v>
          </cell>
          <cell r="F133">
            <v>790</v>
          </cell>
        </row>
        <row r="134">
          <cell r="A134" t="str">
            <v>BA0113-L</v>
          </cell>
          <cell r="B134" t="str">
            <v>A113</v>
          </cell>
          <cell r="C134" t="str">
            <v>เยื่อไผ่ แขนสั้นขาสั้น ชมพูพื้น L</v>
          </cell>
          <cell r="E134">
            <v>0</v>
          </cell>
          <cell r="F134">
            <v>790</v>
          </cell>
        </row>
        <row r="135">
          <cell r="A135" t="str">
            <v>BA0113-M</v>
          </cell>
          <cell r="B135" t="str">
            <v>A113</v>
          </cell>
          <cell r="C135" t="str">
            <v>เยื่อไผ่ แขนสั้นขาสั้น ชมพูพื้น M</v>
          </cell>
          <cell r="E135">
            <v>0</v>
          </cell>
          <cell r="F135">
            <v>790</v>
          </cell>
        </row>
        <row r="136">
          <cell r="A136" t="str">
            <v>BA0113-S</v>
          </cell>
          <cell r="B136" t="str">
            <v>A113</v>
          </cell>
          <cell r="C136" t="str">
            <v>เยื่อไผ่ แขนสั้นขาสั้น ชมพูพื้น S</v>
          </cell>
          <cell r="E136">
            <v>0</v>
          </cell>
          <cell r="F136">
            <v>790</v>
          </cell>
        </row>
        <row r="137">
          <cell r="A137" t="str">
            <v>BA0113-XL</v>
          </cell>
          <cell r="B137" t="str">
            <v>A113</v>
          </cell>
          <cell r="C137" t="str">
            <v>เยื่อไผ่ แขนสั้นขาสั้น ชมพูพื้น XL</v>
          </cell>
          <cell r="E137">
            <v>0</v>
          </cell>
          <cell r="F137">
            <v>790</v>
          </cell>
        </row>
        <row r="138">
          <cell r="A138" t="str">
            <v>BA0114-L</v>
          </cell>
          <cell r="B138" t="str">
            <v>A114</v>
          </cell>
          <cell r="C138" t="str">
            <v>เยื่อไผ่ แขนสั้นขาสั้น เขียวอ่อนพื้น L</v>
          </cell>
          <cell r="E138">
            <v>0</v>
          </cell>
          <cell r="F138">
            <v>790</v>
          </cell>
        </row>
        <row r="139">
          <cell r="A139" t="str">
            <v>BA0114-M</v>
          </cell>
          <cell r="B139" t="str">
            <v>A114</v>
          </cell>
          <cell r="C139" t="str">
            <v>เยื่อไผ่ แขนสั้นขาสั้น เขียวอ่อนพื้น M</v>
          </cell>
          <cell r="E139">
            <v>0</v>
          </cell>
          <cell r="F139">
            <v>790</v>
          </cell>
        </row>
        <row r="140">
          <cell r="A140" t="str">
            <v>BA0114-S</v>
          </cell>
          <cell r="B140" t="str">
            <v>A114</v>
          </cell>
          <cell r="C140" t="str">
            <v>เยื่อไผ่ แขนสั้นขาสั้น เขียวอ่อนพื้น S</v>
          </cell>
          <cell r="E140">
            <v>0</v>
          </cell>
          <cell r="F140">
            <v>790</v>
          </cell>
        </row>
        <row r="141">
          <cell r="A141" t="str">
            <v>BA0114-XL</v>
          </cell>
          <cell r="B141" t="str">
            <v>A114</v>
          </cell>
          <cell r="C141" t="str">
            <v>เยื่อไผ่ แขนสั้นขาสั้น เขียวอ่อนพื้น XL</v>
          </cell>
          <cell r="E141">
            <v>0</v>
          </cell>
          <cell r="F141">
            <v>790</v>
          </cell>
        </row>
        <row r="142">
          <cell r="A142" t="str">
            <v>BA0115-L</v>
          </cell>
          <cell r="B142" t="str">
            <v>A115</v>
          </cell>
          <cell r="C142" t="str">
            <v>เยื่อไผ่ แขนสั้นขาสั้น เทาฟ้าพื้น L</v>
          </cell>
          <cell r="E142">
            <v>0</v>
          </cell>
          <cell r="F142">
            <v>790</v>
          </cell>
        </row>
        <row r="143">
          <cell r="A143" t="str">
            <v>BA0115-M</v>
          </cell>
          <cell r="B143" t="str">
            <v>A115</v>
          </cell>
          <cell r="C143" t="str">
            <v>เยื่อไผ่ แขนสั้นขาสั้น เทาฟ้าพื้น M</v>
          </cell>
          <cell r="E143">
            <v>0</v>
          </cell>
          <cell r="F143">
            <v>790</v>
          </cell>
        </row>
        <row r="144">
          <cell r="A144" t="str">
            <v>BA0115-S</v>
          </cell>
          <cell r="B144" t="str">
            <v>A115</v>
          </cell>
          <cell r="C144" t="str">
            <v>เยื่อไผ่ แขนสั้นขาสั้น เทาฟ้าพื้น S</v>
          </cell>
          <cell r="E144">
            <v>0</v>
          </cell>
          <cell r="F144">
            <v>790</v>
          </cell>
        </row>
        <row r="145">
          <cell r="A145" t="str">
            <v>BA0115-XL</v>
          </cell>
          <cell r="B145" t="str">
            <v>A115</v>
          </cell>
          <cell r="C145" t="str">
            <v>เยื่อไผ่ แขนสั้นขาสั้น เทาฟ้าพื้น XL</v>
          </cell>
          <cell r="E145">
            <v>0</v>
          </cell>
          <cell r="F145">
            <v>790</v>
          </cell>
        </row>
        <row r="146">
          <cell r="A146" t="str">
            <v>BA0117-L</v>
          </cell>
          <cell r="B146" t="str">
            <v>A117</v>
          </cell>
          <cell r="C146" t="str">
            <v>เยื่อไผ่ แขนสั้นขาสั้น ลายทาง พาสเทล L</v>
          </cell>
          <cell r="E146">
            <v>0</v>
          </cell>
          <cell r="F146">
            <v>790</v>
          </cell>
        </row>
        <row r="147">
          <cell r="A147" t="str">
            <v>BA0117-M</v>
          </cell>
          <cell r="B147" t="str">
            <v>A117</v>
          </cell>
          <cell r="C147" t="str">
            <v>เยื่อไผ่ แขนสั้นขาสั้น ลายทาง พาสเทล M</v>
          </cell>
          <cell r="E147">
            <v>0</v>
          </cell>
          <cell r="F147">
            <v>790</v>
          </cell>
        </row>
        <row r="148">
          <cell r="A148" t="str">
            <v>BA0117-S</v>
          </cell>
          <cell r="B148" t="str">
            <v>A117</v>
          </cell>
          <cell r="C148" t="str">
            <v>เยื่อไผ่ แขนสั้นขาสั้น ลายทาง พาสเทล S</v>
          </cell>
          <cell r="E148">
            <v>0</v>
          </cell>
          <cell r="F148">
            <v>790</v>
          </cell>
        </row>
        <row r="149">
          <cell r="A149" t="str">
            <v>BA0117-XL</v>
          </cell>
          <cell r="B149" t="str">
            <v>A117</v>
          </cell>
          <cell r="C149" t="str">
            <v>เยื่อไผ่ แขนสั้นขาสั้น ลายทาง พาสเทล XL</v>
          </cell>
          <cell r="E149">
            <v>0</v>
          </cell>
          <cell r="F149">
            <v>790</v>
          </cell>
        </row>
        <row r="150">
          <cell r="A150" t="str">
            <v>BA0118-L</v>
          </cell>
          <cell r="B150" t="str">
            <v>A118</v>
          </cell>
          <cell r="C150" t="str">
            <v>เยื่อไผ่ แขนสั้นขาสั้น ทางเขียว L</v>
          </cell>
          <cell r="E150">
            <v>0</v>
          </cell>
          <cell r="F150">
            <v>790</v>
          </cell>
        </row>
        <row r="151">
          <cell r="A151" t="str">
            <v>BA0118-M</v>
          </cell>
          <cell r="B151" t="str">
            <v>A118</v>
          </cell>
          <cell r="C151" t="str">
            <v>เยื่อไผ่ แขนสั้นขาสั้น ทางเขียว M</v>
          </cell>
          <cell r="E151">
            <v>0</v>
          </cell>
          <cell r="F151">
            <v>790</v>
          </cell>
        </row>
        <row r="152">
          <cell r="A152" t="str">
            <v>BA0118-S</v>
          </cell>
          <cell r="B152" t="str">
            <v>A118</v>
          </cell>
          <cell r="C152" t="str">
            <v>เยื่อไผ่ แขนสั้นขาสั้น ทางเขียว S</v>
          </cell>
          <cell r="E152">
            <v>0</v>
          </cell>
          <cell r="F152">
            <v>790</v>
          </cell>
        </row>
        <row r="153">
          <cell r="A153" t="str">
            <v>BA0118-XL</v>
          </cell>
          <cell r="B153" t="str">
            <v>A118</v>
          </cell>
          <cell r="C153" t="str">
            <v>เยื่อไผ่ แขนสั้นขาสั้น ทางเขียว XL</v>
          </cell>
          <cell r="E153">
            <v>0</v>
          </cell>
          <cell r="F153">
            <v>790</v>
          </cell>
        </row>
        <row r="154">
          <cell r="A154" t="str">
            <v>BA0119-2XL</v>
          </cell>
          <cell r="B154" t="str">
            <v>A119</v>
          </cell>
          <cell r="C154" t="str">
            <v>เยื่อไผ่ แขนสั้นขาสั้น ตารางดำขาว 2XL</v>
          </cell>
          <cell r="E154">
            <v>0</v>
          </cell>
          <cell r="F154">
            <v>790</v>
          </cell>
        </row>
        <row r="155">
          <cell r="A155" t="str">
            <v>BA0119-L</v>
          </cell>
          <cell r="B155" t="str">
            <v>A119</v>
          </cell>
          <cell r="C155" t="str">
            <v>เยื่อไผ่ แขนสั้นขาสั้น ตารางดำขาว L</v>
          </cell>
          <cell r="E155">
            <v>0</v>
          </cell>
          <cell r="F155">
            <v>790</v>
          </cell>
        </row>
        <row r="156">
          <cell r="A156" t="str">
            <v>BA0119-M</v>
          </cell>
          <cell r="B156" t="str">
            <v>QA119</v>
          </cell>
          <cell r="C156" t="str">
            <v>เยื่อไผ่ แขนสั้นขาสั้น ตารางดำขาว M QC</v>
          </cell>
          <cell r="E156">
            <v>0</v>
          </cell>
          <cell r="F156">
            <v>790</v>
          </cell>
        </row>
        <row r="157">
          <cell r="A157" t="str">
            <v>BA0119-XL</v>
          </cell>
          <cell r="B157" t="str">
            <v>A119</v>
          </cell>
          <cell r="C157" t="str">
            <v>เยื่อไผ่ แขนสั้นขาสั้น ตารางดำขาว XL</v>
          </cell>
          <cell r="E157">
            <v>0</v>
          </cell>
          <cell r="F157">
            <v>790</v>
          </cell>
        </row>
        <row r="158">
          <cell r="A158" t="str">
            <v>BA0121-2XL</v>
          </cell>
          <cell r="B158" t="str">
            <v>A121</v>
          </cell>
          <cell r="C158" t="str">
            <v>เยื่อไผ่ แขนสั้น ขาสั้น ขาวลายจุด Tropical 2XL</v>
          </cell>
          <cell r="E158">
            <v>0</v>
          </cell>
          <cell r="F158">
            <v>790</v>
          </cell>
        </row>
        <row r="159">
          <cell r="A159" t="str">
            <v>BA0121-L</v>
          </cell>
          <cell r="B159" t="str">
            <v>A121</v>
          </cell>
          <cell r="C159" t="str">
            <v>เยื่อไผ่ แขนสั้น ขาสั้น ขาวลายจุด Tropical L</v>
          </cell>
          <cell r="E159">
            <v>0</v>
          </cell>
          <cell r="F159">
            <v>550</v>
          </cell>
        </row>
        <row r="160">
          <cell r="A160" t="str">
            <v>BA0121-M</v>
          </cell>
          <cell r="B160" t="str">
            <v>A121</v>
          </cell>
          <cell r="C160" t="str">
            <v>เยื่อไผ่ แขนสั้น ขาสั้น ขาวลายจุด Tropical M</v>
          </cell>
          <cell r="E160">
            <v>0</v>
          </cell>
          <cell r="F160">
            <v>790</v>
          </cell>
        </row>
        <row r="161">
          <cell r="A161" t="str">
            <v>BA0121-XL</v>
          </cell>
          <cell r="B161" t="str">
            <v>A121</v>
          </cell>
          <cell r="C161" t="str">
            <v>เยื่อไผ่ แขนสั้นขาสั้น ขาวลายจุด Tropical XL</v>
          </cell>
          <cell r="E161">
            <v>0</v>
          </cell>
          <cell r="F161">
            <v>790</v>
          </cell>
        </row>
        <row r="162">
          <cell r="A162" t="str">
            <v>BA0124-L</v>
          </cell>
          <cell r="B162" t="str">
            <v>A124</v>
          </cell>
          <cell r="C162" t="str">
            <v>เยื่อไผ่ แขนสั้นขาสั้น จุดน้ำเงินเหลือง L</v>
          </cell>
          <cell r="E162">
            <v>0</v>
          </cell>
          <cell r="F162">
            <v>790</v>
          </cell>
        </row>
        <row r="163">
          <cell r="A163" t="str">
            <v>BA0124-M</v>
          </cell>
          <cell r="B163" t="str">
            <v>A124</v>
          </cell>
          <cell r="C163" t="str">
            <v>เยื่อไผ่ แขนสั้นขาสั้น จุดน้ำเงินเหลือง M</v>
          </cell>
          <cell r="E163">
            <v>0</v>
          </cell>
          <cell r="F163">
            <v>790</v>
          </cell>
        </row>
        <row r="164">
          <cell r="A164" t="str">
            <v>BA0124-XL</v>
          </cell>
          <cell r="B164" t="str">
            <v>A124</v>
          </cell>
          <cell r="C164" t="str">
            <v>เยื่อไผ่ แขนสั้นขาสั้น จุดน้ำเงินเหลือง XL</v>
          </cell>
          <cell r="E164">
            <v>0</v>
          </cell>
          <cell r="F164">
            <v>790</v>
          </cell>
        </row>
        <row r="165">
          <cell r="A165" t="str">
            <v>BA0125-L</v>
          </cell>
          <cell r="B165" t="str">
            <v>A125</v>
          </cell>
          <cell r="C165" t="str">
            <v>เยื่อไผ่ แขนสั้นขาสั้น จุดเขียว L</v>
          </cell>
          <cell r="E165">
            <v>0</v>
          </cell>
          <cell r="F165">
            <v>790</v>
          </cell>
        </row>
        <row r="166">
          <cell r="A166" t="str">
            <v>BA0125-M</v>
          </cell>
          <cell r="B166" t="str">
            <v>A125</v>
          </cell>
          <cell r="C166" t="str">
            <v>เยื่อไผ่ แขนสั้นขาสั้น จุดเขียว M</v>
          </cell>
          <cell r="E166">
            <v>0</v>
          </cell>
          <cell r="F166">
            <v>790</v>
          </cell>
        </row>
        <row r="167">
          <cell r="A167" t="str">
            <v>BA0125-S</v>
          </cell>
          <cell r="B167" t="str">
            <v>A125</v>
          </cell>
          <cell r="C167" t="str">
            <v>เยื่อไผ่ แขนสั้นขาสั้น จุดเขียว S</v>
          </cell>
          <cell r="E167">
            <v>0</v>
          </cell>
          <cell r="F167">
            <v>790</v>
          </cell>
        </row>
        <row r="168">
          <cell r="A168" t="str">
            <v>BA0125-XL</v>
          </cell>
          <cell r="B168" t="str">
            <v>A125</v>
          </cell>
          <cell r="C168" t="str">
            <v>เยื่อไผ่ แขนสั้นขาสั้น จุดเขียว XL</v>
          </cell>
          <cell r="E168">
            <v>0</v>
          </cell>
          <cell r="F168">
            <v>790</v>
          </cell>
        </row>
        <row r="169">
          <cell r="A169" t="str">
            <v>BA0126-L</v>
          </cell>
          <cell r="B169" t="str">
            <v>A126</v>
          </cell>
          <cell r="C169" t="str">
            <v>เยื่อไผ่ แขนสั้นขาสั้น จุดชมพู L</v>
          </cell>
          <cell r="E169">
            <v>0</v>
          </cell>
          <cell r="F169">
            <v>790</v>
          </cell>
        </row>
        <row r="170">
          <cell r="A170" t="str">
            <v>BA0126-M</v>
          </cell>
          <cell r="B170" t="str">
            <v>A126</v>
          </cell>
          <cell r="C170" t="str">
            <v>เยื่อไผ่ แขนสั้นขาสั้น จุดชมพู M</v>
          </cell>
          <cell r="E170">
            <v>0</v>
          </cell>
          <cell r="F170">
            <v>790</v>
          </cell>
        </row>
        <row r="171">
          <cell r="A171" t="str">
            <v>BA0126-S</v>
          </cell>
          <cell r="B171" t="str">
            <v>A126</v>
          </cell>
          <cell r="C171" t="str">
            <v>เยื่อไผ่ แขนสั้นขาสั้น จุดชมพู S</v>
          </cell>
          <cell r="E171">
            <v>0</v>
          </cell>
          <cell r="F171">
            <v>790</v>
          </cell>
        </row>
        <row r="172">
          <cell r="A172" t="str">
            <v>BA0126-XL</v>
          </cell>
          <cell r="B172" t="str">
            <v>A126</v>
          </cell>
          <cell r="C172" t="str">
            <v>เยื่อไผ่ แขนสั้นขาสั้น จุดชมพู XL</v>
          </cell>
          <cell r="E172">
            <v>0</v>
          </cell>
          <cell r="F172">
            <v>790</v>
          </cell>
        </row>
        <row r="173">
          <cell r="A173" t="str">
            <v>BA0130-L</v>
          </cell>
          <cell r="B173" t="str">
            <v>A130</v>
          </cell>
          <cell r="C173" t="str">
            <v>เยื่อไผ่ แขนสั้นขาสั้น Map L</v>
          </cell>
          <cell r="E173">
            <v>0</v>
          </cell>
          <cell r="F173">
            <v>790</v>
          </cell>
        </row>
        <row r="174">
          <cell r="A174" t="str">
            <v>BA0130-M</v>
          </cell>
          <cell r="B174" t="str">
            <v>A130</v>
          </cell>
          <cell r="C174" t="str">
            <v>เยื่อไผ่ แขนสั้นขาสั้น Map M</v>
          </cell>
          <cell r="E174">
            <v>0</v>
          </cell>
          <cell r="F174">
            <v>790</v>
          </cell>
        </row>
        <row r="175">
          <cell r="A175" t="str">
            <v>BA0130-S</v>
          </cell>
          <cell r="B175" t="str">
            <v>A130</v>
          </cell>
          <cell r="C175" t="str">
            <v>เยื่อไผ่ แขนสั้นขาสั้น Map S</v>
          </cell>
          <cell r="E175">
            <v>0</v>
          </cell>
          <cell r="F175">
            <v>790</v>
          </cell>
        </row>
        <row r="176">
          <cell r="A176" t="str">
            <v>BA0131-L</v>
          </cell>
          <cell r="B176" t="str">
            <v>A131</v>
          </cell>
          <cell r="C176" t="str">
            <v>เยื่อไผ่ แขนสั้นขาสั้น Line friend น้ำเงิน L</v>
          </cell>
          <cell r="E176">
            <v>0</v>
          </cell>
          <cell r="F176">
            <v>790</v>
          </cell>
        </row>
        <row r="177">
          <cell r="A177" t="str">
            <v>BA0131-M</v>
          </cell>
          <cell r="B177" t="str">
            <v>A131</v>
          </cell>
          <cell r="C177" t="str">
            <v>เยื่อไผ่ แขนสั้นขาสั้น Line friend น้ำเงิน M</v>
          </cell>
          <cell r="E177">
            <v>0</v>
          </cell>
          <cell r="F177">
            <v>790</v>
          </cell>
        </row>
        <row r="178">
          <cell r="A178" t="str">
            <v>BA0131-XL</v>
          </cell>
          <cell r="B178" t="str">
            <v>A131</v>
          </cell>
          <cell r="C178" t="str">
            <v>เยื่อไผ่ แขนสั้นขาสั้น Line friend น้ำเงิน XL</v>
          </cell>
          <cell r="E178">
            <v>0</v>
          </cell>
          <cell r="F178">
            <v>790</v>
          </cell>
        </row>
        <row r="179">
          <cell r="A179" t="str">
            <v>BA0132-L</v>
          </cell>
          <cell r="B179" t="str">
            <v>A132</v>
          </cell>
          <cell r="C179" t="str">
            <v>เยื่อไผ่ แขนสั้นขาสั้น Line friend ชมพู L</v>
          </cell>
          <cell r="E179">
            <v>0</v>
          </cell>
          <cell r="F179">
            <v>790</v>
          </cell>
        </row>
        <row r="180">
          <cell r="A180" t="str">
            <v>BA0132-M</v>
          </cell>
          <cell r="B180" t="str">
            <v>A132</v>
          </cell>
          <cell r="C180" t="str">
            <v>เยื่อไผ่ แขนสั้นขาสั้น Line friend ชมพู M</v>
          </cell>
          <cell r="E180">
            <v>0</v>
          </cell>
          <cell r="F180">
            <v>790</v>
          </cell>
        </row>
        <row r="181">
          <cell r="A181" t="str">
            <v>BA0132-XL</v>
          </cell>
          <cell r="B181" t="str">
            <v>A132</v>
          </cell>
          <cell r="C181" t="str">
            <v>เยื่อไผ่ แขนสั้นขาสั้น Line friend ชมพู XL</v>
          </cell>
          <cell r="E181">
            <v>0</v>
          </cell>
          <cell r="F181">
            <v>790</v>
          </cell>
        </row>
        <row r="182">
          <cell r="A182" t="str">
            <v>BA0133-L</v>
          </cell>
          <cell r="B182" t="str">
            <v>A133</v>
          </cell>
          <cell r="C182" t="str">
            <v>เยื่อไผ่ แขนสั้นขาสั้น ดาว สีฟ้า L</v>
          </cell>
          <cell r="E182">
            <v>0</v>
          </cell>
          <cell r="F182">
            <v>790</v>
          </cell>
        </row>
        <row r="183">
          <cell r="A183" t="str">
            <v>BA0133-M</v>
          </cell>
          <cell r="B183" t="str">
            <v>A133</v>
          </cell>
          <cell r="C183" t="str">
            <v>เยื่อไผ่ แขนสั้นขาสั้น ดาว สีฟ้า M</v>
          </cell>
          <cell r="E183">
            <v>0</v>
          </cell>
          <cell r="F183">
            <v>790</v>
          </cell>
        </row>
        <row r="184">
          <cell r="A184" t="str">
            <v>BA0133-S</v>
          </cell>
          <cell r="B184" t="str">
            <v>A133</v>
          </cell>
          <cell r="C184" t="str">
            <v>เยื่อไผ่ แขนสั้นขาสั้น ดาว สีฟ้า S</v>
          </cell>
          <cell r="E184">
            <v>0</v>
          </cell>
          <cell r="F184">
            <v>790</v>
          </cell>
        </row>
        <row r="185">
          <cell r="A185" t="str">
            <v>BA0133-XL</v>
          </cell>
          <cell r="B185" t="str">
            <v>A133</v>
          </cell>
          <cell r="C185" t="str">
            <v>เยื่อไผ่ แขนสั้นขาสั้น ดาว สีฟ้า XL</v>
          </cell>
          <cell r="E185">
            <v>0</v>
          </cell>
          <cell r="F185">
            <v>790</v>
          </cell>
        </row>
        <row r="186">
          <cell r="A186" t="str">
            <v>BA0134-L</v>
          </cell>
          <cell r="B186" t="str">
            <v>A134</v>
          </cell>
          <cell r="C186" t="str">
            <v>เยื่อไผ่ แขนสั้นขาสั้น หมีการ์ตูน ชมพู L</v>
          </cell>
          <cell r="E186">
            <v>0</v>
          </cell>
          <cell r="F186">
            <v>790</v>
          </cell>
        </row>
        <row r="187">
          <cell r="A187" t="str">
            <v>BA0134-M</v>
          </cell>
          <cell r="B187" t="str">
            <v>A134</v>
          </cell>
          <cell r="C187" t="str">
            <v>เยื่อไผ่ แขนสั้นขาสั้น หมีการ์ตูน ชมพู M</v>
          </cell>
          <cell r="E187">
            <v>0</v>
          </cell>
          <cell r="F187">
            <v>790</v>
          </cell>
        </row>
        <row r="188">
          <cell r="A188" t="str">
            <v>BA0134-S</v>
          </cell>
          <cell r="B188" t="str">
            <v>A134</v>
          </cell>
          <cell r="C188" t="str">
            <v>เยื่อไผ่ แขนสั้นขาสั้น หมีการ์ตูน ชมพู S</v>
          </cell>
          <cell r="E188">
            <v>0</v>
          </cell>
          <cell r="F188">
            <v>790</v>
          </cell>
        </row>
        <row r="189">
          <cell r="A189" t="str">
            <v>BA0134-XL</v>
          </cell>
          <cell r="B189" t="str">
            <v>A134</v>
          </cell>
          <cell r="C189" t="str">
            <v>เยื่อไผ่ แขนสั้นขาสั้น หมีการ์ตูน ชมพู XL</v>
          </cell>
          <cell r="E189">
            <v>0</v>
          </cell>
          <cell r="F189">
            <v>790</v>
          </cell>
        </row>
        <row r="190">
          <cell r="A190" t="str">
            <v>BA0135-2XL</v>
          </cell>
          <cell r="B190" t="str">
            <v>A135</v>
          </cell>
          <cell r="C190" t="str">
            <v>เยื่อไผ่ แขนสั้นขาสั้น ลายอาร์ทพาสเทล 2XL</v>
          </cell>
          <cell r="E190">
            <v>0</v>
          </cell>
          <cell r="F190">
            <v>790</v>
          </cell>
        </row>
        <row r="191">
          <cell r="A191" t="str">
            <v>BA0135-L</v>
          </cell>
          <cell r="B191" t="str">
            <v>A135</v>
          </cell>
          <cell r="C191" t="str">
            <v>เยื่อไผ่ แขนสั้นขาสั้น ลายอาร์ทพาสเทล L</v>
          </cell>
          <cell r="E191">
            <v>0</v>
          </cell>
          <cell r="F191">
            <v>790</v>
          </cell>
        </row>
        <row r="192">
          <cell r="A192" t="str">
            <v>BA0135-M</v>
          </cell>
          <cell r="B192" t="str">
            <v>A135</v>
          </cell>
          <cell r="C192" t="str">
            <v>เยื่อไผ่ แขนสั้นขาสั้น ลายอาร์ทพาสเทล M</v>
          </cell>
          <cell r="E192">
            <v>0</v>
          </cell>
          <cell r="F192">
            <v>790</v>
          </cell>
        </row>
        <row r="193">
          <cell r="A193" t="str">
            <v>BA0135-XL</v>
          </cell>
          <cell r="B193" t="str">
            <v>BA135</v>
          </cell>
          <cell r="C193" t="str">
            <v>เยื่อไผ่ แขนสั้นขาสั้น ลายอาร์ทพาสเทล XL</v>
          </cell>
          <cell r="E193">
            <v>0</v>
          </cell>
          <cell r="F193">
            <v>790</v>
          </cell>
        </row>
        <row r="194">
          <cell r="A194" t="str">
            <v>BA0139-L</v>
          </cell>
          <cell r="B194" t="str">
            <v>A139</v>
          </cell>
          <cell r="C194" t="str">
            <v>เยื่อไผ่ แขนสั้นขาสั้น สวมแขน ระบายขาว จุด L</v>
          </cell>
          <cell r="E194">
            <v>0</v>
          </cell>
          <cell r="F194">
            <v>790</v>
          </cell>
        </row>
        <row r="195">
          <cell r="A195" t="str">
            <v>BA0139-M</v>
          </cell>
          <cell r="B195" t="str">
            <v>A139</v>
          </cell>
          <cell r="C195" t="str">
            <v>เยื่อไผ่ แขนสั้นขาสั้น สวมแขน ระบายขาว จุด M</v>
          </cell>
          <cell r="E195">
            <v>0</v>
          </cell>
          <cell r="F195">
            <v>790</v>
          </cell>
        </row>
        <row r="196">
          <cell r="A196" t="str">
            <v>BA0139-S</v>
          </cell>
          <cell r="B196" t="str">
            <v>A139</v>
          </cell>
          <cell r="C196" t="str">
            <v>เยื่อไผ่ แขนสั้นขาสั้น สวมแขน ระบายขาว จุด S</v>
          </cell>
          <cell r="E196">
            <v>0</v>
          </cell>
          <cell r="F196">
            <v>790</v>
          </cell>
        </row>
        <row r="197">
          <cell r="A197" t="str">
            <v>BA0140-M</v>
          </cell>
          <cell r="B197" t="str">
            <v>A140</v>
          </cell>
          <cell r="C197" t="str">
            <v>เยื่อไผ่ แขนสั้นขาสั้น สวมแขน ระบายชมพูจุดM</v>
          </cell>
          <cell r="E197">
            <v>0</v>
          </cell>
          <cell r="F197">
            <v>790</v>
          </cell>
        </row>
        <row r="198">
          <cell r="A198" t="str">
            <v>BA0141-L</v>
          </cell>
          <cell r="B198" t="str">
            <v>A141</v>
          </cell>
          <cell r="C198" t="str">
            <v>เยื่อไผ่ แขนสั้นขาสั้น คอวี  ฮาวายเหลือง L</v>
          </cell>
          <cell r="E198">
            <v>0</v>
          </cell>
          <cell r="F198">
            <v>790</v>
          </cell>
        </row>
        <row r="199">
          <cell r="A199" t="str">
            <v>BA0153-L</v>
          </cell>
          <cell r="B199" t="str">
            <v>A153</v>
          </cell>
          <cell r="C199" t="str">
            <v>เยื่อไผ่ แขนสั้นขาสั้น คอบัว พื้นขาว L</v>
          </cell>
          <cell r="E199">
            <v>0</v>
          </cell>
          <cell r="F199">
            <v>790</v>
          </cell>
        </row>
        <row r="200">
          <cell r="A200" t="str">
            <v>BA0153-M</v>
          </cell>
          <cell r="B200" t="str">
            <v>A153</v>
          </cell>
          <cell r="C200" t="str">
            <v>เยื่อไผ่ แขนสั้นขาสั้น คอบัว พื้นขาว M</v>
          </cell>
          <cell r="E200">
            <v>0</v>
          </cell>
          <cell r="F200">
            <v>790</v>
          </cell>
        </row>
        <row r="201">
          <cell r="A201" t="str">
            <v>BA0153-S</v>
          </cell>
          <cell r="B201" t="str">
            <v>A153</v>
          </cell>
          <cell r="C201" t="str">
            <v>เยื่อไผ่ แขนสั้นขาสั้น คอบัว พื้นขาว S</v>
          </cell>
          <cell r="E201">
            <v>0</v>
          </cell>
          <cell r="F201">
            <v>790</v>
          </cell>
        </row>
        <row r="202">
          <cell r="A202" t="str">
            <v>BA0153-XL</v>
          </cell>
          <cell r="B202" t="str">
            <v>A153</v>
          </cell>
          <cell r="C202" t="str">
            <v>เยื่อไผ่ แขนสั้นขาสั้น คอบัว พื้นขาว XL</v>
          </cell>
          <cell r="E202">
            <v>0</v>
          </cell>
          <cell r="F202">
            <v>790</v>
          </cell>
        </row>
        <row r="203">
          <cell r="A203" t="str">
            <v>BA0154-L</v>
          </cell>
          <cell r="B203" t="str">
            <v>A154</v>
          </cell>
          <cell r="C203" t="str">
            <v>เยื่อไผ่ แขนสั้นขาสั้น คอบัว พื้นเขียว L</v>
          </cell>
          <cell r="E203">
            <v>0</v>
          </cell>
          <cell r="F203">
            <v>790</v>
          </cell>
        </row>
        <row r="204">
          <cell r="A204" t="str">
            <v>BA0154-M</v>
          </cell>
          <cell r="B204" t="str">
            <v>A154</v>
          </cell>
          <cell r="C204" t="str">
            <v>เยื่อไผ่ แขนสั้นขาสั้น คอบัว พื้นเขียว M</v>
          </cell>
          <cell r="E204">
            <v>0</v>
          </cell>
          <cell r="F204">
            <v>790</v>
          </cell>
        </row>
        <row r="205">
          <cell r="A205" t="str">
            <v>BA0154-S</v>
          </cell>
          <cell r="B205" t="str">
            <v>A154</v>
          </cell>
          <cell r="C205" t="str">
            <v>เยื่อไผ่ แขนสั้นขาสั้น คอบัว พื้นเขียว S</v>
          </cell>
          <cell r="E205">
            <v>0</v>
          </cell>
          <cell r="F205">
            <v>790</v>
          </cell>
        </row>
        <row r="206">
          <cell r="A206" t="str">
            <v>BA0154-XL</v>
          </cell>
          <cell r="B206" t="str">
            <v>A154</v>
          </cell>
          <cell r="C206" t="str">
            <v>เยื่อไผ่ แขนสั้นขาสั้น คอบัว พื้นเขียว XL</v>
          </cell>
          <cell r="E206">
            <v>0</v>
          </cell>
          <cell r="F206">
            <v>790</v>
          </cell>
        </row>
        <row r="207">
          <cell r="A207" t="str">
            <v>BA0155-L</v>
          </cell>
          <cell r="B207" t="str">
            <v>A155</v>
          </cell>
          <cell r="C207" t="str">
            <v>เยื่อไผ่ แขนสั้นขาสั้น คอบัว ชมพูอ่อน L</v>
          </cell>
          <cell r="E207">
            <v>0</v>
          </cell>
          <cell r="F207">
            <v>790</v>
          </cell>
        </row>
        <row r="208">
          <cell r="A208" t="str">
            <v>BA0155-M</v>
          </cell>
          <cell r="B208" t="str">
            <v>A155</v>
          </cell>
          <cell r="C208" t="str">
            <v>เยื่อไผ่ แขนสั้นขาสั้น คอบัว ชมพูอ่อน M</v>
          </cell>
          <cell r="E208">
            <v>0</v>
          </cell>
          <cell r="F208">
            <v>790</v>
          </cell>
        </row>
        <row r="209">
          <cell r="A209" t="str">
            <v>BA0155-S</v>
          </cell>
          <cell r="B209" t="str">
            <v>A155</v>
          </cell>
          <cell r="C209" t="str">
            <v>เยื่อไผ่ แขนสั้นขาสั้น คอบัว ชมพูอ่อน S</v>
          </cell>
          <cell r="E209">
            <v>0</v>
          </cell>
          <cell r="F209">
            <v>790</v>
          </cell>
        </row>
        <row r="210">
          <cell r="A210" t="str">
            <v>BA0155-XL</v>
          </cell>
          <cell r="B210" t="str">
            <v>A155</v>
          </cell>
          <cell r="C210" t="str">
            <v>เยื่อไผ่ แขนสั้นขาสั้น คอบัว ชมพูอ่อน XL</v>
          </cell>
          <cell r="E210">
            <v>0</v>
          </cell>
          <cell r="F210">
            <v>790</v>
          </cell>
        </row>
        <row r="211">
          <cell r="A211" t="str">
            <v>BA0157-L</v>
          </cell>
          <cell r="B211" t="str">
            <v>A157</v>
          </cell>
          <cell r="C211" t="str">
            <v>เยื่อไผ่ แขนสั้นขาสั้น คอบัว ลายจุด L</v>
          </cell>
          <cell r="E211">
            <v>0</v>
          </cell>
          <cell r="F211">
            <v>790</v>
          </cell>
        </row>
        <row r="212">
          <cell r="A212" t="str">
            <v>BA0157-M</v>
          </cell>
          <cell r="B212" t="str">
            <v>A157</v>
          </cell>
          <cell r="C212" t="str">
            <v>เยื่อไผ่ แขนสั้นขาสั้น คอบัว ลายจุด M</v>
          </cell>
          <cell r="E212">
            <v>0</v>
          </cell>
          <cell r="F212">
            <v>790</v>
          </cell>
        </row>
        <row r="213">
          <cell r="A213" t="str">
            <v>BA0157-S</v>
          </cell>
          <cell r="B213" t="str">
            <v>A157</v>
          </cell>
          <cell r="C213" t="str">
            <v>เยื่อไผ่ แขนสั้นขาสั้น คอบัว ลายจุด S</v>
          </cell>
          <cell r="E213">
            <v>0</v>
          </cell>
          <cell r="F213">
            <v>790</v>
          </cell>
        </row>
        <row r="214">
          <cell r="A214" t="str">
            <v>BA0157-XL</v>
          </cell>
          <cell r="B214" t="str">
            <v>A157</v>
          </cell>
          <cell r="C214" t="str">
            <v>เยื่อไผ่ แขนสั้นขาสั้น คอบัว ลายจุด XL</v>
          </cell>
          <cell r="E214">
            <v>0</v>
          </cell>
          <cell r="F214">
            <v>790</v>
          </cell>
        </row>
        <row r="215">
          <cell r="A215" t="str">
            <v>BA0158-L</v>
          </cell>
          <cell r="B215" t="str">
            <v>A158</v>
          </cell>
          <cell r="C215" t="str">
            <v>เยื่อไผ่ แขนสั้นขาสั้น คอบัว สีโอรส L</v>
          </cell>
          <cell r="E215">
            <v>0</v>
          </cell>
          <cell r="F215">
            <v>790</v>
          </cell>
        </row>
        <row r="216">
          <cell r="A216" t="str">
            <v>BA0158-M</v>
          </cell>
          <cell r="B216" t="str">
            <v>A158</v>
          </cell>
          <cell r="C216" t="str">
            <v>เยื่อไผ่ แขนสั้นขาสั้น คอบัว สีโอรส M</v>
          </cell>
          <cell r="E216">
            <v>0</v>
          </cell>
          <cell r="F216">
            <v>790</v>
          </cell>
        </row>
        <row r="217">
          <cell r="A217" t="str">
            <v>BA0158-S</v>
          </cell>
          <cell r="B217" t="str">
            <v>A158</v>
          </cell>
          <cell r="C217" t="str">
            <v>เยื่อไผ่ แขนสั้นขาสั้น คอบัว สีโอรส S</v>
          </cell>
          <cell r="E217">
            <v>0</v>
          </cell>
          <cell r="F217">
            <v>790</v>
          </cell>
        </row>
        <row r="218">
          <cell r="A218" t="str">
            <v>BA0158-XL</v>
          </cell>
          <cell r="B218" t="str">
            <v>A158</v>
          </cell>
          <cell r="C218" t="str">
            <v>เยื่อไผ่ แขนสั้นขาสั้น คอบัว สีโอรส XL</v>
          </cell>
          <cell r="E218">
            <v>0</v>
          </cell>
          <cell r="F218">
            <v>790</v>
          </cell>
        </row>
        <row r="219">
          <cell r="A219" t="str">
            <v>BA0160-L</v>
          </cell>
          <cell r="B219" t="str">
            <v>A160</v>
          </cell>
          <cell r="C219" t="str">
            <v>เยื่อไผ่ แขนสั้นขาสั้น คอปก ลายนกสีชมพู L</v>
          </cell>
          <cell r="E219">
            <v>0</v>
          </cell>
          <cell r="F219">
            <v>790</v>
          </cell>
        </row>
        <row r="220">
          <cell r="A220" t="str">
            <v>BA0160-M</v>
          </cell>
          <cell r="B220" t="str">
            <v>A160</v>
          </cell>
          <cell r="C220" t="str">
            <v>เยื่อไผ่ แขนสั้นขาสั้น คอปก ลายนกสีชมพู M</v>
          </cell>
          <cell r="E220">
            <v>0</v>
          </cell>
          <cell r="F220">
            <v>790</v>
          </cell>
        </row>
        <row r="221">
          <cell r="A221" t="str">
            <v>BA0160-S</v>
          </cell>
          <cell r="B221" t="str">
            <v>A160</v>
          </cell>
          <cell r="C221" t="str">
            <v>เยื่อไผ่ แขนสั้นขาสั้น คอปก ลายนกสีชมพู S</v>
          </cell>
          <cell r="E221">
            <v>0</v>
          </cell>
          <cell r="F221">
            <v>790</v>
          </cell>
        </row>
        <row r="222">
          <cell r="A222" t="str">
            <v>BA0160-XL</v>
          </cell>
          <cell r="B222" t="str">
            <v>A160</v>
          </cell>
          <cell r="C222" t="str">
            <v>เยื่อไผ่ แขนสั้นขาสั้น คอปก ลายนกสีชมพู XL</v>
          </cell>
          <cell r="E222">
            <v>0</v>
          </cell>
          <cell r="F222">
            <v>790</v>
          </cell>
        </row>
        <row r="223">
          <cell r="A223" t="str">
            <v>BA0161-M</v>
          </cell>
          <cell r="B223" t="str">
            <v>A161</v>
          </cell>
          <cell r="C223" t="str">
            <v>เยื่อไผ่ แขนสั้นขาสั้น คอปก ดอกไม้ สีโอรส M</v>
          </cell>
          <cell r="E223">
            <v>0</v>
          </cell>
          <cell r="F223">
            <v>790</v>
          </cell>
        </row>
        <row r="224">
          <cell r="A224" t="str">
            <v>BA0163-L</v>
          </cell>
          <cell r="B224" t="str">
            <v>A163</v>
          </cell>
          <cell r="C224" t="str">
            <v>เยื่อไผ่ แขนสั้นขาสั้น เสื้อญี่ปุ่น ไอติมแตงโม พื้นฟ้า L</v>
          </cell>
          <cell r="E224">
            <v>0</v>
          </cell>
          <cell r="F224">
            <v>790</v>
          </cell>
        </row>
        <row r="225">
          <cell r="A225" t="str">
            <v>BA0163-M</v>
          </cell>
          <cell r="B225" t="str">
            <v>A163</v>
          </cell>
          <cell r="C225" t="str">
            <v>เยื่อไผ่ แขนสั้นขาสั้น เสื้อญี่ปุ่น ไอติมแตงโม พื้นฟ้า M</v>
          </cell>
          <cell r="E225">
            <v>0</v>
          </cell>
          <cell r="F225">
            <v>790</v>
          </cell>
        </row>
        <row r="226">
          <cell r="A226" t="str">
            <v>BA0164-L</v>
          </cell>
          <cell r="B226" t="str">
            <v>A164</v>
          </cell>
          <cell r="C226" t="str">
            <v>เยื่อไผ่ แขนสั้นขาสั้น เสื้อญี่ปุ่น ไอติมแตงโม พื้นขาว L</v>
          </cell>
          <cell r="E226">
            <v>0</v>
          </cell>
          <cell r="F226">
            <v>790</v>
          </cell>
        </row>
        <row r="227">
          <cell r="A227" t="str">
            <v>BA0164-M</v>
          </cell>
          <cell r="B227" t="str">
            <v>A164</v>
          </cell>
          <cell r="C227" t="str">
            <v>เยื่อไผ่ แขนสั้นขาสั้น เสื้อญี่ปุ่น ไอติมแตงโม พื้นขาว M</v>
          </cell>
          <cell r="E227">
            <v>0</v>
          </cell>
          <cell r="F227">
            <v>790</v>
          </cell>
        </row>
        <row r="228">
          <cell r="A228" t="str">
            <v>BA0164-XL</v>
          </cell>
          <cell r="B228" t="str">
            <v>A164</v>
          </cell>
          <cell r="C228" t="str">
            <v>เยื่อไผ่ แขนสั้นขาสั้น เสื้อญี่ปุ่น ไอติมแตงโม พื้นขาว XL</v>
          </cell>
          <cell r="E228">
            <v>0</v>
          </cell>
          <cell r="F228">
            <v>790</v>
          </cell>
        </row>
        <row r="229">
          <cell r="A229" t="str">
            <v>BA0165-L</v>
          </cell>
          <cell r="B229" t="str">
            <v>A165</v>
          </cell>
          <cell r="C229" t="str">
            <v>เยื่อไผ่ แขนสั้นขาสั้น เสื้อญี่ปุ่น โบตั๋น NEW L</v>
          </cell>
          <cell r="E229">
            <v>0</v>
          </cell>
          <cell r="F229">
            <v>790</v>
          </cell>
        </row>
        <row r="230">
          <cell r="A230" t="str">
            <v>BA0165-M</v>
          </cell>
          <cell r="B230" t="str">
            <v>A165</v>
          </cell>
          <cell r="C230" t="str">
            <v>เยื่อไผ่ แขนสั้นขาสั้น เสื้อญี่ปุ่น โบตั๋น NEW M</v>
          </cell>
          <cell r="E230">
            <v>0</v>
          </cell>
          <cell r="F230">
            <v>790</v>
          </cell>
        </row>
        <row r="231">
          <cell r="A231" t="str">
            <v>BA0166-L</v>
          </cell>
          <cell r="B231" t="str">
            <v>A166</v>
          </cell>
          <cell r="C231" t="str">
            <v>เยื่อไผ่ แขนสั้นขาสั้น เสื้อญี่ปุ่น โบตั๋น ชมพู L</v>
          </cell>
          <cell r="E231">
            <v>0</v>
          </cell>
          <cell r="F231">
            <v>790</v>
          </cell>
        </row>
        <row r="232">
          <cell r="A232" t="str">
            <v>BA0166-M</v>
          </cell>
          <cell r="B232" t="str">
            <v>A166</v>
          </cell>
          <cell r="C232" t="str">
            <v>เยื่อไผ่ แขนสั้นขาสั้น เสื้อญี่ปุ่น โบตั๋น ชมพู M</v>
          </cell>
          <cell r="E232">
            <v>0</v>
          </cell>
          <cell r="F232">
            <v>790</v>
          </cell>
        </row>
        <row r="233">
          <cell r="A233" t="str">
            <v>BA0167-L</v>
          </cell>
          <cell r="B233" t="str">
            <v>A167</v>
          </cell>
          <cell r="C233" t="str">
            <v>เยื่อไผ่ แขนสั้นขาสั้น เสื้อญี่ปุ่น โบตั๋น ฟ้า L</v>
          </cell>
          <cell r="E233">
            <v>0</v>
          </cell>
          <cell r="F233">
            <v>790</v>
          </cell>
        </row>
        <row r="234">
          <cell r="A234" t="str">
            <v>BA0167-M</v>
          </cell>
          <cell r="B234" t="str">
            <v>A167</v>
          </cell>
          <cell r="C234" t="str">
            <v>เยื่อไผ่ แขนสั้นขาสั้น เสื้อญี่ปุ่น โบตั๋น ฟ้า M</v>
          </cell>
          <cell r="E234">
            <v>0</v>
          </cell>
          <cell r="F234">
            <v>790</v>
          </cell>
        </row>
        <row r="235">
          <cell r="A235" t="str">
            <v>BA0168-L</v>
          </cell>
          <cell r="B235" t="str">
            <v>A168</v>
          </cell>
          <cell r="C235" t="str">
            <v>เยื่อไผ่ แขนสั้นขาสั้น เสื้อญี่ปุ่น โบตั๋น ต้นไม้ L</v>
          </cell>
          <cell r="E235">
            <v>0</v>
          </cell>
          <cell r="F235">
            <v>790</v>
          </cell>
        </row>
        <row r="236">
          <cell r="A236" t="str">
            <v>BA0168-M</v>
          </cell>
          <cell r="B236" t="str">
            <v>A168</v>
          </cell>
          <cell r="C236" t="str">
            <v>เยื่อไผ่ แขนสั้นขาสั้น เสื้อญี่ปุ่น โบตั๋น ต้นไม้ M</v>
          </cell>
          <cell r="E236">
            <v>0</v>
          </cell>
          <cell r="F236">
            <v>790</v>
          </cell>
        </row>
        <row r="237">
          <cell r="A237" t="str">
            <v>BA0169-L</v>
          </cell>
          <cell r="B237" t="str">
            <v>A169</v>
          </cell>
          <cell r="C237" t="str">
            <v>เยื่อไผ่ แขนสั้นขาสั้น เสื้อญี่ปุ่น โบตั๋น ดอกไม้น้ำตาล พื้นครีม L</v>
          </cell>
          <cell r="E237">
            <v>0</v>
          </cell>
          <cell r="F237">
            <v>790</v>
          </cell>
        </row>
        <row r="238">
          <cell r="A238" t="str">
            <v>BA0169-M</v>
          </cell>
          <cell r="B238" t="str">
            <v>A169</v>
          </cell>
          <cell r="C238" t="str">
            <v>เยื่อไผ่ แขนสั้นขาสั้น เสื้อญี่ปุ่น โบตั๋น ดอกไม้น้ำตาล พื้นครีม M</v>
          </cell>
          <cell r="E238">
            <v>0</v>
          </cell>
          <cell r="F238">
            <v>790</v>
          </cell>
        </row>
        <row r="239">
          <cell r="A239" t="str">
            <v>BA0178-L</v>
          </cell>
          <cell r="B239" t="str">
            <v>A178</v>
          </cell>
          <cell r="C239" t="str">
            <v>เยื่อไผ่ แขนสั้นขาสั้น จุดชมพู พื้นครีม L</v>
          </cell>
          <cell r="E239">
            <v>0</v>
          </cell>
          <cell r="F239">
            <v>790</v>
          </cell>
        </row>
        <row r="240">
          <cell r="A240" t="str">
            <v>BA0178-M</v>
          </cell>
          <cell r="B240" t="str">
            <v>A178</v>
          </cell>
          <cell r="C240" t="str">
            <v>เยื่อไผ่ แขนสั้นขาสั้น จุดชมพู พื้นครีม M</v>
          </cell>
          <cell r="E240">
            <v>0</v>
          </cell>
          <cell r="F240">
            <v>790</v>
          </cell>
        </row>
        <row r="241">
          <cell r="A241" t="str">
            <v>BA0178-S</v>
          </cell>
          <cell r="B241" t="str">
            <v>A178</v>
          </cell>
          <cell r="C241" t="str">
            <v>เยื่อไผ่ แขนสั้นขาสั้น จุดชมพู พื้นครีม S</v>
          </cell>
          <cell r="E241">
            <v>0</v>
          </cell>
          <cell r="F241">
            <v>790</v>
          </cell>
        </row>
        <row r="242">
          <cell r="A242" t="str">
            <v>BA0178-XL</v>
          </cell>
          <cell r="B242" t="str">
            <v>A178</v>
          </cell>
          <cell r="C242" t="str">
            <v>เยื่อไผ่ แขนสั้นขาสั้น จุดชมพู พื้นครีม XL</v>
          </cell>
          <cell r="E242">
            <v>0</v>
          </cell>
          <cell r="F242">
            <v>790</v>
          </cell>
        </row>
        <row r="243">
          <cell r="A243" t="str">
            <v>BA0179-L</v>
          </cell>
          <cell r="B243" t="str">
            <v>A179</v>
          </cell>
          <cell r="C243" t="str">
            <v>เยื่อไผ่ แขนสั้นขาสั้น จุดครีม พื้นโอรส L</v>
          </cell>
          <cell r="E243">
            <v>0</v>
          </cell>
          <cell r="F243">
            <v>790</v>
          </cell>
        </row>
        <row r="244">
          <cell r="A244" t="str">
            <v>BA0179-M</v>
          </cell>
          <cell r="B244" t="str">
            <v>A179</v>
          </cell>
          <cell r="C244" t="str">
            <v>เยื่อไผ่ แขนสั้นขาสั้น จุดครีม พื้นโอรส M</v>
          </cell>
          <cell r="E244">
            <v>0</v>
          </cell>
          <cell r="F244">
            <v>790</v>
          </cell>
        </row>
        <row r="245">
          <cell r="A245" t="str">
            <v>BA0179-S</v>
          </cell>
          <cell r="B245" t="str">
            <v>A179</v>
          </cell>
          <cell r="C245" t="str">
            <v>เยื่อไผ่ แขนสั้นขาสั้น จุดครีม พื้นโอรส S</v>
          </cell>
          <cell r="E245">
            <v>0</v>
          </cell>
          <cell r="F245">
            <v>790</v>
          </cell>
        </row>
        <row r="246">
          <cell r="A246" t="str">
            <v>BA0179-XL</v>
          </cell>
          <cell r="B246" t="str">
            <v>A179</v>
          </cell>
          <cell r="C246" t="str">
            <v>เยื่อไผ่ แขนสั้นขาสั้น จุดครีม พื้นโอรส XL</v>
          </cell>
          <cell r="E246">
            <v>0</v>
          </cell>
          <cell r="F246">
            <v>790</v>
          </cell>
        </row>
        <row r="247">
          <cell r="A247" t="str">
            <v>BA0187-L</v>
          </cell>
          <cell r="B247" t="str">
            <v>A187</v>
          </cell>
          <cell r="C247" t="str">
            <v>เยื่อไผ่แขนสั้นขาสั้น  ลายตาราง มะนาว L</v>
          </cell>
          <cell r="E247">
            <v>0</v>
          </cell>
          <cell r="F247">
            <v>790</v>
          </cell>
        </row>
        <row r="248">
          <cell r="A248" t="str">
            <v>BA0187-M</v>
          </cell>
          <cell r="B248" t="str">
            <v>A187</v>
          </cell>
          <cell r="C248" t="str">
            <v>เยื่อไผ่แขนสั้นขาสั้น  ลายตาราง มะนาว M</v>
          </cell>
          <cell r="E248">
            <v>0</v>
          </cell>
          <cell r="F248">
            <v>790</v>
          </cell>
        </row>
        <row r="249">
          <cell r="A249" t="str">
            <v>BA0187-S</v>
          </cell>
          <cell r="B249" t="str">
            <v>A187</v>
          </cell>
          <cell r="C249" t="str">
            <v>เยื่อไผ่แขนสั้นขาสั้น  ลายตาราง มะนาว S</v>
          </cell>
          <cell r="E249">
            <v>0</v>
          </cell>
          <cell r="F249">
            <v>790</v>
          </cell>
        </row>
        <row r="250">
          <cell r="A250" t="str">
            <v>BA0188-L</v>
          </cell>
          <cell r="B250" t="str">
            <v>A188</v>
          </cell>
          <cell r="C250" t="str">
            <v>เยื่อไผ่ แขนสั้นขาสั้น ตาราง ชมพู L</v>
          </cell>
          <cell r="E250">
            <v>0</v>
          </cell>
          <cell r="F250">
            <v>790</v>
          </cell>
        </row>
        <row r="251">
          <cell r="A251" t="str">
            <v>BA0188-M</v>
          </cell>
          <cell r="B251" t="str">
            <v>A188</v>
          </cell>
          <cell r="C251" t="str">
            <v>เยื่อไผ่ แขนสั้นขาสั้น ตาราง ชมพู M</v>
          </cell>
          <cell r="E251">
            <v>0</v>
          </cell>
          <cell r="F251">
            <v>790</v>
          </cell>
        </row>
        <row r="252">
          <cell r="A252" t="str">
            <v>BA0188-S</v>
          </cell>
          <cell r="B252" t="str">
            <v>A188</v>
          </cell>
          <cell r="C252" t="str">
            <v>เยื่อไผ่แขนสั้นขาสั้น ตาราง ชมพู S</v>
          </cell>
          <cell r="E252">
            <v>0</v>
          </cell>
          <cell r="F252">
            <v>790</v>
          </cell>
        </row>
        <row r="253">
          <cell r="A253" t="str">
            <v>BA0191-L</v>
          </cell>
          <cell r="B253" t="str">
            <v>A191</v>
          </cell>
          <cell r="C253" t="str">
            <v>เยื่อไผ่ แขนสั้นขาสั้น โบตั๋น โอรสพื้นเขียว L</v>
          </cell>
          <cell r="E253">
            <v>0</v>
          </cell>
          <cell r="F253">
            <v>790</v>
          </cell>
        </row>
        <row r="254">
          <cell r="A254" t="str">
            <v>BA0191-M</v>
          </cell>
          <cell r="B254" t="str">
            <v>A191</v>
          </cell>
          <cell r="C254" t="str">
            <v>เยื่อไผ่ แขนสั้นขาสั้น โบตั๋น โอรสพื้นเขียว M</v>
          </cell>
          <cell r="E254">
            <v>0</v>
          </cell>
          <cell r="F254">
            <v>790</v>
          </cell>
        </row>
        <row r="255">
          <cell r="A255" t="str">
            <v>BA0191-S</v>
          </cell>
          <cell r="B255" t="str">
            <v>A191</v>
          </cell>
          <cell r="C255" t="str">
            <v>เยื่อไผ่ แขนสั้นขาสั้น โบตั๋น โอรสพื้นเขียว S</v>
          </cell>
          <cell r="E255">
            <v>0</v>
          </cell>
          <cell r="F255">
            <v>790</v>
          </cell>
        </row>
        <row r="256">
          <cell r="A256" t="str">
            <v>BA0191-XL</v>
          </cell>
          <cell r="B256" t="str">
            <v>A191</v>
          </cell>
          <cell r="C256" t="str">
            <v>เยื่อไผ่ แขนสั้น ขาสั้น โบตั๋น โอรสพื้นเขียว XL</v>
          </cell>
          <cell r="E256">
            <v>0</v>
          </cell>
          <cell r="F256">
            <v>790</v>
          </cell>
        </row>
        <row r="257">
          <cell r="A257" t="str">
            <v>BA0194-L</v>
          </cell>
          <cell r="B257" t="str">
            <v>A194</v>
          </cell>
          <cell r="C257" t="str">
            <v>เยื่อไผ่ แขนสั้นขาสั้น ดาว สีฟ้า oversize L</v>
          </cell>
          <cell r="E257">
            <v>0</v>
          </cell>
          <cell r="F257">
            <v>790</v>
          </cell>
        </row>
        <row r="258">
          <cell r="A258" t="str">
            <v>BA0194-M</v>
          </cell>
          <cell r="B258" t="str">
            <v>A194</v>
          </cell>
          <cell r="C258" t="str">
            <v>เยื่อไผ่ แขนสั้นขาสั้น ดาว สีฟ้า oversize M</v>
          </cell>
          <cell r="E258">
            <v>0</v>
          </cell>
          <cell r="F258">
            <v>790</v>
          </cell>
        </row>
        <row r="259">
          <cell r="A259" t="str">
            <v>BA0194-S</v>
          </cell>
          <cell r="B259" t="str">
            <v>A194</v>
          </cell>
          <cell r="C259" t="str">
            <v>เยื่อไผ่ แขนสั้นขาสั้น ดาว สีฟ้า OverSize S</v>
          </cell>
          <cell r="E259">
            <v>0</v>
          </cell>
          <cell r="F259">
            <v>790</v>
          </cell>
        </row>
        <row r="260">
          <cell r="A260" t="str">
            <v>BA0195-L</v>
          </cell>
          <cell r="B260" t="str">
            <v>A195</v>
          </cell>
          <cell r="C260" t="str">
            <v>เยื่อไผ่ แขนสั้นขาสั้น คอปก โบฮีเมีมน พื้นฟ้า OverSize L</v>
          </cell>
          <cell r="E260">
            <v>0</v>
          </cell>
          <cell r="F260">
            <v>790</v>
          </cell>
        </row>
        <row r="261">
          <cell r="A261" t="str">
            <v>BA0195-M</v>
          </cell>
          <cell r="B261" t="str">
            <v>A195</v>
          </cell>
          <cell r="C261" t="str">
            <v>เยื่อไผ่ แขนสั้นขาสั้น คอปก โบฮีเมีมน พื้นฟ้า OverSize M</v>
          </cell>
          <cell r="E261">
            <v>0</v>
          </cell>
          <cell r="F261">
            <v>790</v>
          </cell>
        </row>
        <row r="262">
          <cell r="A262" t="str">
            <v>BA0195-S</v>
          </cell>
          <cell r="B262" t="str">
            <v>A195</v>
          </cell>
          <cell r="C262" t="str">
            <v>เยื่อไผ่ แขนสั้นขาสั้น คอปก โบฮีเมีมน พื้นฟ้า oversize S</v>
          </cell>
          <cell r="E262">
            <v>0</v>
          </cell>
          <cell r="F262">
            <v>790</v>
          </cell>
        </row>
        <row r="263">
          <cell r="A263" t="str">
            <v>BA0196-L</v>
          </cell>
          <cell r="B263" t="str">
            <v>A196</v>
          </cell>
          <cell r="C263" t="str">
            <v>เยื่อไผ่ แขนสั้นขาสั้น ใบไม้น้ำตาล พื้นแดง oversize L</v>
          </cell>
          <cell r="E263">
            <v>0</v>
          </cell>
          <cell r="F263">
            <v>790</v>
          </cell>
        </row>
        <row r="264">
          <cell r="A264" t="str">
            <v>BA0196-M</v>
          </cell>
          <cell r="B264" t="str">
            <v>A196</v>
          </cell>
          <cell r="C264" t="str">
            <v>เยื่อไผ่ แขนสั้นขาสั้น ใบไม้น้ำตาล พื้นแดง oversize M</v>
          </cell>
          <cell r="E264">
            <v>0</v>
          </cell>
          <cell r="F264">
            <v>790</v>
          </cell>
        </row>
        <row r="265">
          <cell r="A265" t="str">
            <v>BA0196-S</v>
          </cell>
          <cell r="B265" t="str">
            <v>A196</v>
          </cell>
          <cell r="C265" t="str">
            <v>เยื่อไผ่ แขนสั้นขาสั้น ใบไม้น้ำตาล พื้นแดง oversize S</v>
          </cell>
          <cell r="E265">
            <v>0</v>
          </cell>
          <cell r="F265">
            <v>790</v>
          </cell>
        </row>
        <row r="266">
          <cell r="A266" t="str">
            <v>BA0197-L</v>
          </cell>
          <cell r="B266" t="str">
            <v>A197</v>
          </cell>
          <cell r="C266" t="str">
            <v>เยื่อไผ่ แขนสั้นขาสั้น ใบไม้ฟ้า พื้นเทา oversize L</v>
          </cell>
          <cell r="E266">
            <v>0</v>
          </cell>
          <cell r="F266">
            <v>790</v>
          </cell>
        </row>
        <row r="267">
          <cell r="A267" t="str">
            <v>BA0197-M</v>
          </cell>
          <cell r="B267" t="str">
            <v>A197</v>
          </cell>
          <cell r="C267" t="str">
            <v>เยื่อไผ่ แขนสั้นขาสั้น ใบไม้ฟ้า พื้นเทา oversize M</v>
          </cell>
          <cell r="E267">
            <v>0</v>
          </cell>
          <cell r="F267">
            <v>790</v>
          </cell>
        </row>
        <row r="268">
          <cell r="A268" t="str">
            <v>BA0197-S</v>
          </cell>
          <cell r="B268" t="str">
            <v>A197</v>
          </cell>
          <cell r="C268" t="str">
            <v>เยื่อไผ่ แขนสั้นขาสั้น ใบไม้ฟ้า พื้นเทา oversize S</v>
          </cell>
          <cell r="E268">
            <v>0</v>
          </cell>
          <cell r="F268">
            <v>790</v>
          </cell>
        </row>
        <row r="269">
          <cell r="A269" t="str">
            <v>BA0223-L</v>
          </cell>
          <cell r="B269" t="str">
            <v>A223</v>
          </cell>
          <cell r="C269" t="str">
            <v>เยื่อไผ่ แขนสั้นขาสั้น พีช Tropical คอกลม L</v>
          </cell>
          <cell r="E269">
            <v>0</v>
          </cell>
          <cell r="F269">
            <v>790</v>
          </cell>
        </row>
        <row r="270">
          <cell r="A270" t="str">
            <v>BA0223-M</v>
          </cell>
          <cell r="B270" t="str">
            <v>A223</v>
          </cell>
          <cell r="C270" t="str">
            <v>เยื่อไผ่ แขนสั้นขาสั้น พีช Tropical คอกลม M</v>
          </cell>
          <cell r="E270">
            <v>0</v>
          </cell>
          <cell r="F270">
            <v>790</v>
          </cell>
        </row>
        <row r="271">
          <cell r="A271" t="str">
            <v>BA0223-S</v>
          </cell>
          <cell r="B271" t="str">
            <v>A223</v>
          </cell>
          <cell r="C271" t="str">
            <v>เยื่อไผ่ แขนสั้นขาสั้น พีช Tropical คอกลม S</v>
          </cell>
          <cell r="E271">
            <v>0</v>
          </cell>
          <cell r="F271">
            <v>790</v>
          </cell>
        </row>
        <row r="272">
          <cell r="A272" t="str">
            <v>BA0225-L</v>
          </cell>
          <cell r="B272" t="str">
            <v>A225</v>
          </cell>
          <cell r="C272" t="str">
            <v>เยื่อไผ่ แขนสั้นขาสั้น ดอกพวงเหลือง L</v>
          </cell>
          <cell r="E272">
            <v>0</v>
          </cell>
          <cell r="F272">
            <v>790</v>
          </cell>
        </row>
        <row r="273">
          <cell r="A273" t="str">
            <v>BA0225-M</v>
          </cell>
          <cell r="B273" t="str">
            <v>A225</v>
          </cell>
          <cell r="C273" t="str">
            <v>เยื่อไผ่ แขนสั้นขาสั้น ดอกพวงเหลือง M</v>
          </cell>
          <cell r="E273">
            <v>0</v>
          </cell>
          <cell r="F273">
            <v>790</v>
          </cell>
        </row>
        <row r="274">
          <cell r="A274" t="str">
            <v>BA0227-L</v>
          </cell>
          <cell r="B274" t="str">
            <v>A227</v>
          </cell>
          <cell r="C274" t="str">
            <v>เยื่อไผ่ แขนสั้นขาสั้น Cony Jung L</v>
          </cell>
          <cell r="E274">
            <v>0</v>
          </cell>
          <cell r="F274">
            <v>790</v>
          </cell>
        </row>
        <row r="275">
          <cell r="A275" t="str">
            <v>BA0227-M</v>
          </cell>
          <cell r="B275" t="str">
            <v>A227</v>
          </cell>
          <cell r="C275" t="str">
            <v>เยื่อไผ่ แขนสั้นขาสั้น Cony Jung M</v>
          </cell>
          <cell r="E275">
            <v>0</v>
          </cell>
          <cell r="F275">
            <v>790</v>
          </cell>
        </row>
        <row r="276">
          <cell r="A276" t="str">
            <v>BA0232-M</v>
          </cell>
          <cell r="B276" t="str">
            <v>A232</v>
          </cell>
          <cell r="C276" t="str">
            <v>เยื่อไผ่ แขนสั้นขาสั้น ดอกไม้แดงเล็ก พื้นขาว M</v>
          </cell>
          <cell r="E276">
            <v>0</v>
          </cell>
          <cell r="F276">
            <v>790</v>
          </cell>
        </row>
        <row r="277">
          <cell r="A277" t="str">
            <v>BA0233-L</v>
          </cell>
          <cell r="B277" t="str">
            <v>A233</v>
          </cell>
          <cell r="C277" t="str">
            <v>เยื่อไผ่ แขนสั้นขาสั้น ดอกชบาชมพู พื้นชมพู L</v>
          </cell>
          <cell r="E277">
            <v>0</v>
          </cell>
          <cell r="F277">
            <v>790</v>
          </cell>
        </row>
        <row r="278">
          <cell r="A278" t="str">
            <v>BA0233-M</v>
          </cell>
          <cell r="B278" t="str">
            <v>A233</v>
          </cell>
          <cell r="C278" t="str">
            <v>เยื่อไผ่ แขนสั้นขาสั้น ดอกชบาชมพู พื้นชมพู M</v>
          </cell>
          <cell r="E278">
            <v>0</v>
          </cell>
          <cell r="F278">
            <v>790</v>
          </cell>
        </row>
        <row r="279">
          <cell r="A279" t="str">
            <v>BA0236-L</v>
          </cell>
          <cell r="B279" t="str">
            <v>JA236</v>
          </cell>
          <cell r="C279" t="str">
            <v>เยื่อไผ่ แขนสั้นขาสั้น ดอกไม้ดำ พื้นเขียว L ตัวโชว์</v>
          </cell>
          <cell r="E279">
            <v>0</v>
          </cell>
          <cell r="F279">
            <v>790</v>
          </cell>
        </row>
        <row r="280">
          <cell r="A280" t="str">
            <v>BA0236-M</v>
          </cell>
          <cell r="B280" t="str">
            <v>JA236</v>
          </cell>
          <cell r="C280" t="str">
            <v>เยื่อไผ่ แขนสั้นขาสั้น ดอกไม้ดำ พื้นเขียว M</v>
          </cell>
          <cell r="E280">
            <v>0</v>
          </cell>
          <cell r="F280">
            <v>790</v>
          </cell>
        </row>
        <row r="281">
          <cell r="A281" t="str">
            <v>BA0236-S</v>
          </cell>
          <cell r="B281" t="str">
            <v>JA236</v>
          </cell>
          <cell r="C281" t="str">
            <v>เยื่อไผ่ แขนสั้นขาสั้น ดอกไม้ดำ พื้นเขียว S ตัวโชว์</v>
          </cell>
          <cell r="E281">
            <v>0</v>
          </cell>
          <cell r="F281">
            <v>790</v>
          </cell>
        </row>
        <row r="282">
          <cell r="A282" t="str">
            <v>BA0236-XL</v>
          </cell>
          <cell r="B282" t="str">
            <v>JA236</v>
          </cell>
          <cell r="C282" t="str">
            <v>เยื่อไผ่ แขนสั้นขาสั้น ดอกไม้ดำ พื้นเขียว XL ตัวโชว์</v>
          </cell>
          <cell r="E282">
            <v>0</v>
          </cell>
          <cell r="F282">
            <v>790</v>
          </cell>
        </row>
        <row r="283">
          <cell r="A283" t="str">
            <v>BA0239-L</v>
          </cell>
          <cell r="B283" t="str">
            <v>A239</v>
          </cell>
          <cell r="C283" t="str">
            <v>เยื่อไผ่ แขนสั้นขาสั้น คอวี ปกดำหนา พื้นขาว L</v>
          </cell>
          <cell r="E283">
            <v>0</v>
          </cell>
          <cell r="F283">
            <v>790</v>
          </cell>
        </row>
        <row r="284">
          <cell r="A284" t="str">
            <v>BA0239-M</v>
          </cell>
          <cell r="B284" t="str">
            <v>A239</v>
          </cell>
          <cell r="C284" t="str">
            <v>เยื่อไผ่ แขนสั้นขาสั้น คอวี ปกดำหนา พื้นขาว M</v>
          </cell>
          <cell r="E284">
            <v>0</v>
          </cell>
          <cell r="F284">
            <v>790</v>
          </cell>
        </row>
        <row r="285">
          <cell r="A285" t="str">
            <v>BA0239-S</v>
          </cell>
          <cell r="B285" t="str">
            <v>A239</v>
          </cell>
          <cell r="C285" t="str">
            <v>เยื่อไผ่ แขนสั้นขาสั้น คอวี ปกดำหนา พื้นขาว S</v>
          </cell>
          <cell r="E285">
            <v>0</v>
          </cell>
          <cell r="F285">
            <v>790</v>
          </cell>
        </row>
        <row r="286">
          <cell r="A286" t="str">
            <v>BA0240-L</v>
          </cell>
          <cell r="B286" t="str">
            <v>A240</v>
          </cell>
          <cell r="C286" t="str">
            <v>เยื่อไผ่ แขนสั้นขาสั้น  ดอกไม้เล็กส้ม พื้นขาว L</v>
          </cell>
          <cell r="E286">
            <v>0</v>
          </cell>
          <cell r="F286">
            <v>790</v>
          </cell>
        </row>
        <row r="287">
          <cell r="A287" t="str">
            <v>BA0240-M</v>
          </cell>
          <cell r="B287" t="str">
            <v>A240</v>
          </cell>
          <cell r="C287" t="str">
            <v>เยื่อไผ่ แขนสั้นขาสั้น ดอกไม้เล็กส้ม พื้นขาว M</v>
          </cell>
          <cell r="E287">
            <v>0</v>
          </cell>
          <cell r="F287">
            <v>790</v>
          </cell>
        </row>
        <row r="288">
          <cell r="A288" t="str">
            <v>BA0240-S</v>
          </cell>
          <cell r="B288" t="str">
            <v>A240</v>
          </cell>
          <cell r="C288" t="str">
            <v>เยื่อไผ่ แขนสั้นขาสั้น  ดอกไม้เล็กส้ม พื้นขาว S</v>
          </cell>
          <cell r="E288">
            <v>0</v>
          </cell>
          <cell r="F288">
            <v>790</v>
          </cell>
        </row>
        <row r="289">
          <cell r="A289" t="str">
            <v>BA0242-S</v>
          </cell>
          <cell r="B289" t="str">
            <v>A242</v>
          </cell>
          <cell r="C289" t="str">
            <v>เยื่อไผ่ แขนสั้นขาสั้น คอกลม ดอกชบาชมพู พื้นชมพู S</v>
          </cell>
          <cell r="E289">
            <v>0</v>
          </cell>
          <cell r="F289">
            <v>790</v>
          </cell>
        </row>
        <row r="290">
          <cell r="A290" t="str">
            <v>BA0243-L</v>
          </cell>
          <cell r="B290" t="str">
            <v>A243</v>
          </cell>
          <cell r="C290" t="str">
            <v>เยื่อไผ่ แขนสั้นขาสั้น ผีเสื้อเหลือง พื้นฟ้า L</v>
          </cell>
          <cell r="E290">
            <v>0</v>
          </cell>
          <cell r="F290">
            <v>790</v>
          </cell>
        </row>
        <row r="291">
          <cell r="A291" t="str">
            <v>BA0244-M</v>
          </cell>
          <cell r="B291" t="str">
            <v>A244</v>
          </cell>
          <cell r="C291" t="str">
            <v>เยื่อไผ่ แขนสั้นขาสั้น ดอกมิลาน  M</v>
          </cell>
          <cell r="E291">
            <v>0</v>
          </cell>
          <cell r="F291">
            <v>790</v>
          </cell>
        </row>
        <row r="292">
          <cell r="A292" t="str">
            <v>BA0245-XL</v>
          </cell>
          <cell r="B292" t="str">
            <v>A245</v>
          </cell>
          <cell r="C292" t="str">
            <v>เยื่อไผ่ แขนสั้นขาสั้น กุหลาบชมพู พื้นฟ้า XL</v>
          </cell>
          <cell r="E292">
            <v>0</v>
          </cell>
          <cell r="F292">
            <v>790</v>
          </cell>
        </row>
        <row r="293">
          <cell r="A293" t="str">
            <v>BA0257-L</v>
          </cell>
          <cell r="B293" t="str">
            <v>A257</v>
          </cell>
          <cell r="C293" t="str">
            <v>เยื่อไผ่ แขนสั้นขาสั้น Brand new พื้นเขียว L</v>
          </cell>
          <cell r="E293">
            <v>0</v>
          </cell>
          <cell r="F293">
            <v>790</v>
          </cell>
        </row>
        <row r="294">
          <cell r="A294" t="str">
            <v>BA0257-M</v>
          </cell>
          <cell r="B294" t="str">
            <v>A257</v>
          </cell>
          <cell r="C294" t="str">
            <v>เยื่อไผ่ แขนสั้นขาสั้น Brand new พื้นเขียว M</v>
          </cell>
          <cell r="E294">
            <v>0</v>
          </cell>
          <cell r="F294">
            <v>790</v>
          </cell>
        </row>
        <row r="295">
          <cell r="A295" t="str">
            <v>BA0257-S</v>
          </cell>
          <cell r="B295" t="str">
            <v>A257</v>
          </cell>
          <cell r="C295" t="str">
            <v>เยื่อไผ่ แขนสั้นขาสั้น Brand new พื้นเขียว S</v>
          </cell>
          <cell r="E295">
            <v>0</v>
          </cell>
          <cell r="F295">
            <v>790</v>
          </cell>
        </row>
        <row r="296">
          <cell r="A296" t="str">
            <v>BA0259-L</v>
          </cell>
          <cell r="B296" t="str">
            <v>A259</v>
          </cell>
          <cell r="C296" t="str">
            <v>เยื่อไผ่ แขนสั้นขาสั้น ช้างน้อยพ่นน้ำ L</v>
          </cell>
          <cell r="E296">
            <v>0</v>
          </cell>
          <cell r="F296">
            <v>790</v>
          </cell>
        </row>
        <row r="297">
          <cell r="A297" t="str">
            <v>BA0259-M</v>
          </cell>
          <cell r="B297" t="str">
            <v>A259</v>
          </cell>
          <cell r="C297" t="str">
            <v>เยื่อไผ่ แขนสั้นขาสั้น ช้างน้อยพ่นน้ำ M</v>
          </cell>
          <cell r="E297">
            <v>0</v>
          </cell>
          <cell r="F297">
            <v>790</v>
          </cell>
        </row>
        <row r="298">
          <cell r="A298" t="str">
            <v>BA0259-S</v>
          </cell>
          <cell r="B298" t="str">
            <v>A259</v>
          </cell>
          <cell r="C298" t="str">
            <v>เยื่อไผ่ แขนสั้นขาสั้น ช้างน้อยพ่นน้ำ S</v>
          </cell>
          <cell r="E298">
            <v>0</v>
          </cell>
          <cell r="F298">
            <v>790</v>
          </cell>
        </row>
        <row r="299">
          <cell r="A299" t="str">
            <v>BA0260-L</v>
          </cell>
          <cell r="B299" t="str">
            <v>A260</v>
          </cell>
          <cell r="C299" t="str">
            <v>เยื่อไผ่ แขนสั้นขาสั้น ใบไม้หลากสี พื้นชมพู L</v>
          </cell>
          <cell r="E299">
            <v>0</v>
          </cell>
          <cell r="F299">
            <v>790</v>
          </cell>
        </row>
        <row r="300">
          <cell r="A300" t="str">
            <v>BA0260-M</v>
          </cell>
          <cell r="B300" t="str">
            <v>A260</v>
          </cell>
          <cell r="C300" t="str">
            <v>เยื่อไผ่ แขนสั้นขาสั้น ใบไม้หลากสี พื้นชมพู M</v>
          </cell>
          <cell r="E300">
            <v>0</v>
          </cell>
          <cell r="F300">
            <v>790</v>
          </cell>
        </row>
        <row r="301">
          <cell r="A301" t="str">
            <v>BA0260-S</v>
          </cell>
          <cell r="B301" t="str">
            <v>A260</v>
          </cell>
          <cell r="C301" t="str">
            <v>เยื่อไผ่ แขนสั้นขาสั้น ใบไม้หลากสี พื้นชมพู S</v>
          </cell>
          <cell r="E301">
            <v>0</v>
          </cell>
          <cell r="F301">
            <v>790</v>
          </cell>
        </row>
        <row r="302">
          <cell r="A302" t="str">
            <v>BA0261-L</v>
          </cell>
          <cell r="B302" t="str">
            <v>A261</v>
          </cell>
          <cell r="C302" t="str">
            <v>เยื่อไผ่ แขนสั้นขาสั้น เสือน้ำตาล พื้นขาว L</v>
          </cell>
          <cell r="E302">
            <v>0</v>
          </cell>
          <cell r="F302">
            <v>790</v>
          </cell>
        </row>
        <row r="303">
          <cell r="A303" t="str">
            <v>BA0261-M</v>
          </cell>
          <cell r="B303" t="str">
            <v>A261</v>
          </cell>
          <cell r="C303" t="str">
            <v>เยื่อไผ่ แขนสั้นขาสั้น เสือน้ำตาล พื้นขาว M</v>
          </cell>
          <cell r="E303">
            <v>0</v>
          </cell>
          <cell r="F303">
            <v>790</v>
          </cell>
        </row>
        <row r="304">
          <cell r="A304" t="str">
            <v>BA0261-S</v>
          </cell>
          <cell r="B304" t="str">
            <v>A261</v>
          </cell>
          <cell r="C304" t="str">
            <v>เยื่อไผ่ แขนสั้นขาสั้น เสือน้ำตาล พื้นขาว S</v>
          </cell>
          <cell r="E304">
            <v>0</v>
          </cell>
          <cell r="F304">
            <v>790</v>
          </cell>
        </row>
        <row r="305">
          <cell r="A305" t="str">
            <v>BA0262-L</v>
          </cell>
          <cell r="B305" t="str">
            <v>A262</v>
          </cell>
          <cell r="C305" t="str">
            <v>เยื่อไผ่ แขนสั้นขาสั้น เสือขาว พื้นดำ L</v>
          </cell>
          <cell r="E305">
            <v>0</v>
          </cell>
          <cell r="F305">
            <v>790</v>
          </cell>
        </row>
        <row r="306">
          <cell r="A306" t="str">
            <v>BA0262-M</v>
          </cell>
          <cell r="B306" t="str">
            <v>A262</v>
          </cell>
          <cell r="C306" t="str">
            <v>เยื่อไผ่ แขนสั้นขาสั้น เสือขาว พื้นดำ M</v>
          </cell>
          <cell r="E306">
            <v>0</v>
          </cell>
          <cell r="F306">
            <v>790</v>
          </cell>
        </row>
        <row r="307">
          <cell r="A307" t="str">
            <v>BA0262-S</v>
          </cell>
          <cell r="B307" t="str">
            <v>A262</v>
          </cell>
          <cell r="C307" t="str">
            <v>เยื่อไผ่ แขนสั้นขาสั้น เสือขาว พื้นดำ S</v>
          </cell>
          <cell r="E307">
            <v>0</v>
          </cell>
          <cell r="F307">
            <v>790</v>
          </cell>
        </row>
        <row r="308">
          <cell r="A308" t="str">
            <v>BA0263-L</v>
          </cell>
          <cell r="B308" t="str">
            <v>A263</v>
          </cell>
          <cell r="C308" t="str">
            <v>เยื่อไผ่ แขนสั้นขาสั้น ยีราฟ นก ลิง พื้นขาว L</v>
          </cell>
          <cell r="E308">
            <v>0</v>
          </cell>
          <cell r="F308">
            <v>790</v>
          </cell>
        </row>
        <row r="309">
          <cell r="A309" t="str">
            <v>BA0263-M</v>
          </cell>
          <cell r="B309" t="str">
            <v>A263</v>
          </cell>
          <cell r="C309" t="str">
            <v>เยื่อไผ่ แขนสั้นขาสั้น ยีราฟ นก ลิง พื้นขาว M</v>
          </cell>
          <cell r="E309">
            <v>0</v>
          </cell>
          <cell r="F309">
            <v>790</v>
          </cell>
        </row>
        <row r="310">
          <cell r="A310" t="str">
            <v>BA0263-S</v>
          </cell>
          <cell r="B310" t="str">
            <v>A263</v>
          </cell>
          <cell r="C310" t="str">
            <v>เยื่อไผ่ แขนสั้นขาสั้น ยีราฟ นก ลิง พื้นขาว S</v>
          </cell>
          <cell r="E310">
            <v>0</v>
          </cell>
          <cell r="F310">
            <v>790</v>
          </cell>
        </row>
        <row r="311">
          <cell r="A311" t="str">
            <v>BA0265-L</v>
          </cell>
          <cell r="B311" t="str">
            <v>A265</v>
          </cell>
          <cell r="C311" t="str">
            <v>เยื่อไผ่ แขนสั้นขาสั้น กาฟิว พื้นกรม L</v>
          </cell>
          <cell r="E311">
            <v>0</v>
          </cell>
          <cell r="F311">
            <v>790</v>
          </cell>
        </row>
        <row r="312">
          <cell r="A312" t="str">
            <v>BA0265-M</v>
          </cell>
          <cell r="B312" t="str">
            <v>A265</v>
          </cell>
          <cell r="C312" t="str">
            <v>เยื่อไผ่ แขนสั้นขาสั้น กาฟิว พื้นกรม M</v>
          </cell>
          <cell r="E312">
            <v>0</v>
          </cell>
          <cell r="F312">
            <v>790</v>
          </cell>
        </row>
        <row r="313">
          <cell r="A313" t="str">
            <v>BA0265-S</v>
          </cell>
          <cell r="B313" t="str">
            <v>A265</v>
          </cell>
          <cell r="C313" t="str">
            <v>เยื่อไผ่ แขนสั้นขาสั้น กาฟิว พื้นกรม S</v>
          </cell>
          <cell r="E313">
            <v>0</v>
          </cell>
          <cell r="F313">
            <v>790</v>
          </cell>
        </row>
        <row r="314">
          <cell r="A314" t="str">
            <v>BA0266-L</v>
          </cell>
          <cell r="B314" t="str">
            <v>A266</v>
          </cell>
          <cell r="C314" t="str">
            <v>เยื่อไผ่ แขนสั้นขาสั้น คอกลม สตอเบอรี่ L</v>
          </cell>
          <cell r="E314">
            <v>0</v>
          </cell>
          <cell r="F314">
            <v>790</v>
          </cell>
        </row>
        <row r="315">
          <cell r="A315" t="str">
            <v>BA0266-M</v>
          </cell>
          <cell r="B315" t="str">
            <v>A266</v>
          </cell>
          <cell r="C315" t="str">
            <v>เยื่อไผ่ แขนสั้นขาสั้น คอกลม สตอเบอรี่ M</v>
          </cell>
          <cell r="E315">
            <v>0</v>
          </cell>
          <cell r="F315">
            <v>790</v>
          </cell>
        </row>
        <row r="316">
          <cell r="A316" t="str">
            <v>BA0267-L</v>
          </cell>
          <cell r="B316" t="str">
            <v>A267</v>
          </cell>
          <cell r="C316" t="str">
            <v>เยื่อไผ่ แขนสั้นขาสั้น คอปก สตอเบอรี่ L</v>
          </cell>
          <cell r="E316">
            <v>0</v>
          </cell>
          <cell r="F316">
            <v>790</v>
          </cell>
        </row>
        <row r="317">
          <cell r="A317" t="str">
            <v>BA0267-M</v>
          </cell>
          <cell r="B317" t="str">
            <v>A267</v>
          </cell>
          <cell r="C317" t="str">
            <v>เยื่อไผ่ แขนสั้นขาสั้น คอปก สตอเบอรี่ M</v>
          </cell>
          <cell r="E317">
            <v>0</v>
          </cell>
          <cell r="F317">
            <v>790</v>
          </cell>
        </row>
        <row r="318">
          <cell r="A318" t="str">
            <v>BA0271-L</v>
          </cell>
          <cell r="B318" t="str">
            <v>A271</v>
          </cell>
          <cell r="C318" t="str">
            <v>เยื่อไผ่ แขนสั้นขาสั้น กระเป๋าเชอรี่ พื้นชมพู L</v>
          </cell>
          <cell r="E318">
            <v>0</v>
          </cell>
          <cell r="F318">
            <v>790</v>
          </cell>
        </row>
        <row r="319">
          <cell r="A319" t="str">
            <v>BA0271-M</v>
          </cell>
          <cell r="B319" t="str">
            <v>A271</v>
          </cell>
          <cell r="C319" t="str">
            <v>เยื่อไผ่ แขนสั้นขาสั้น กระเป๋าเชอรี่ พื้นชมพู M</v>
          </cell>
          <cell r="E319">
            <v>0</v>
          </cell>
          <cell r="F319">
            <v>790</v>
          </cell>
        </row>
        <row r="320">
          <cell r="A320" t="str">
            <v>BA0272-L</v>
          </cell>
          <cell r="B320" t="str">
            <v>A272</v>
          </cell>
          <cell r="C320" t="str">
            <v>เยื่อไผ่ แขนสั้นขาสั้น กระเป๋ามะพร้าว พื้นขาว L</v>
          </cell>
          <cell r="E320">
            <v>0</v>
          </cell>
          <cell r="F320">
            <v>790</v>
          </cell>
        </row>
        <row r="321">
          <cell r="A321" t="str">
            <v>BA0272-M</v>
          </cell>
          <cell r="B321" t="str">
            <v>A272</v>
          </cell>
          <cell r="C321" t="str">
            <v>เยื่อไผ่ แขนสั้นขาสั้น กระเป๋ามะพร้าว พื้นขาว M</v>
          </cell>
          <cell r="E321">
            <v>0</v>
          </cell>
          <cell r="F321">
            <v>790</v>
          </cell>
        </row>
        <row r="322">
          <cell r="A322" t="str">
            <v>BA0281-M</v>
          </cell>
          <cell r="B322" t="str">
            <v>A281</v>
          </cell>
          <cell r="C322" t="str">
            <v>เยื่อไผ่ แขนสั้นขาสั้น แมวขาวเทา พื้นชมพู M</v>
          </cell>
          <cell r="E322">
            <v>0</v>
          </cell>
          <cell r="F322">
            <v>790</v>
          </cell>
        </row>
        <row r="323">
          <cell r="A323" t="str">
            <v>BA0283-L</v>
          </cell>
          <cell r="B323" t="str">
            <v>A283</v>
          </cell>
          <cell r="C323" t="str">
            <v>เยื่อไผ่ แขนสั้นขาสั้น Line friend ขาว L</v>
          </cell>
          <cell r="E323">
            <v>0</v>
          </cell>
          <cell r="F323">
            <v>790</v>
          </cell>
        </row>
        <row r="324">
          <cell r="A324" t="str">
            <v>BA0283-S</v>
          </cell>
          <cell r="B324" t="str">
            <v>A283</v>
          </cell>
          <cell r="C324" t="str">
            <v>เยื่อไผ่ แขนสั้นขาสั้น Line friend ขาว S</v>
          </cell>
          <cell r="E324">
            <v>0</v>
          </cell>
          <cell r="F324">
            <v>790</v>
          </cell>
        </row>
        <row r="325">
          <cell r="A325" t="str">
            <v>BA0284-L</v>
          </cell>
          <cell r="B325" t="str">
            <v>A284</v>
          </cell>
          <cell r="C325" t="str">
            <v>เยื่อไผ่ แขนสั้นขาสั้น พิทบูล พื้นดำ L</v>
          </cell>
          <cell r="E325">
            <v>0</v>
          </cell>
          <cell r="F325">
            <v>790</v>
          </cell>
        </row>
        <row r="326">
          <cell r="A326" t="str">
            <v>BA0284-M</v>
          </cell>
          <cell r="B326" t="str">
            <v>A284</v>
          </cell>
          <cell r="C326" t="str">
            <v>เยื่อไผ่ แขนสั้นขาสั้น พิทบูล พื้นดำ M</v>
          </cell>
          <cell r="E326">
            <v>0</v>
          </cell>
          <cell r="F326">
            <v>790</v>
          </cell>
        </row>
        <row r="327">
          <cell r="A327" t="str">
            <v>BA0284-S</v>
          </cell>
          <cell r="B327" t="str">
            <v>A284</v>
          </cell>
          <cell r="C327" t="str">
            <v>เยื่อไผ่ แขนสั้นขาสั้น พิทบูล พื้นดำ S</v>
          </cell>
          <cell r="E327">
            <v>0</v>
          </cell>
          <cell r="F327">
            <v>790</v>
          </cell>
        </row>
        <row r="328">
          <cell r="A328" t="str">
            <v>BA0284-XL</v>
          </cell>
          <cell r="B328" t="str">
            <v>A284</v>
          </cell>
          <cell r="C328" t="str">
            <v>เยื่อไผ่ แขนสั้นขาสั้น พิทบูล พื้นดำ XL</v>
          </cell>
          <cell r="E328">
            <v>0</v>
          </cell>
          <cell r="F328">
            <v>790</v>
          </cell>
        </row>
        <row r="329">
          <cell r="A329" t="str">
            <v>BA0286-L</v>
          </cell>
          <cell r="B329" t="str">
            <v>A286</v>
          </cell>
          <cell r="C329" t="str">
            <v>เยื่อไผ่ แขนสั้นขาสั้น แมว แฟชั่น พื้นชมพู L</v>
          </cell>
          <cell r="E329">
            <v>0</v>
          </cell>
          <cell r="F329">
            <v>790</v>
          </cell>
        </row>
        <row r="330">
          <cell r="A330" t="str">
            <v>BA0286-M</v>
          </cell>
          <cell r="B330" t="str">
            <v>A286</v>
          </cell>
          <cell r="C330" t="str">
            <v>เยื่อไผ่ แขนสั้นขาสั้น แมว แฟชั่น พื้นชมพู M</v>
          </cell>
          <cell r="E330">
            <v>0</v>
          </cell>
          <cell r="F330">
            <v>790</v>
          </cell>
        </row>
        <row r="331">
          <cell r="A331" t="str">
            <v>BA0286-S</v>
          </cell>
          <cell r="B331" t="str">
            <v>A286</v>
          </cell>
          <cell r="C331" t="str">
            <v>เยื่อไผ่ แขนสั้นขาสั้น แมว แฟชั่น พื้นชมพู S</v>
          </cell>
          <cell r="E331">
            <v>0</v>
          </cell>
          <cell r="F331">
            <v>790</v>
          </cell>
        </row>
        <row r="332">
          <cell r="A332" t="str">
            <v>BA0286-XL</v>
          </cell>
          <cell r="B332" t="str">
            <v>A286</v>
          </cell>
          <cell r="C332" t="str">
            <v>เยื่อไผ่ แขนสั้นขาสั้น แมว แฟชั่น พื้นชมพู XL</v>
          </cell>
          <cell r="E332">
            <v>0</v>
          </cell>
          <cell r="F332">
            <v>790</v>
          </cell>
        </row>
        <row r="333">
          <cell r="A333" t="str">
            <v>BA0287-2XL</v>
          </cell>
          <cell r="B333" t="str">
            <v>A287</v>
          </cell>
          <cell r="C333" t="str">
            <v>เยื่อไผ่ แขนสั้นขาสั้น Splash Gray OVERSIZE 2XL</v>
          </cell>
          <cell r="E333">
            <v>0</v>
          </cell>
          <cell r="F333">
            <v>0</v>
          </cell>
        </row>
        <row r="334">
          <cell r="A334" t="str">
            <v>BA0287-L</v>
          </cell>
          <cell r="B334" t="str">
            <v>A287</v>
          </cell>
          <cell r="C334" t="str">
            <v>เยื่อไผ่ แขนสั้นขาสั้น Splash Gray OVERSIZE L</v>
          </cell>
          <cell r="E334">
            <v>0</v>
          </cell>
          <cell r="F334">
            <v>790</v>
          </cell>
        </row>
        <row r="335">
          <cell r="A335" t="str">
            <v>BA0287-M</v>
          </cell>
          <cell r="B335" t="str">
            <v>A287</v>
          </cell>
          <cell r="C335" t="str">
            <v>เยื่อไผ่ แขนสั้นขาสั้น Splash Gray OVERSIZE M</v>
          </cell>
          <cell r="E335">
            <v>0</v>
          </cell>
          <cell r="F335">
            <v>790</v>
          </cell>
        </row>
        <row r="336">
          <cell r="A336" t="str">
            <v>BA0287-S</v>
          </cell>
          <cell r="B336" t="str">
            <v>A287</v>
          </cell>
          <cell r="C336" t="str">
            <v>เยื่อไผ่ แขนสั้นขาสั้น Splash Gray OVERSIZE S</v>
          </cell>
          <cell r="E336">
            <v>0</v>
          </cell>
          <cell r="F336">
            <v>790</v>
          </cell>
        </row>
        <row r="337">
          <cell r="A337" t="str">
            <v>BA0288-L</v>
          </cell>
          <cell r="B337" t="str">
            <v>A288</v>
          </cell>
          <cell r="C337" t="str">
            <v>เยื่อไผ่ แขนสั้นขาสั้น Ocean colors OVERSIZE L</v>
          </cell>
          <cell r="E337">
            <v>0</v>
          </cell>
          <cell r="F337">
            <v>790</v>
          </cell>
        </row>
        <row r="338">
          <cell r="A338" t="str">
            <v>BA0288-M</v>
          </cell>
          <cell r="B338" t="str">
            <v>A288</v>
          </cell>
          <cell r="C338" t="str">
            <v>เยื่อไผ่ แขนสั้นขาสั้น Ocean colors OVERSIZE M</v>
          </cell>
          <cell r="E338">
            <v>0</v>
          </cell>
          <cell r="F338">
            <v>790</v>
          </cell>
        </row>
        <row r="339">
          <cell r="A339" t="str">
            <v>BA0288-S</v>
          </cell>
          <cell r="B339" t="str">
            <v>A288</v>
          </cell>
          <cell r="C339" t="str">
            <v>เยื่อไผ่ แขนสั้นขาสั้น Ocean colors OVERSIZE S</v>
          </cell>
          <cell r="E339">
            <v>0</v>
          </cell>
          <cell r="F339">
            <v>790</v>
          </cell>
        </row>
        <row r="340">
          <cell r="A340" t="str">
            <v>BA0289-L</v>
          </cell>
          <cell r="B340" t="str">
            <v>A289</v>
          </cell>
          <cell r="C340" t="str">
            <v>เยื่อไผ่ แขนสั้นขาสั้น Snowwhite ส้ม OVERSIZE L</v>
          </cell>
          <cell r="E340">
            <v>0</v>
          </cell>
          <cell r="F340">
            <v>790</v>
          </cell>
        </row>
        <row r="341">
          <cell r="A341" t="str">
            <v>BA0289-M</v>
          </cell>
          <cell r="B341" t="str">
            <v>A289</v>
          </cell>
          <cell r="C341" t="str">
            <v>เยื่อไผ่ แขนสั้นขาสั้น Snowwhite ส้ม OVERSIZE M</v>
          </cell>
          <cell r="E341">
            <v>0</v>
          </cell>
          <cell r="F341">
            <v>790</v>
          </cell>
        </row>
        <row r="342">
          <cell r="A342" t="str">
            <v>BA0289-S</v>
          </cell>
          <cell r="B342" t="str">
            <v>A289</v>
          </cell>
          <cell r="C342" t="str">
            <v>เยื่อไผ่ แขนสั้นขาสั้น Snowwhite ส้ม OVERSIZE S</v>
          </cell>
          <cell r="E342">
            <v>0</v>
          </cell>
          <cell r="F342">
            <v>790</v>
          </cell>
        </row>
        <row r="343">
          <cell r="A343" t="str">
            <v>BA0290-L</v>
          </cell>
          <cell r="B343" t="str">
            <v>A290</v>
          </cell>
          <cell r="C343" t="str">
            <v>เยื่อไผ่ แขนสั้นขาสั้น Snowwhite เขียว OVERSIZE L</v>
          </cell>
          <cell r="E343">
            <v>0</v>
          </cell>
          <cell r="F343">
            <v>790</v>
          </cell>
        </row>
        <row r="344">
          <cell r="A344" t="str">
            <v>BA0290-S</v>
          </cell>
          <cell r="B344" t="str">
            <v>A290</v>
          </cell>
          <cell r="C344" t="str">
            <v>เยื่อไผ่ แขนสั้นขาสั้น Snowwhite เขียว OVERSIZE S</v>
          </cell>
          <cell r="E344">
            <v>0</v>
          </cell>
          <cell r="F344">
            <v>790</v>
          </cell>
        </row>
        <row r="345">
          <cell r="A345" t="str">
            <v>BA0291-L</v>
          </cell>
          <cell r="B345" t="str">
            <v>A291</v>
          </cell>
          <cell r="C345" t="str">
            <v>เยื่อไผ่ แขนสั้นขาสั้น มัดย้อม OVERSIZE L</v>
          </cell>
          <cell r="E345">
            <v>0</v>
          </cell>
          <cell r="F345">
            <v>790</v>
          </cell>
        </row>
        <row r="346">
          <cell r="A346" t="str">
            <v>BA0291-M</v>
          </cell>
          <cell r="B346" t="str">
            <v>A291</v>
          </cell>
          <cell r="C346" t="str">
            <v>เยื่อไผ่ แขนสั้นขาสั้น มัดย้อม OVERSIZE M</v>
          </cell>
          <cell r="E346">
            <v>0</v>
          </cell>
          <cell r="F346">
            <v>790</v>
          </cell>
        </row>
        <row r="347">
          <cell r="A347" t="str">
            <v>BA0291-S</v>
          </cell>
          <cell r="B347" t="str">
            <v>A291</v>
          </cell>
          <cell r="C347" t="str">
            <v>เยื่อไผ่ แขนสั้นขาสั้น มัดย้อม OVERSIZE S</v>
          </cell>
          <cell r="E347">
            <v>0</v>
          </cell>
          <cell r="F347">
            <v>790</v>
          </cell>
        </row>
        <row r="348">
          <cell r="A348" t="str">
            <v>BA0293-L</v>
          </cell>
          <cell r="B348" t="str">
            <v>A293</v>
          </cell>
          <cell r="C348" t="str">
            <v>เยื่อไผ่ แขนสั้นขาสั้น Pink flower green L</v>
          </cell>
          <cell r="E348">
            <v>0</v>
          </cell>
          <cell r="F348">
            <v>790</v>
          </cell>
        </row>
        <row r="349">
          <cell r="A349" t="str">
            <v>BA0293-M</v>
          </cell>
          <cell r="B349" t="str">
            <v>A293</v>
          </cell>
          <cell r="C349" t="str">
            <v>เยื่อไผ่ แขนสั้นขาสั้น Pink flower green M</v>
          </cell>
          <cell r="E349">
            <v>0</v>
          </cell>
          <cell r="F349">
            <v>790</v>
          </cell>
        </row>
        <row r="350">
          <cell r="A350" t="str">
            <v>BA0293-S</v>
          </cell>
          <cell r="B350" t="str">
            <v>A293</v>
          </cell>
          <cell r="C350" t="str">
            <v>เยื่อไผ่ แขนสั้นขาสั้น Pink flower green S</v>
          </cell>
          <cell r="E350">
            <v>0</v>
          </cell>
          <cell r="F350">
            <v>790</v>
          </cell>
        </row>
        <row r="351">
          <cell r="A351" t="str">
            <v>BA0293-XL</v>
          </cell>
          <cell r="B351" t="str">
            <v>A293</v>
          </cell>
          <cell r="C351" t="str">
            <v>เยื่อไผ่ แขนสั้นขาสั้น Pink flower green XL</v>
          </cell>
          <cell r="E351">
            <v>0</v>
          </cell>
          <cell r="F351">
            <v>790</v>
          </cell>
        </row>
        <row r="352">
          <cell r="A352" t="str">
            <v>BA0294-2XL</v>
          </cell>
          <cell r="B352" t="str">
            <v>A294</v>
          </cell>
          <cell r="C352" t="str">
            <v>เยื่อไผ่ แขนสั้นขาสั้น กล้วยไม้ พื้นฟ้า 2XL</v>
          </cell>
          <cell r="E352">
            <v>0</v>
          </cell>
          <cell r="F352">
            <v>790</v>
          </cell>
        </row>
        <row r="353">
          <cell r="A353" t="str">
            <v>BA0294-L</v>
          </cell>
          <cell r="B353" t="str">
            <v>A294</v>
          </cell>
          <cell r="C353" t="str">
            <v>เยื่อไผ่ แขนสั้นขาสั้น กล้วยไม้ พื้นฟ้า L</v>
          </cell>
          <cell r="E353">
            <v>0</v>
          </cell>
          <cell r="F353">
            <v>790</v>
          </cell>
        </row>
        <row r="354">
          <cell r="A354" t="str">
            <v>BA0294-M</v>
          </cell>
          <cell r="B354" t="str">
            <v>A294</v>
          </cell>
          <cell r="C354" t="str">
            <v>เยื่อไผ่ แขนสั้นขาสั้น กล้วยไม้ พื้นฟ้า M</v>
          </cell>
          <cell r="E354">
            <v>0</v>
          </cell>
          <cell r="F354">
            <v>790</v>
          </cell>
        </row>
        <row r="355">
          <cell r="A355" t="str">
            <v>BA0294-XL</v>
          </cell>
          <cell r="B355" t="str">
            <v>A294</v>
          </cell>
          <cell r="C355" t="str">
            <v>เยื่อไผ่ แขนสั้นขาสั้น กล้วยไม้ พื้นฟ้า XL</v>
          </cell>
          <cell r="E355">
            <v>0</v>
          </cell>
          <cell r="F355">
            <v>790</v>
          </cell>
        </row>
        <row r="356">
          <cell r="A356" t="str">
            <v>BA0295-2XL</v>
          </cell>
          <cell r="B356" t="str">
            <v>A295</v>
          </cell>
          <cell r="C356" t="str">
            <v>เยื่อไผ่ แขนสั้นขาสั้น กล้วยไม้ พื้นดำ 2XL</v>
          </cell>
          <cell r="E356">
            <v>0</v>
          </cell>
          <cell r="F356">
            <v>790</v>
          </cell>
        </row>
        <row r="357">
          <cell r="A357" t="str">
            <v>BA0295-L</v>
          </cell>
          <cell r="B357" t="str">
            <v>A295</v>
          </cell>
          <cell r="C357" t="str">
            <v>เยื่อไผ่ แขนสั้นขาสั้น กล้วยไม้ พื้นดำ L</v>
          </cell>
          <cell r="E357">
            <v>0</v>
          </cell>
          <cell r="F357">
            <v>790</v>
          </cell>
        </row>
        <row r="358">
          <cell r="A358" t="str">
            <v>BA0295-M</v>
          </cell>
          <cell r="B358" t="str">
            <v>A295</v>
          </cell>
          <cell r="C358" t="str">
            <v>เยื่อไผ่ แขนสั้นขาสั้น กล้วยไม้ พื้นดำ M</v>
          </cell>
          <cell r="E358">
            <v>0</v>
          </cell>
          <cell r="F358">
            <v>790</v>
          </cell>
        </row>
        <row r="359">
          <cell r="A359" t="str">
            <v>BA0295-XL</v>
          </cell>
          <cell r="B359" t="str">
            <v>A295</v>
          </cell>
          <cell r="C359" t="str">
            <v>เยื่อไผ่ แขนสั้นขาสั้น กล้วยไม้ พื้นดำ XL</v>
          </cell>
          <cell r="E359">
            <v>0</v>
          </cell>
          <cell r="F359">
            <v>790</v>
          </cell>
        </row>
        <row r="360">
          <cell r="A360" t="str">
            <v>BA0296-2XL</v>
          </cell>
          <cell r="B360" t="str">
            <v>A296</v>
          </cell>
          <cell r="C360" t="str">
            <v>เยื่อไผ่ แขนสั้นขาสั้น กุหลาบซ้อนสีชมพู พื้นดำ 2XL</v>
          </cell>
          <cell r="E360">
            <v>0</v>
          </cell>
          <cell r="F360">
            <v>790</v>
          </cell>
        </row>
        <row r="361">
          <cell r="A361" t="str">
            <v>BA0296-L</v>
          </cell>
          <cell r="B361" t="str">
            <v>A296</v>
          </cell>
          <cell r="C361" t="str">
            <v>เยื่อไผ่ แขนสั้นขาสั้น กุหลาบซ้อนสีชมพู พื้นดำ L</v>
          </cell>
          <cell r="E361">
            <v>0</v>
          </cell>
          <cell r="F361">
            <v>790</v>
          </cell>
        </row>
        <row r="362">
          <cell r="A362" t="str">
            <v>BA0296-M</v>
          </cell>
          <cell r="B362" t="str">
            <v>A296</v>
          </cell>
          <cell r="C362" t="str">
            <v>เยื่อไผ่ แขนสั้นขาสั้น กุหลาบซ้อนสีชมพู พื้นดำ M</v>
          </cell>
          <cell r="E362">
            <v>0</v>
          </cell>
          <cell r="F362">
            <v>790</v>
          </cell>
        </row>
        <row r="363">
          <cell r="A363" t="str">
            <v>BA0296-XL</v>
          </cell>
          <cell r="B363" t="str">
            <v>A296</v>
          </cell>
          <cell r="C363" t="str">
            <v>เยื่อไผ่ แขนสั้นขาสั้น กุหลาบซ้อนสีชมพู พื้นดำ XL</v>
          </cell>
          <cell r="E363">
            <v>0</v>
          </cell>
          <cell r="F363">
            <v>790</v>
          </cell>
        </row>
        <row r="364">
          <cell r="A364" t="str">
            <v>BA0297-2XL</v>
          </cell>
          <cell r="B364" t="str">
            <v>A297</v>
          </cell>
          <cell r="C364" t="str">
            <v>เยื่อไผ่ แขนสั้นขาสั้น กุหลาบซ้อนสีส้ม พื้นเทา 2XL</v>
          </cell>
          <cell r="E364">
            <v>0</v>
          </cell>
          <cell r="F364">
            <v>790</v>
          </cell>
        </row>
        <row r="365">
          <cell r="A365" t="str">
            <v>BA0297-L</v>
          </cell>
          <cell r="B365" t="str">
            <v>A297</v>
          </cell>
          <cell r="C365" t="str">
            <v>เยื่อไผ่ แขนสั้นขาสั้น กุหลาบซ้อนสีส้ม พื้นเทา L</v>
          </cell>
          <cell r="E365">
            <v>0</v>
          </cell>
          <cell r="F365">
            <v>790</v>
          </cell>
        </row>
        <row r="366">
          <cell r="A366" t="str">
            <v>BA0297-M</v>
          </cell>
          <cell r="B366" t="str">
            <v>A297</v>
          </cell>
          <cell r="C366" t="str">
            <v>เยื่อไผ่ แขนสั้นขาสั้น กุหลาบซ้อนสีส้ม พื้นเทา M</v>
          </cell>
          <cell r="E366">
            <v>0</v>
          </cell>
          <cell r="F366">
            <v>790</v>
          </cell>
        </row>
        <row r="367">
          <cell r="A367" t="str">
            <v>BA0297-XL</v>
          </cell>
          <cell r="B367" t="str">
            <v>A297</v>
          </cell>
          <cell r="C367" t="str">
            <v>เยื่อไผ่ แขนสั้นขาสั้น กุหลาบซ้อนสีส้ม พื้นเทา XL</v>
          </cell>
          <cell r="E367">
            <v>0</v>
          </cell>
          <cell r="F367">
            <v>790</v>
          </cell>
        </row>
        <row r="368">
          <cell r="A368" t="str">
            <v>BA0298-2XL</v>
          </cell>
          <cell r="B368" t="str">
            <v>A298</v>
          </cell>
          <cell r="C368" t="str">
            <v>เยื่อไผ่ แขนสั้นขาสั้น จุดหมี จุดแมว พื้นกรม 2XL</v>
          </cell>
          <cell r="E368">
            <v>0</v>
          </cell>
          <cell r="F368">
            <v>790</v>
          </cell>
        </row>
        <row r="369">
          <cell r="A369" t="str">
            <v>BA0298-L</v>
          </cell>
          <cell r="B369" t="str">
            <v>A298</v>
          </cell>
          <cell r="C369" t="str">
            <v>เยื่อไผ่ แขนสั้นขาสั้น จุดหมี จุดแมว พื้นกรม L</v>
          </cell>
          <cell r="E369">
            <v>0</v>
          </cell>
          <cell r="F369">
            <v>790</v>
          </cell>
        </row>
        <row r="370">
          <cell r="A370" t="str">
            <v>BA0298-M</v>
          </cell>
          <cell r="B370" t="str">
            <v>A298</v>
          </cell>
          <cell r="C370" t="str">
            <v>เยื่อไผ่ แขนสั้นขาสั้น จุดหมี จุดแมว พื้นกรม M</v>
          </cell>
          <cell r="E370">
            <v>0</v>
          </cell>
          <cell r="F370">
            <v>790</v>
          </cell>
        </row>
        <row r="371">
          <cell r="A371" t="str">
            <v>BA0298-XL</v>
          </cell>
          <cell r="B371" t="str">
            <v>A298</v>
          </cell>
          <cell r="C371" t="str">
            <v>เยื่อไผ่ แขนสั้นขาสั้น จุดหมี จุดแมว พื้นกรม XL</v>
          </cell>
          <cell r="E371">
            <v>0</v>
          </cell>
          <cell r="F371">
            <v>790</v>
          </cell>
        </row>
        <row r="372">
          <cell r="A372" t="str">
            <v>BA0299-2XL</v>
          </cell>
          <cell r="B372" t="str">
            <v>A299</v>
          </cell>
          <cell r="C372" t="str">
            <v>เยื่อไผ่ แขนสั้นขาสั้น จุดหมี จุดแมว พื้นชมพู 2XL</v>
          </cell>
          <cell r="E372">
            <v>0</v>
          </cell>
          <cell r="F372">
            <v>790</v>
          </cell>
        </row>
        <row r="373">
          <cell r="A373" t="str">
            <v>BA0299-L</v>
          </cell>
          <cell r="B373" t="str">
            <v>A299</v>
          </cell>
          <cell r="C373" t="str">
            <v>เยื่อไผ่ แขนสั้นขาสั้น จุดหมี จุดแมว พื้นชมพู L</v>
          </cell>
          <cell r="E373">
            <v>0</v>
          </cell>
          <cell r="F373">
            <v>790</v>
          </cell>
        </row>
        <row r="374">
          <cell r="A374" t="str">
            <v>BA0299-M</v>
          </cell>
          <cell r="B374" t="str">
            <v>A299</v>
          </cell>
          <cell r="C374" t="str">
            <v>เยื่อไผ่ แขนสั้นขาสั้น จุดหมี จุดแมว พื้นชมพู M</v>
          </cell>
          <cell r="E374">
            <v>0</v>
          </cell>
          <cell r="F374">
            <v>790</v>
          </cell>
        </row>
        <row r="375">
          <cell r="A375" t="str">
            <v>BA0299-XL</v>
          </cell>
          <cell r="B375" t="str">
            <v>A299</v>
          </cell>
          <cell r="C375" t="str">
            <v>เยื่อไผ่ แขนสั้นขาสั้น จุดหมี จุดแมว พื้นชมพู XL</v>
          </cell>
          <cell r="E375">
            <v>0</v>
          </cell>
          <cell r="F375">
            <v>790</v>
          </cell>
        </row>
        <row r="376">
          <cell r="A376" t="str">
            <v>BA0300-2XL</v>
          </cell>
          <cell r="B376" t="str">
            <v>A300</v>
          </cell>
          <cell r="C376" t="str">
            <v>เยื่อไผ่ แขนสั้นขาสั้น ช้างน้อยพ่นน้ำ พื้นฟ้า 2XL</v>
          </cell>
          <cell r="E376">
            <v>0</v>
          </cell>
          <cell r="F376">
            <v>790</v>
          </cell>
        </row>
        <row r="377">
          <cell r="A377" t="str">
            <v>BA0300-L</v>
          </cell>
          <cell r="B377" t="str">
            <v>A300</v>
          </cell>
          <cell r="C377" t="str">
            <v>เยื่อไผ่ แขนสั้นขาสั้น ช้างน้อยพ่นน้ำ พื้นฟ้า L</v>
          </cell>
          <cell r="E377">
            <v>0</v>
          </cell>
          <cell r="F377">
            <v>790</v>
          </cell>
        </row>
        <row r="378">
          <cell r="A378" t="str">
            <v>BA0300-M</v>
          </cell>
          <cell r="B378" t="str">
            <v>A300</v>
          </cell>
          <cell r="C378" t="str">
            <v>เยื่อไผ่ แขนสั้นขาสั้น ช้างน้อยพ่นน้ำ พื้นฟ้า M</v>
          </cell>
          <cell r="E378">
            <v>0</v>
          </cell>
          <cell r="F378">
            <v>790</v>
          </cell>
        </row>
        <row r="379">
          <cell r="A379" t="str">
            <v>BA0300-XL</v>
          </cell>
          <cell r="B379" t="str">
            <v>A300</v>
          </cell>
          <cell r="C379" t="str">
            <v>เยื่อไผ่ แขนสั้นขาสั้น ช้างน้อยพ่นน้ำ พื้นฟ้า XL</v>
          </cell>
          <cell r="E379">
            <v>0</v>
          </cell>
          <cell r="F379">
            <v>790</v>
          </cell>
        </row>
        <row r="380">
          <cell r="A380" t="str">
            <v>BA0301-2XL</v>
          </cell>
          <cell r="B380" t="str">
            <v>A301</v>
          </cell>
          <cell r="C380" t="str">
            <v>เยื่อไผ่ แขนสั้นขาสั้น ช้างน้อยพ่นน้ำ พื้นเหลือง 2XL</v>
          </cell>
          <cell r="E380">
            <v>0</v>
          </cell>
          <cell r="F380">
            <v>790</v>
          </cell>
        </row>
        <row r="381">
          <cell r="A381" t="str">
            <v>BA0301-L</v>
          </cell>
          <cell r="B381" t="str">
            <v>A301</v>
          </cell>
          <cell r="C381" t="str">
            <v>เยื่อไผ่ แขนสั้นขาสั้น ช้างน้อยพ่นน้ำ พื้นเหลือง L</v>
          </cell>
          <cell r="E381">
            <v>0</v>
          </cell>
          <cell r="F381">
            <v>790</v>
          </cell>
        </row>
        <row r="382">
          <cell r="A382" t="str">
            <v>BA0301-XL</v>
          </cell>
          <cell r="B382" t="str">
            <v>A301</v>
          </cell>
          <cell r="C382" t="str">
            <v>เยื่อไผ่ แขนสั้นขาสั้น ช้างน้อยพ่นน้ำ พื้นเหลือง XL</v>
          </cell>
          <cell r="E382">
            <v>0</v>
          </cell>
          <cell r="F382">
            <v>790</v>
          </cell>
        </row>
        <row r="383">
          <cell r="A383" t="str">
            <v>BA0302-2XL</v>
          </cell>
          <cell r="B383" t="str">
            <v>A302</v>
          </cell>
          <cell r="C383" t="str">
            <v>เยื่อไผ่ แขนสั้นขาสั้น ดอกมะลิขาว ดอกมะลิชมพูเข้ม พื้นชมพู 2XL</v>
          </cell>
          <cell r="E383">
            <v>0</v>
          </cell>
          <cell r="F383">
            <v>790</v>
          </cell>
        </row>
        <row r="384">
          <cell r="A384" t="str">
            <v>BA0302-L</v>
          </cell>
          <cell r="B384" t="str">
            <v>A302</v>
          </cell>
          <cell r="C384" t="str">
            <v>เยื่อไผ่ แขนสั้นขาสั้น ดอกมะลิขาว ดอกมะลิชมพูเข้ม พื้นชมพู L</v>
          </cell>
          <cell r="E384">
            <v>0</v>
          </cell>
          <cell r="F384">
            <v>790</v>
          </cell>
        </row>
        <row r="385">
          <cell r="A385" t="str">
            <v>BA0302-M</v>
          </cell>
          <cell r="B385" t="str">
            <v>A302</v>
          </cell>
          <cell r="C385" t="str">
            <v>เยื่อไผ่ แขนสั้นขาสั้น ดอกมะลิขาว ดอกมะลิชมพูเข้ม พื้นชมพู M</v>
          </cell>
          <cell r="E385">
            <v>0</v>
          </cell>
          <cell r="F385">
            <v>790</v>
          </cell>
        </row>
        <row r="386">
          <cell r="A386" t="str">
            <v>BA0302-XL</v>
          </cell>
          <cell r="B386" t="str">
            <v>A302</v>
          </cell>
          <cell r="C386" t="str">
            <v>เยื่อไผ่ แขนสั้นขาสั้น ดอกมะลิขาว ดอกมะลิชมพูเข้ม พื้นชมพู XL</v>
          </cell>
          <cell r="E386">
            <v>0</v>
          </cell>
          <cell r="F386">
            <v>790</v>
          </cell>
        </row>
        <row r="387">
          <cell r="A387" t="str">
            <v>BA0303-L</v>
          </cell>
          <cell r="B387" t="str">
            <v>A303</v>
          </cell>
          <cell r="C387" t="str">
            <v>เยื่อไผ่ แขนสั้นขาสั้น ดอกมะลิขาว ดอกมะลิส้ม พื้นเขียว L</v>
          </cell>
          <cell r="E387">
            <v>0</v>
          </cell>
          <cell r="F387">
            <v>790</v>
          </cell>
        </row>
        <row r="388">
          <cell r="A388" t="str">
            <v>BA0303-M</v>
          </cell>
          <cell r="B388" t="str">
            <v>A303</v>
          </cell>
          <cell r="C388" t="str">
            <v>เยื่อไผ่ แขนสั้นขาสั้น ดอกมะลิขาว ดอกมะลิส้ม พื้นเขียว M</v>
          </cell>
          <cell r="E388">
            <v>0</v>
          </cell>
          <cell r="F388">
            <v>790</v>
          </cell>
        </row>
        <row r="389">
          <cell r="A389" t="str">
            <v>BA0306-L</v>
          </cell>
          <cell r="B389" t="str">
            <v>A306</v>
          </cell>
          <cell r="C389" t="str">
            <v>เยื้อไผ้ แขนสั้นขาสั้น แพลงตอน น้ำเงิน ม่วง L</v>
          </cell>
          <cell r="E389">
            <v>0</v>
          </cell>
          <cell r="F389">
            <v>790</v>
          </cell>
        </row>
        <row r="390">
          <cell r="A390" t="str">
            <v>BA0306-M</v>
          </cell>
          <cell r="B390" t="str">
            <v>A306</v>
          </cell>
          <cell r="C390" t="str">
            <v>เยื้อไผ้ แขนสั้นขาสั้น แพลงตอน น้ำเงิน ม่วง M</v>
          </cell>
          <cell r="E390">
            <v>0</v>
          </cell>
          <cell r="F390">
            <v>790</v>
          </cell>
        </row>
        <row r="391">
          <cell r="A391" t="str">
            <v>BA0306-S</v>
          </cell>
          <cell r="B391" t="str">
            <v>A306</v>
          </cell>
          <cell r="C391" t="str">
            <v>เยื้อไผ้ แขนสั้นขาสั้น แพลงตอน น้ำเงิน ม่วง S</v>
          </cell>
          <cell r="E391">
            <v>0</v>
          </cell>
          <cell r="F391">
            <v>790</v>
          </cell>
        </row>
        <row r="392">
          <cell r="A392" t="str">
            <v>BA0307-L</v>
          </cell>
          <cell r="B392" t="str">
            <v>A307</v>
          </cell>
          <cell r="C392" t="str">
            <v>เยื่อไผ่ แขนสั้นขาสั้น แพลงตอน แดง L</v>
          </cell>
          <cell r="E392">
            <v>0</v>
          </cell>
          <cell r="F392">
            <v>790</v>
          </cell>
        </row>
        <row r="393">
          <cell r="A393" t="str">
            <v>BA0307-M</v>
          </cell>
          <cell r="B393" t="str">
            <v>A307</v>
          </cell>
          <cell r="C393" t="str">
            <v>เยื่อไผ่ แขนสั้นขาสั้น แพลงตอน แดง M</v>
          </cell>
          <cell r="E393">
            <v>0</v>
          </cell>
          <cell r="F393">
            <v>790</v>
          </cell>
        </row>
        <row r="394">
          <cell r="A394" t="str">
            <v>BA0307-S</v>
          </cell>
          <cell r="B394" t="str">
            <v>A307</v>
          </cell>
          <cell r="C394" t="str">
            <v>เยื่อไผ่ แขนสั้นขาสั้น แพลงตอน แดง S</v>
          </cell>
          <cell r="E394">
            <v>0</v>
          </cell>
          <cell r="F394">
            <v>790</v>
          </cell>
        </row>
        <row r="395">
          <cell r="A395" t="str">
            <v>BA0310-L</v>
          </cell>
          <cell r="B395" t="str">
            <v>BA310</v>
          </cell>
          <cell r="C395" t="str">
            <v>เยื่อไผ่ แขนสั้นขาสั้น ดอกไม้ขาว พื้นฟ้า L</v>
          </cell>
          <cell r="E395">
            <v>0</v>
          </cell>
          <cell r="F395">
            <v>790</v>
          </cell>
        </row>
        <row r="396">
          <cell r="A396" t="str">
            <v>BA0310-M</v>
          </cell>
          <cell r="B396" t="str">
            <v>JA310</v>
          </cell>
          <cell r="C396" t="str">
            <v>เยื่อไผ่ แขนสั้นขาสั้น ดอกไม้ขาว พื้นฟ้า M ตัวโชว์</v>
          </cell>
          <cell r="E396">
            <v>0</v>
          </cell>
          <cell r="F396">
            <v>790</v>
          </cell>
        </row>
        <row r="397">
          <cell r="A397" t="str">
            <v>BA0310-S</v>
          </cell>
          <cell r="B397" t="str">
            <v>A310</v>
          </cell>
          <cell r="C397" t="str">
            <v>เยื่อไผ่ แขนสั้นขาสั้น ดอกไม้ขาว พื้นฟ้า S</v>
          </cell>
          <cell r="E397">
            <v>0</v>
          </cell>
          <cell r="F397">
            <v>790</v>
          </cell>
        </row>
        <row r="398">
          <cell r="A398" t="str">
            <v>BA0310-XL</v>
          </cell>
          <cell r="B398" t="str">
            <v>JA310</v>
          </cell>
          <cell r="C398" t="str">
            <v>เยื่อไผ่ แขนสั้นขาสั้น ดอกไม้ขาว พื้นฟ้า XL ตัวโชว์</v>
          </cell>
          <cell r="E398">
            <v>0</v>
          </cell>
          <cell r="F398">
            <v>790</v>
          </cell>
        </row>
        <row r="399">
          <cell r="A399" t="str">
            <v>BA0312-L</v>
          </cell>
          <cell r="B399" t="str">
            <v>A312</v>
          </cell>
          <cell r="C399" t="str">
            <v>เยื่อไผ่ แขนสั้นขาสั้น แมวดำ พื้นขาว L</v>
          </cell>
          <cell r="E399">
            <v>0</v>
          </cell>
          <cell r="F399">
            <v>790</v>
          </cell>
        </row>
        <row r="400">
          <cell r="A400" t="str">
            <v>BA0312-M</v>
          </cell>
          <cell r="B400" t="str">
            <v>A312</v>
          </cell>
          <cell r="C400" t="str">
            <v>เยื่อไผ่ แขนสั้นขาสั้น แมวดำ พื้นขาว M</v>
          </cell>
          <cell r="E400">
            <v>0</v>
          </cell>
          <cell r="F400">
            <v>790</v>
          </cell>
        </row>
        <row r="401">
          <cell r="A401" t="str">
            <v>BA0312-S</v>
          </cell>
          <cell r="B401" t="str">
            <v>A312</v>
          </cell>
          <cell r="C401" t="str">
            <v>เยื่อไผ่ แขนสั้นขาสั้น แมวดำ พื้นขาว S</v>
          </cell>
          <cell r="E401">
            <v>0</v>
          </cell>
          <cell r="F401">
            <v>790</v>
          </cell>
        </row>
        <row r="402">
          <cell r="A402" t="str">
            <v>BA0312-XL</v>
          </cell>
          <cell r="B402" t="str">
            <v>A312</v>
          </cell>
          <cell r="C402" t="str">
            <v>เยื่อไผ่ แขนสั้นขาสั้น แมวดำ พื้นขาว XL</v>
          </cell>
          <cell r="E402">
            <v>0</v>
          </cell>
          <cell r="F402">
            <v>790</v>
          </cell>
        </row>
        <row r="403">
          <cell r="A403" t="str">
            <v>BA0313-L</v>
          </cell>
          <cell r="B403" t="str">
            <v>A313</v>
          </cell>
          <cell r="C403" t="str">
            <v>เยื่อไผ่ แขนสั้นขาสั้น แพนด้า เหลือง L</v>
          </cell>
          <cell r="E403">
            <v>0</v>
          </cell>
          <cell r="F403">
            <v>790</v>
          </cell>
        </row>
        <row r="404">
          <cell r="A404" t="str">
            <v>BA0313-M</v>
          </cell>
          <cell r="B404" t="str">
            <v>A313</v>
          </cell>
          <cell r="C404" t="str">
            <v>เยื่อไผ่ แขนสั้นขาสั้น แพนด้า เหลือง M</v>
          </cell>
          <cell r="E404">
            <v>0</v>
          </cell>
          <cell r="F404">
            <v>790</v>
          </cell>
        </row>
        <row r="405">
          <cell r="A405" t="str">
            <v>BA0313-S</v>
          </cell>
          <cell r="B405" t="str">
            <v>QA313</v>
          </cell>
          <cell r="C405" t="str">
            <v>เยื่อไผ่ แขนสั้นขาสั้น แพนด้า เหลือง S QC</v>
          </cell>
          <cell r="E405">
            <v>0</v>
          </cell>
          <cell r="F405">
            <v>790</v>
          </cell>
        </row>
        <row r="406">
          <cell r="A406" t="str">
            <v>BA0313-XL</v>
          </cell>
          <cell r="B406" t="str">
            <v>A313</v>
          </cell>
          <cell r="C406" t="str">
            <v>เยื่อไผ่ แขนสั้นขาสั้น แพนด้า เหลือง XL</v>
          </cell>
          <cell r="E406">
            <v>0</v>
          </cell>
          <cell r="F406">
            <v>790</v>
          </cell>
        </row>
        <row r="407">
          <cell r="A407" t="str">
            <v>BA0314-L</v>
          </cell>
          <cell r="B407" t="str">
            <v>A314</v>
          </cell>
          <cell r="C407" t="str">
            <v>เยื่อไผ่ แขนสั้นขาสั้น Wall Flower L</v>
          </cell>
          <cell r="E407">
            <v>0</v>
          </cell>
          <cell r="F407">
            <v>790</v>
          </cell>
        </row>
        <row r="408">
          <cell r="A408" t="str">
            <v>BA0314-M</v>
          </cell>
          <cell r="B408" t="str">
            <v>A314</v>
          </cell>
          <cell r="C408" t="str">
            <v>เยื่อไผ่ แขนสั้นขาสั้น Wall Flower M</v>
          </cell>
          <cell r="E408">
            <v>0</v>
          </cell>
          <cell r="F408">
            <v>790</v>
          </cell>
        </row>
        <row r="409">
          <cell r="A409" t="str">
            <v>BA0314-S</v>
          </cell>
          <cell r="B409" t="str">
            <v>A314</v>
          </cell>
          <cell r="C409" t="str">
            <v>เยื่อไผ่ แขนสั้นขาสั้น Wall Flower S</v>
          </cell>
          <cell r="E409">
            <v>0</v>
          </cell>
          <cell r="F409">
            <v>790</v>
          </cell>
        </row>
        <row r="410">
          <cell r="A410" t="str">
            <v>BA0314-XL</v>
          </cell>
          <cell r="B410" t="str">
            <v>A314</v>
          </cell>
          <cell r="C410" t="str">
            <v>เยื่อไผ่ แขนสั้นขาสั้น Wall Flower XL</v>
          </cell>
          <cell r="E410">
            <v>0</v>
          </cell>
          <cell r="F410">
            <v>790</v>
          </cell>
        </row>
        <row r="411">
          <cell r="A411" t="str">
            <v>BA0315-L</v>
          </cell>
          <cell r="B411" t="str">
            <v>A315</v>
          </cell>
          <cell r="C411" t="str">
            <v>เยื่อไผ่ แขนสั้นขาสั้น Daisy pink L</v>
          </cell>
          <cell r="E411">
            <v>0</v>
          </cell>
          <cell r="F411">
            <v>790</v>
          </cell>
        </row>
        <row r="412">
          <cell r="A412" t="str">
            <v>BA0315-M</v>
          </cell>
          <cell r="B412" t="str">
            <v>A315</v>
          </cell>
          <cell r="C412" t="str">
            <v>เยื่อไผ่ แขนสั้นขาสั้น Daisy pink M</v>
          </cell>
          <cell r="E412">
            <v>0</v>
          </cell>
          <cell r="F412">
            <v>790</v>
          </cell>
        </row>
        <row r="413">
          <cell r="A413" t="str">
            <v>BA0315-S</v>
          </cell>
          <cell r="B413" t="str">
            <v>A315</v>
          </cell>
          <cell r="C413" t="str">
            <v>เยื่อไผ่ แขนสั้นขาสั้น Daisy pink S</v>
          </cell>
          <cell r="E413">
            <v>0</v>
          </cell>
          <cell r="F413">
            <v>790</v>
          </cell>
        </row>
        <row r="414">
          <cell r="A414" t="str">
            <v>BA0315-XL</v>
          </cell>
          <cell r="B414" t="str">
            <v>A315</v>
          </cell>
          <cell r="C414" t="str">
            <v>เยื่อไผ่ แขนสั้นขาสั้น Daisy pink XL</v>
          </cell>
          <cell r="E414">
            <v>0</v>
          </cell>
          <cell r="F414">
            <v>790</v>
          </cell>
        </row>
        <row r="415">
          <cell r="A415" t="str">
            <v>BA0325-L</v>
          </cell>
          <cell r="B415" t="str">
            <v>A325</v>
          </cell>
          <cell r="C415" t="str">
            <v>เยื่อไผ่ แขนสั้นขาสั้น ดอกไม้สีฟ้า สีเหลือง พื้นขาว L</v>
          </cell>
          <cell r="E415">
            <v>0</v>
          </cell>
          <cell r="F415">
            <v>790</v>
          </cell>
        </row>
        <row r="416">
          <cell r="A416" t="str">
            <v>BA0325-M</v>
          </cell>
          <cell r="B416" t="str">
            <v>BA325</v>
          </cell>
          <cell r="C416" t="str">
            <v>เยื่อไผ่ แขนสั้นขาสั้น ดอกไม้สีฟ้า สีเหลือง พื้นขาว M</v>
          </cell>
          <cell r="E416">
            <v>0</v>
          </cell>
          <cell r="F416">
            <v>790</v>
          </cell>
        </row>
        <row r="417">
          <cell r="A417" t="str">
            <v>BA0325-S</v>
          </cell>
          <cell r="B417" t="str">
            <v>A325</v>
          </cell>
          <cell r="C417" t="str">
            <v>เยื่อไผ่ แขนสั้นขาสั้น ดอกไม้สีฟ้า สีเหลือง พื้นขาว S</v>
          </cell>
          <cell r="E417">
            <v>0</v>
          </cell>
          <cell r="F417">
            <v>790</v>
          </cell>
        </row>
        <row r="418">
          <cell r="A418" t="str">
            <v>BA0325-XL</v>
          </cell>
          <cell r="B418" t="str">
            <v>A325</v>
          </cell>
          <cell r="C418" t="str">
            <v>เยื่อไผ่ แขนสั้นขาสั้น ดอกไม้สีฟ้า สีเหลือง พื้นขาว XL</v>
          </cell>
          <cell r="E418">
            <v>0</v>
          </cell>
          <cell r="F418">
            <v>790</v>
          </cell>
        </row>
        <row r="419">
          <cell r="A419" t="str">
            <v>BA0327-L</v>
          </cell>
          <cell r="B419" t="str">
            <v>A327</v>
          </cell>
          <cell r="C419" t="str">
            <v>เยื่อไผ่ แขนสั้นขาสั้น ดอกไม้อวกาศ พื้นชมพู L</v>
          </cell>
          <cell r="E419">
            <v>0</v>
          </cell>
          <cell r="F419">
            <v>790</v>
          </cell>
        </row>
        <row r="420">
          <cell r="A420" t="str">
            <v>BA0327-M</v>
          </cell>
          <cell r="B420" t="str">
            <v>A327</v>
          </cell>
          <cell r="C420" t="str">
            <v>เยื่อไผ่ แขนสั้นขาสั้น ดอกไม้อวกาศ พื้นชมพู M</v>
          </cell>
          <cell r="E420">
            <v>0</v>
          </cell>
          <cell r="F420">
            <v>790</v>
          </cell>
        </row>
        <row r="421">
          <cell r="A421" t="str">
            <v>BA0327-S</v>
          </cell>
          <cell r="B421" t="str">
            <v>A327</v>
          </cell>
          <cell r="C421" t="str">
            <v>เยื่อไผ่ แขนสั้นขาสั้น ดอกไม้อวกาศ พื้นชมพู S</v>
          </cell>
          <cell r="E421">
            <v>0</v>
          </cell>
          <cell r="F421">
            <v>790</v>
          </cell>
        </row>
        <row r="422">
          <cell r="A422" t="str">
            <v>BA0327-XL</v>
          </cell>
          <cell r="B422" t="str">
            <v>A327</v>
          </cell>
          <cell r="C422" t="str">
            <v>เยื่อไผ่ แขนสั้นขาสั้น ดอกไม้อวกาศ พื้นชมพู XL</v>
          </cell>
          <cell r="E422">
            <v>0</v>
          </cell>
          <cell r="F422">
            <v>790</v>
          </cell>
        </row>
        <row r="423">
          <cell r="A423" t="str">
            <v>BA0328-L</v>
          </cell>
          <cell r="B423" t="str">
            <v>A328</v>
          </cell>
          <cell r="C423" t="str">
            <v>เยื่อไผ่ แขนสั้นขาสั้น ลายทางฟ้า ครีม คอปกดอกไม้ L</v>
          </cell>
          <cell r="E423">
            <v>0</v>
          </cell>
          <cell r="F423">
            <v>790</v>
          </cell>
        </row>
        <row r="424">
          <cell r="A424" t="str">
            <v>BA0328-M</v>
          </cell>
          <cell r="B424" t="str">
            <v>A328</v>
          </cell>
          <cell r="C424" t="str">
            <v>เยื่อไผ่ แขนสั้นขาสั้น ลายทางฟ้า ครีม คอปกดอกไม้ M</v>
          </cell>
          <cell r="E424">
            <v>0</v>
          </cell>
          <cell r="F424">
            <v>790</v>
          </cell>
        </row>
        <row r="425">
          <cell r="A425" t="str">
            <v>BA0328-S</v>
          </cell>
          <cell r="B425" t="str">
            <v>A328</v>
          </cell>
          <cell r="C425" t="str">
            <v>เยื่อไผ่ แขนสั้นขาสั้น ลายทางฟ้า ครีม คอปกดอกไม้ S</v>
          </cell>
          <cell r="E425">
            <v>0</v>
          </cell>
          <cell r="F425">
            <v>790</v>
          </cell>
        </row>
        <row r="426">
          <cell r="A426" t="str">
            <v>BA0328-XL</v>
          </cell>
          <cell r="B426" t="str">
            <v>A328</v>
          </cell>
          <cell r="C426" t="str">
            <v>เยื่อไผ่ แขนสั้นขาสั้น ลายทางฟ้า ครีม คอปกดอกไม้ XL</v>
          </cell>
          <cell r="E426">
            <v>0</v>
          </cell>
          <cell r="F426">
            <v>790</v>
          </cell>
        </row>
        <row r="427">
          <cell r="A427" t="str">
            <v>BA0330-L</v>
          </cell>
          <cell r="B427" t="str">
            <v>A330</v>
          </cell>
          <cell r="C427" t="str">
            <v>เยื่อไผ่ แขนสั้นขาสั้น ซากุระ ไทเกอร์ พื้นชมพู L</v>
          </cell>
          <cell r="E427">
            <v>0</v>
          </cell>
          <cell r="F427">
            <v>790</v>
          </cell>
        </row>
        <row r="428">
          <cell r="A428" t="str">
            <v>BA0330-M</v>
          </cell>
          <cell r="B428" t="str">
            <v>A330</v>
          </cell>
          <cell r="C428" t="str">
            <v>เยื่อไผ่ แขนสั้นขาสั้น ซากุระ ไทเกอร์ พื้นชมพู M</v>
          </cell>
          <cell r="E428">
            <v>0</v>
          </cell>
          <cell r="F428">
            <v>790</v>
          </cell>
        </row>
        <row r="429">
          <cell r="A429" t="str">
            <v>BA0330-S</v>
          </cell>
          <cell r="B429" t="str">
            <v>A330</v>
          </cell>
          <cell r="C429" t="str">
            <v>เยื่อไผ่ แขนสั้นขาสั้น ซากุระ ไทเกอร์ พื้นชมพู S</v>
          </cell>
          <cell r="E429">
            <v>0</v>
          </cell>
          <cell r="F429">
            <v>790</v>
          </cell>
        </row>
        <row r="430">
          <cell r="A430" t="str">
            <v>BA0330-XL</v>
          </cell>
          <cell r="B430" t="str">
            <v>A330</v>
          </cell>
          <cell r="C430" t="str">
            <v>เยื่อไผ่ แขนสั้นขาสั้น ซากุระ ไทเกอร์ พื้นชมพู XL</v>
          </cell>
          <cell r="E430">
            <v>0</v>
          </cell>
          <cell r="F430">
            <v>790</v>
          </cell>
        </row>
        <row r="431">
          <cell r="A431" t="str">
            <v>BA0331-L</v>
          </cell>
          <cell r="B431" t="str">
            <v>A331</v>
          </cell>
          <cell r="C431" t="str">
            <v>เยื่อไผ่ แขนสั้นขาสั้น สวนสัตว์ พื้นดำ L</v>
          </cell>
          <cell r="E431">
            <v>0</v>
          </cell>
          <cell r="F431">
            <v>790</v>
          </cell>
        </row>
        <row r="432">
          <cell r="A432" t="str">
            <v>BA0331-M</v>
          </cell>
          <cell r="B432" t="str">
            <v>A331</v>
          </cell>
          <cell r="C432" t="str">
            <v>เยื่อไผ่ แขนสั้นขาสั้น สวนสัตว์ พื้นดำ M</v>
          </cell>
          <cell r="E432">
            <v>0</v>
          </cell>
          <cell r="F432">
            <v>790</v>
          </cell>
        </row>
        <row r="433">
          <cell r="A433" t="str">
            <v>BA0331-S</v>
          </cell>
          <cell r="B433" t="str">
            <v>A331</v>
          </cell>
          <cell r="C433" t="str">
            <v>เยื่อไผ่ แขนสั้นขาสั้น สวนสัตว์ พื้นดำ S</v>
          </cell>
          <cell r="E433">
            <v>2</v>
          </cell>
          <cell r="F433">
            <v>790</v>
          </cell>
        </row>
        <row r="434">
          <cell r="A434" t="str">
            <v>BA0331-XL</v>
          </cell>
          <cell r="B434" t="str">
            <v>A331</v>
          </cell>
          <cell r="C434" t="str">
            <v>เยื่อไผ่ แขนสั้นขาสั้น สวนสัตว์ พื้นดำ XL</v>
          </cell>
          <cell r="E434">
            <v>0</v>
          </cell>
          <cell r="F434">
            <v>790</v>
          </cell>
        </row>
        <row r="435">
          <cell r="A435" t="str">
            <v>BA0332-L</v>
          </cell>
          <cell r="B435" t="str">
            <v>A332</v>
          </cell>
          <cell r="C435" t="str">
            <v>เยื่อไผ่ แขนสั้นขาสั้น เสือดาว พื้นเขียว L</v>
          </cell>
          <cell r="E435">
            <v>0</v>
          </cell>
          <cell r="F435">
            <v>790</v>
          </cell>
        </row>
        <row r="436">
          <cell r="A436" t="str">
            <v>BA0332-M</v>
          </cell>
          <cell r="B436" t="str">
            <v>A332</v>
          </cell>
          <cell r="C436" t="str">
            <v>เยื่อไผ่ แขนสั้นขาสั้น เสือดาว พื้นเขียว M</v>
          </cell>
          <cell r="E436">
            <v>0</v>
          </cell>
          <cell r="F436">
            <v>790</v>
          </cell>
        </row>
        <row r="437">
          <cell r="A437" t="str">
            <v>BA0332-S</v>
          </cell>
          <cell r="B437" t="str">
            <v>A332</v>
          </cell>
          <cell r="C437" t="str">
            <v>เยื่อไผ่ แขนสั้นขาสั้น เสือดาว พื้นเขียว S</v>
          </cell>
          <cell r="E437">
            <v>0</v>
          </cell>
          <cell r="F437">
            <v>790</v>
          </cell>
        </row>
        <row r="438">
          <cell r="A438" t="str">
            <v>BA0333-L</v>
          </cell>
          <cell r="B438" t="str">
            <v>A333</v>
          </cell>
          <cell r="C438" t="str">
            <v>เยื่อไผ่ แขนสั้นขาสั้น ซากุระ ไทเกอร์ พื้นกรม L</v>
          </cell>
          <cell r="E438">
            <v>0</v>
          </cell>
          <cell r="F438">
            <v>790</v>
          </cell>
        </row>
        <row r="439">
          <cell r="A439" t="str">
            <v>BA0333-M</v>
          </cell>
          <cell r="B439" t="str">
            <v>A333</v>
          </cell>
          <cell r="C439" t="str">
            <v>เยื่อไผ่ แขนสั้นขาสั้น ซากุระ ไทเกอร์ พื้นกรม M</v>
          </cell>
          <cell r="E439">
            <v>0</v>
          </cell>
          <cell r="F439">
            <v>790</v>
          </cell>
        </row>
        <row r="440">
          <cell r="A440" t="str">
            <v>BA0333-S</v>
          </cell>
          <cell r="B440" t="str">
            <v>A333</v>
          </cell>
          <cell r="C440" t="str">
            <v>เยื่อไผ่ แขนสั้นขาสั้น ซากุระ ไทเกอร์ พื้นกรม S</v>
          </cell>
          <cell r="E440">
            <v>2</v>
          </cell>
          <cell r="F440">
            <v>790</v>
          </cell>
        </row>
        <row r="441">
          <cell r="A441" t="str">
            <v>BA0333-XL</v>
          </cell>
          <cell r="B441" t="str">
            <v>A333</v>
          </cell>
          <cell r="C441" t="str">
            <v>เยื่อไผ่ แขนสั้นขาสั้น ซากุระ ไทเกอร์ พื้นกรม XL</v>
          </cell>
          <cell r="E441">
            <v>0</v>
          </cell>
          <cell r="F441">
            <v>790</v>
          </cell>
        </row>
        <row r="442">
          <cell r="A442" t="str">
            <v>BA0334-L</v>
          </cell>
          <cell r="B442" t="str">
            <v>A334</v>
          </cell>
          <cell r="C442" t="str">
            <v>เยื่อไผ่ แขนสั้นขาสั้น พื้นขาว ดอกกุหลาบแดง กล้วยไม้ L</v>
          </cell>
          <cell r="E442">
            <v>0</v>
          </cell>
          <cell r="F442">
            <v>790</v>
          </cell>
        </row>
        <row r="443">
          <cell r="A443" t="str">
            <v>BA0334-M</v>
          </cell>
          <cell r="B443" t="str">
            <v>A334</v>
          </cell>
          <cell r="C443" t="str">
            <v>เยื่อไผ่ แขนสั้นขาสั้น พื้นขาว ดอกกุหลาบแดง กล้วยไม้ M</v>
          </cell>
          <cell r="E443">
            <v>0</v>
          </cell>
          <cell r="F443">
            <v>790</v>
          </cell>
        </row>
        <row r="444">
          <cell r="A444" t="str">
            <v>BA0334-S</v>
          </cell>
          <cell r="B444" t="str">
            <v>A334</v>
          </cell>
          <cell r="C444" t="str">
            <v>เยื่อไผ่ แขนสั้นขาสั้น พื้นขาว ดอกกุหลาบแดง กล้วยไม้ S</v>
          </cell>
          <cell r="E444">
            <v>0</v>
          </cell>
          <cell r="F444">
            <v>790</v>
          </cell>
        </row>
        <row r="445">
          <cell r="A445" t="str">
            <v>BA0337-L</v>
          </cell>
          <cell r="B445" t="str">
            <v>JA337</v>
          </cell>
          <cell r="C445" t="str">
            <v>เยื่อไผ่ แขนสั้นขาสั้น แมวฟ้า กุ๊นขอบ L</v>
          </cell>
          <cell r="E445">
            <v>0</v>
          </cell>
          <cell r="F445">
            <v>790</v>
          </cell>
        </row>
        <row r="446">
          <cell r="A446" t="str">
            <v>BA0337-M</v>
          </cell>
          <cell r="B446" t="str">
            <v>JA337</v>
          </cell>
          <cell r="C446" t="str">
            <v>เยื่อไผ่ แขนสั้นขาสั้น แมวฟ้า กุ๊นขอบ M ตัวโชว์</v>
          </cell>
          <cell r="E446">
            <v>0</v>
          </cell>
          <cell r="F446">
            <v>790</v>
          </cell>
        </row>
        <row r="447">
          <cell r="A447" t="str">
            <v>BA0337-S</v>
          </cell>
          <cell r="B447" t="str">
            <v>JA337</v>
          </cell>
          <cell r="C447" t="str">
            <v>เยื่อไผ่ แขนสั้นขาสั้น แมวฟ้า กุ๊นขอบ S ตัวโชว์</v>
          </cell>
          <cell r="E447">
            <v>0</v>
          </cell>
          <cell r="F447">
            <v>790</v>
          </cell>
        </row>
        <row r="448">
          <cell r="A448" t="str">
            <v>BA0337-XL</v>
          </cell>
          <cell r="B448" t="str">
            <v>JA337</v>
          </cell>
          <cell r="C448" t="str">
            <v>เยื่อไผ่ แขนสั้นขาสั้น แมวฟ้า กุ๊นขอบ XL ตัวโชว์</v>
          </cell>
          <cell r="E448">
            <v>0</v>
          </cell>
          <cell r="F448">
            <v>790</v>
          </cell>
        </row>
        <row r="449">
          <cell r="A449" t="str">
            <v>BA0338-L</v>
          </cell>
          <cell r="B449" t="str">
            <v>A338</v>
          </cell>
          <cell r="C449" t="str">
            <v>เยื่อไผ่ แขนสั้นขาสั้น เสือดำ พื้นขาว L</v>
          </cell>
          <cell r="E449">
            <v>0</v>
          </cell>
          <cell r="F449">
            <v>790</v>
          </cell>
        </row>
        <row r="450">
          <cell r="A450" t="str">
            <v>BA0338-M</v>
          </cell>
          <cell r="B450" t="str">
            <v>A338</v>
          </cell>
          <cell r="C450" t="str">
            <v>เยื่อไผ่ แขนสั้นขาสั้น เสือดำ พื้นขาว M</v>
          </cell>
          <cell r="E450">
            <v>0</v>
          </cell>
          <cell r="F450">
            <v>790</v>
          </cell>
        </row>
        <row r="451">
          <cell r="A451" t="str">
            <v>BA0338-S</v>
          </cell>
          <cell r="B451" t="str">
            <v>QA338</v>
          </cell>
          <cell r="C451" t="str">
            <v>เยื่อไผ่ แขนสั้นขาสั้น เสือดำ พื้นขาว S QC</v>
          </cell>
          <cell r="E451">
            <v>0</v>
          </cell>
          <cell r="F451">
            <v>790</v>
          </cell>
        </row>
        <row r="452">
          <cell r="A452" t="str">
            <v>BA0338-XL</v>
          </cell>
          <cell r="B452" t="str">
            <v>A338</v>
          </cell>
          <cell r="C452" t="str">
            <v>เยื่อไผ่ แขนสั้นขาสั้น เสือดำ พื้นขาว XL</v>
          </cell>
          <cell r="E452">
            <v>0</v>
          </cell>
          <cell r="F452">
            <v>790</v>
          </cell>
        </row>
        <row r="453">
          <cell r="A453" t="str">
            <v>BA0340-L</v>
          </cell>
          <cell r="B453" t="str">
            <v>A340</v>
          </cell>
          <cell r="C453" t="str">
            <v>เยื่อไผ่ แขนสั้นขาสั้น ลายดำ พื้นเหลือง L</v>
          </cell>
          <cell r="E453">
            <v>0</v>
          </cell>
          <cell r="F453">
            <v>790</v>
          </cell>
        </row>
        <row r="454">
          <cell r="A454" t="str">
            <v>BA0340-M</v>
          </cell>
          <cell r="B454" t="str">
            <v>A340</v>
          </cell>
          <cell r="C454" t="str">
            <v>เยื่อไผ่ แขนสั้นขาสั้น ลายดำ พื้นเหลือง M</v>
          </cell>
          <cell r="E454">
            <v>0</v>
          </cell>
          <cell r="F454">
            <v>790</v>
          </cell>
        </row>
        <row r="455">
          <cell r="A455" t="str">
            <v>BA0340-S</v>
          </cell>
          <cell r="B455" t="str">
            <v>A340</v>
          </cell>
          <cell r="C455" t="str">
            <v>เยื่อไผ่ แขนสั้นขาสั้น ลายดำ พื้นเหลือง S</v>
          </cell>
          <cell r="E455">
            <v>0</v>
          </cell>
          <cell r="F455">
            <v>790</v>
          </cell>
        </row>
        <row r="456">
          <cell r="A456" t="str">
            <v>BA0341-L</v>
          </cell>
          <cell r="B456" t="str">
            <v>A341</v>
          </cell>
          <cell r="C456" t="str">
            <v>เยื่อไผ่ แขนสั้นขาสั้น ลายดำ พื้นเขียว L</v>
          </cell>
          <cell r="E456">
            <v>0</v>
          </cell>
          <cell r="F456">
            <v>790</v>
          </cell>
        </row>
        <row r="457">
          <cell r="A457" t="str">
            <v>BA0341-M</v>
          </cell>
          <cell r="B457" t="str">
            <v>A341</v>
          </cell>
          <cell r="C457" t="str">
            <v>เยื่อไผ่ แขนสั้นขาสั้น ลายดำ พื้นเขียว M</v>
          </cell>
          <cell r="E457">
            <v>0</v>
          </cell>
          <cell r="F457">
            <v>790</v>
          </cell>
        </row>
        <row r="458">
          <cell r="A458" t="str">
            <v>BA0341-S</v>
          </cell>
          <cell r="B458" t="str">
            <v>A341</v>
          </cell>
          <cell r="C458" t="str">
            <v>เยื่อไผ่ แขนสั้นขาสั้น ลายดำ พื้นเขียว S</v>
          </cell>
          <cell r="E458">
            <v>0</v>
          </cell>
          <cell r="F458">
            <v>790</v>
          </cell>
        </row>
        <row r="459">
          <cell r="A459" t="str">
            <v>BA0342-M</v>
          </cell>
          <cell r="B459" t="str">
            <v>A342</v>
          </cell>
          <cell r="C459" t="str">
            <v>เยื่อไผ่ แขนสั้นขาสั้น ลายทาง เพนท์ M</v>
          </cell>
          <cell r="E459">
            <v>0</v>
          </cell>
          <cell r="F459">
            <v>790</v>
          </cell>
        </row>
        <row r="460">
          <cell r="A460" t="str">
            <v>BA0342-S</v>
          </cell>
          <cell r="B460" t="str">
            <v>A342</v>
          </cell>
          <cell r="C460" t="str">
            <v>เยื่อไผ่ แขนสั้นขาสั้น ลายทาง เพนท์ S</v>
          </cell>
          <cell r="E460">
            <v>0</v>
          </cell>
          <cell r="F460">
            <v>790</v>
          </cell>
        </row>
        <row r="461">
          <cell r="A461" t="str">
            <v>BA0343-M</v>
          </cell>
          <cell r="B461" t="str">
            <v>QA343</v>
          </cell>
          <cell r="C461" t="str">
            <v>เยื่อไผ่ แขนสั้นขาสั้น เรือใบ พื้นชมพู M QC</v>
          </cell>
          <cell r="E461">
            <v>0</v>
          </cell>
          <cell r="F461">
            <v>790</v>
          </cell>
        </row>
        <row r="462">
          <cell r="A462" t="str">
            <v>BA0343-S</v>
          </cell>
          <cell r="B462" t="str">
            <v>A343</v>
          </cell>
          <cell r="C462" t="str">
            <v>เยื่อไผ่ แขนสั้นขาสั้น เรือใบ พื้นชมพู S</v>
          </cell>
          <cell r="E462">
            <v>0</v>
          </cell>
          <cell r="F462">
            <v>790</v>
          </cell>
        </row>
        <row r="463">
          <cell r="A463" t="str">
            <v>BA0344-L</v>
          </cell>
          <cell r="B463" t="str">
            <v>A344</v>
          </cell>
          <cell r="C463" t="str">
            <v>เยื่อไผ่ แขนสั้นขาสั้น ดอกไม้ม่วง ขอบเขียว พื้นขาวครีม L</v>
          </cell>
          <cell r="E463">
            <v>0</v>
          </cell>
          <cell r="F463">
            <v>790</v>
          </cell>
        </row>
        <row r="464">
          <cell r="A464" t="str">
            <v>BA0344-M</v>
          </cell>
          <cell r="B464" t="str">
            <v>JA344</v>
          </cell>
          <cell r="C464" t="str">
            <v>เยื่อไผ่ แขนสั้นขาสั้น ดอกไม้ม่วง ขอบเขียว พื้นขาวครีม M</v>
          </cell>
          <cell r="E464">
            <v>0</v>
          </cell>
          <cell r="F464">
            <v>790</v>
          </cell>
        </row>
        <row r="465">
          <cell r="A465" t="str">
            <v>BA0344-S</v>
          </cell>
          <cell r="B465" t="str">
            <v>JA344</v>
          </cell>
          <cell r="C465" t="str">
            <v>เยื่อไผ่ แขนสั้นขาสั้น ดอกไม้ม่วง ขอบเขียว พื้นขาวครีม S ตัวโชว์</v>
          </cell>
          <cell r="E465">
            <v>0</v>
          </cell>
          <cell r="F465">
            <v>790</v>
          </cell>
        </row>
        <row r="466">
          <cell r="A466" t="str">
            <v>BA0344-XL</v>
          </cell>
          <cell r="B466" t="str">
            <v>JA344</v>
          </cell>
          <cell r="C466" t="str">
            <v>เยื่อไผ่ แขนสั้นขาสั้น ดอกไม้ม่วง ขอบเขียว พื้นขาวครีม XL</v>
          </cell>
          <cell r="E466">
            <v>0</v>
          </cell>
          <cell r="F466">
            <v>790</v>
          </cell>
        </row>
        <row r="467">
          <cell r="A467" t="str">
            <v>BA0345-L</v>
          </cell>
          <cell r="B467" t="str">
            <v>A345</v>
          </cell>
          <cell r="C467" t="str">
            <v>เยื่อไผ่ แขนสั้นขาสั้น พื้นขาว ลายวาดรูป L</v>
          </cell>
          <cell r="E467">
            <v>0</v>
          </cell>
          <cell r="F467">
            <v>790</v>
          </cell>
        </row>
        <row r="468">
          <cell r="A468" t="str">
            <v>BA0345-M</v>
          </cell>
          <cell r="B468" t="str">
            <v>A345</v>
          </cell>
          <cell r="C468" t="str">
            <v>เยื่อไผ่ แขนสั้นขาสั้น พื้นขาว ลายวาดรูป M</v>
          </cell>
          <cell r="E468">
            <v>0</v>
          </cell>
          <cell r="F468">
            <v>790</v>
          </cell>
        </row>
        <row r="469">
          <cell r="A469" t="str">
            <v>BA0345-S</v>
          </cell>
          <cell r="B469" t="str">
            <v>A345</v>
          </cell>
          <cell r="C469" t="str">
            <v>เยื่อไผ่ แขนสั้นขาสั้น พื้นขาว ลายวาดรูป S</v>
          </cell>
          <cell r="E469">
            <v>0</v>
          </cell>
          <cell r="F469">
            <v>790</v>
          </cell>
        </row>
        <row r="470">
          <cell r="A470" t="str">
            <v>BA0345-XL</v>
          </cell>
          <cell r="B470" t="str">
            <v>A345</v>
          </cell>
          <cell r="C470" t="str">
            <v>เยื่อไผ่ แขนสั้นขาสั้น พื้นขาว ลายวาดรูป XL</v>
          </cell>
          <cell r="E470">
            <v>0</v>
          </cell>
          <cell r="F470">
            <v>790</v>
          </cell>
        </row>
        <row r="471">
          <cell r="A471" t="str">
            <v>BA0346-L</v>
          </cell>
          <cell r="B471" t="str">
            <v>A346</v>
          </cell>
          <cell r="C471" t="str">
            <v>เยื่อไผ่ แขนสั้นขาสั้น ไทเกอร์ แอนด์ โคอะล่า L</v>
          </cell>
          <cell r="E471">
            <v>0</v>
          </cell>
          <cell r="F471">
            <v>790</v>
          </cell>
        </row>
        <row r="472">
          <cell r="A472" t="str">
            <v>BA0346-M</v>
          </cell>
          <cell r="B472" t="str">
            <v>A346</v>
          </cell>
          <cell r="C472" t="str">
            <v>เยื่อไผ่ แขนสั้นขาสั้น ไทเกอร์ แอนด์ โคอะล่า M</v>
          </cell>
          <cell r="E472">
            <v>0</v>
          </cell>
          <cell r="F472">
            <v>790</v>
          </cell>
        </row>
        <row r="473">
          <cell r="A473" t="str">
            <v>BA0346-S</v>
          </cell>
          <cell r="B473" t="str">
            <v>A346</v>
          </cell>
          <cell r="C473" t="str">
            <v>เยื่อไผ่ แขนสั้นขาสั้น ไทเกอร์ แอนด์ โคอะล่า S</v>
          </cell>
          <cell r="E473">
            <v>0</v>
          </cell>
          <cell r="F473">
            <v>790</v>
          </cell>
        </row>
        <row r="474">
          <cell r="A474" t="str">
            <v>BA0346-XL</v>
          </cell>
          <cell r="B474" t="str">
            <v>A346</v>
          </cell>
          <cell r="C474" t="str">
            <v>เยื่อไผ่ แขนสั้นขาสั้น ไทเกอร์ แอนด์ โคอะล่า XL</v>
          </cell>
          <cell r="E474">
            <v>0</v>
          </cell>
          <cell r="F474">
            <v>790</v>
          </cell>
        </row>
        <row r="475">
          <cell r="A475" t="str">
            <v>BA0347-2XL</v>
          </cell>
          <cell r="B475" t="str">
            <v>A347</v>
          </cell>
          <cell r="C475" t="str">
            <v>เยื่อไผ่ แขนสั้นขาสั้น ลายทางม่วง 2XL</v>
          </cell>
          <cell r="E475">
            <v>0</v>
          </cell>
          <cell r="F475">
            <v>790</v>
          </cell>
        </row>
        <row r="476">
          <cell r="A476" t="str">
            <v>BA0347-L</v>
          </cell>
          <cell r="B476" t="str">
            <v>A347</v>
          </cell>
          <cell r="C476" t="str">
            <v>เยื่อไผ่ แขนสั้นขาสั้น ลายทางม่วง L</v>
          </cell>
          <cell r="E476">
            <v>0</v>
          </cell>
          <cell r="F476">
            <v>790</v>
          </cell>
        </row>
        <row r="477">
          <cell r="A477" t="str">
            <v>BA0347-M</v>
          </cell>
          <cell r="B477" t="str">
            <v>A347</v>
          </cell>
          <cell r="C477" t="str">
            <v>เยื่อไผ่ แขนสั้นขาสั้น ลายทางม่วง M</v>
          </cell>
          <cell r="E477">
            <v>0</v>
          </cell>
          <cell r="F477">
            <v>790</v>
          </cell>
        </row>
        <row r="478">
          <cell r="A478" t="str">
            <v>BA0347-S</v>
          </cell>
          <cell r="B478" t="str">
            <v>A347</v>
          </cell>
          <cell r="C478" t="str">
            <v>เยื่อไผ่ แขนสั้นขาสั้น ลายทางม่วง S</v>
          </cell>
          <cell r="E478">
            <v>0</v>
          </cell>
          <cell r="F478">
            <v>790</v>
          </cell>
        </row>
        <row r="479">
          <cell r="A479" t="str">
            <v>BA0347-XL</v>
          </cell>
          <cell r="B479" t="str">
            <v>A347</v>
          </cell>
          <cell r="C479" t="str">
            <v>เยื่อไผ่ แขนสั้นขาสั้น ลายทางม่วง XL</v>
          </cell>
          <cell r="E479">
            <v>0</v>
          </cell>
          <cell r="F479">
            <v>790</v>
          </cell>
        </row>
        <row r="480">
          <cell r="A480" t="str">
            <v>BA0348-2XL</v>
          </cell>
          <cell r="B480" t="str">
            <v>A348</v>
          </cell>
          <cell r="C480" t="str">
            <v>เยื่อไผ่ แขนสั้นขาสั้น Blue Sky 2XL</v>
          </cell>
          <cell r="E480">
            <v>0</v>
          </cell>
          <cell r="F480">
            <v>790</v>
          </cell>
        </row>
        <row r="481">
          <cell r="A481" t="str">
            <v>BA0348-L</v>
          </cell>
          <cell r="B481" t="str">
            <v>A348</v>
          </cell>
          <cell r="C481" t="str">
            <v>เยื่อไผ่ แขนสั้นขาสั้น Blue Sky L</v>
          </cell>
          <cell r="E481">
            <v>0</v>
          </cell>
          <cell r="F481">
            <v>790</v>
          </cell>
        </row>
        <row r="482">
          <cell r="A482" t="str">
            <v>BA0348-M</v>
          </cell>
          <cell r="B482" t="str">
            <v>QA348</v>
          </cell>
          <cell r="C482" t="str">
            <v>เยื่อไผ่ แขนสั้นขาสั้น Blue Sky M QC</v>
          </cell>
          <cell r="E482">
            <v>0</v>
          </cell>
          <cell r="F482">
            <v>790</v>
          </cell>
        </row>
        <row r="483">
          <cell r="A483" t="str">
            <v>BA0348-XL</v>
          </cell>
          <cell r="B483" t="str">
            <v>A348</v>
          </cell>
          <cell r="C483" t="str">
            <v>เยื่อไผ่ แขนสั้นขาสั้น Blue Sky XL</v>
          </cell>
          <cell r="E483">
            <v>0</v>
          </cell>
          <cell r="F483">
            <v>790</v>
          </cell>
        </row>
        <row r="484">
          <cell r="A484" t="str">
            <v>BA0349-L</v>
          </cell>
          <cell r="B484" t="str">
            <v>A349</v>
          </cell>
          <cell r="C484" t="str">
            <v>เยื่อไผ่ แขนสั้นขาสั้น Cat Party L</v>
          </cell>
          <cell r="E484">
            <v>0</v>
          </cell>
          <cell r="F484">
            <v>790</v>
          </cell>
        </row>
        <row r="485">
          <cell r="A485" t="str">
            <v>BA0349-M</v>
          </cell>
          <cell r="B485" t="str">
            <v>A349</v>
          </cell>
          <cell r="C485" t="str">
            <v>เยื่อไผ่ แขนสั้นขาสั้น Cat Party M</v>
          </cell>
          <cell r="E485">
            <v>0</v>
          </cell>
          <cell r="F485">
            <v>790</v>
          </cell>
        </row>
        <row r="486">
          <cell r="A486" t="str">
            <v>BA0349-S</v>
          </cell>
          <cell r="B486" t="str">
            <v>A349</v>
          </cell>
          <cell r="C486" t="str">
            <v>เยื่อไผ่ แขนสั้นขาสั้น Cat Party  S</v>
          </cell>
          <cell r="E486">
            <v>0</v>
          </cell>
          <cell r="F486">
            <v>790</v>
          </cell>
        </row>
        <row r="487">
          <cell r="A487" t="str">
            <v>BA0350-L</v>
          </cell>
          <cell r="B487" t="str">
            <v>A350</v>
          </cell>
          <cell r="C487" t="str">
            <v>เยื่อไผ่ แขนสั้นขาสั้น พื้นขาว จุดฟ้าคราม L</v>
          </cell>
          <cell r="E487">
            <v>0</v>
          </cell>
          <cell r="F487">
            <v>790</v>
          </cell>
        </row>
        <row r="488">
          <cell r="A488" t="str">
            <v>BA0350-M</v>
          </cell>
          <cell r="B488" t="str">
            <v>A350</v>
          </cell>
          <cell r="C488" t="str">
            <v>เยื่อไผ่ แขนสั้นขาสั้น พื้นขาว จุดฟ้าคราม M</v>
          </cell>
          <cell r="E488">
            <v>0</v>
          </cell>
          <cell r="F488">
            <v>790</v>
          </cell>
        </row>
        <row r="489">
          <cell r="A489" t="str">
            <v>BA0350-S</v>
          </cell>
          <cell r="B489" t="str">
            <v>A350</v>
          </cell>
          <cell r="C489" t="str">
            <v>เยื่อไผ่ แขนสั้นขาสั้น พื้นขาว จุดฟ้าคราม S</v>
          </cell>
          <cell r="E489">
            <v>0</v>
          </cell>
          <cell r="F489">
            <v>790</v>
          </cell>
        </row>
        <row r="490">
          <cell r="A490" t="str">
            <v>BA0351-2XL</v>
          </cell>
          <cell r="B490" t="str">
            <v>A351</v>
          </cell>
          <cell r="C490" t="str">
            <v>เยื่อไผ่ แขนสั้นขาสั้น ตารางเหลือง พื้นขาว 2XL</v>
          </cell>
          <cell r="E490">
            <v>0</v>
          </cell>
          <cell r="F490">
            <v>790</v>
          </cell>
        </row>
        <row r="491">
          <cell r="A491" t="str">
            <v>BA0351-L</v>
          </cell>
          <cell r="B491" t="str">
            <v>A351</v>
          </cell>
          <cell r="C491" t="str">
            <v>เยื่อไผ่ แขนสั้นขาสั้น ตารางเหลือง พื้นขาว L</v>
          </cell>
          <cell r="E491">
            <v>0</v>
          </cell>
          <cell r="F491">
            <v>790</v>
          </cell>
        </row>
        <row r="492">
          <cell r="A492" t="str">
            <v>BA0351-M</v>
          </cell>
          <cell r="B492" t="str">
            <v>A351</v>
          </cell>
          <cell r="C492" t="str">
            <v>เยื่อไผ่ แขนสั้นขาสั้น ตารางเหลือง พื้นขาว M</v>
          </cell>
          <cell r="E492">
            <v>0</v>
          </cell>
          <cell r="F492">
            <v>790</v>
          </cell>
        </row>
        <row r="493">
          <cell r="A493" t="str">
            <v>BA0351-XL</v>
          </cell>
          <cell r="B493" t="str">
            <v>A351</v>
          </cell>
          <cell r="C493" t="str">
            <v>เยื่อไผ่ แขนสั้นขาสั้น ตารางเหลือง พื้นขาว XL</v>
          </cell>
          <cell r="E493">
            <v>0</v>
          </cell>
          <cell r="F493">
            <v>790</v>
          </cell>
        </row>
        <row r="494">
          <cell r="A494" t="str">
            <v>BA0352-L</v>
          </cell>
          <cell r="B494" t="str">
            <v>A352</v>
          </cell>
          <cell r="C494" t="str">
            <v>เยื่อไผ่ แขนสั้นขาสั้น Sea Animals L</v>
          </cell>
          <cell r="E494">
            <v>0</v>
          </cell>
          <cell r="F494">
            <v>790</v>
          </cell>
        </row>
        <row r="495">
          <cell r="A495" t="str">
            <v>BA0352-M</v>
          </cell>
          <cell r="B495" t="str">
            <v>A352</v>
          </cell>
          <cell r="C495" t="str">
            <v>เยื่อไผ่ แขนสั้นขาสั้น Sea Animals M</v>
          </cell>
          <cell r="E495">
            <v>0</v>
          </cell>
          <cell r="F495">
            <v>790</v>
          </cell>
        </row>
        <row r="496">
          <cell r="A496" t="str">
            <v>BA0352-XL</v>
          </cell>
          <cell r="B496" t="str">
            <v>A352</v>
          </cell>
          <cell r="C496" t="str">
            <v>เยื่อไผ่ แขนสั้นขาสั้น Sea Animals XL</v>
          </cell>
          <cell r="E496">
            <v>0</v>
          </cell>
          <cell r="F496">
            <v>790</v>
          </cell>
        </row>
        <row r="497">
          <cell r="A497" t="str">
            <v>BA0354-L</v>
          </cell>
          <cell r="B497" t="str">
            <v>A354</v>
          </cell>
          <cell r="C497" t="str">
            <v>เยื่อไผ่ แขนสั้นขาสั้น ตาราง ครีมดำ L</v>
          </cell>
          <cell r="E497">
            <v>0</v>
          </cell>
          <cell r="F497">
            <v>790</v>
          </cell>
        </row>
        <row r="498">
          <cell r="A498" t="str">
            <v>BA0354-M</v>
          </cell>
          <cell r="B498" t="str">
            <v>A354</v>
          </cell>
          <cell r="C498" t="str">
            <v>เยื่อไผ่ แขนสั้นขาสั้น ตาราง ครีมดำ M</v>
          </cell>
          <cell r="E498">
            <v>0</v>
          </cell>
          <cell r="F498">
            <v>790</v>
          </cell>
        </row>
        <row r="499">
          <cell r="A499" t="str">
            <v>BA0354-S</v>
          </cell>
          <cell r="B499" t="str">
            <v>A354</v>
          </cell>
          <cell r="C499" t="str">
            <v>เยื่อไผ่ แขนสั้นขาสั้น ตาราง ครีมดำ S</v>
          </cell>
          <cell r="E499">
            <v>0</v>
          </cell>
          <cell r="F499">
            <v>790</v>
          </cell>
        </row>
        <row r="500">
          <cell r="A500" t="str">
            <v>BA0354-XL</v>
          </cell>
          <cell r="B500" t="str">
            <v>A354</v>
          </cell>
          <cell r="C500" t="str">
            <v>เยื่อไผ่ แขนสั้นขาสั้น ตาราง ครีมดำ XL</v>
          </cell>
          <cell r="E500">
            <v>0</v>
          </cell>
          <cell r="F500">
            <v>790</v>
          </cell>
        </row>
        <row r="501">
          <cell r="A501" t="str">
            <v>BA0355-L</v>
          </cell>
          <cell r="B501" t="str">
            <v>A355</v>
          </cell>
          <cell r="C501" t="str">
            <v>เยื่อไผ่ แขนสั้นขาสั้น ตาราง ครีมเขียว L</v>
          </cell>
          <cell r="E501">
            <v>0</v>
          </cell>
          <cell r="F501">
            <v>790</v>
          </cell>
        </row>
        <row r="502">
          <cell r="A502" t="str">
            <v>BA0355-M</v>
          </cell>
          <cell r="B502" t="str">
            <v>A355</v>
          </cell>
          <cell r="C502" t="str">
            <v>เยื่อไผ่ แขนสั้นขาสั้น ตาราง ครีมเขียว M</v>
          </cell>
          <cell r="E502">
            <v>0</v>
          </cell>
          <cell r="F502">
            <v>790</v>
          </cell>
        </row>
        <row r="503">
          <cell r="A503" t="str">
            <v>BA0355-S</v>
          </cell>
          <cell r="B503" t="str">
            <v>A355</v>
          </cell>
          <cell r="C503" t="str">
            <v>เยื่อไผ่ แขนสั้นขาสั้น ตาราง ครีมเขียว S</v>
          </cell>
          <cell r="E503">
            <v>0</v>
          </cell>
          <cell r="F503">
            <v>790</v>
          </cell>
        </row>
        <row r="504">
          <cell r="A504" t="str">
            <v>BA0355-XL</v>
          </cell>
          <cell r="B504" t="str">
            <v>A355</v>
          </cell>
          <cell r="C504" t="str">
            <v>เยื่อไผ่ แขนสั้นขาสั้น ตาราง ครีมเขียว XL</v>
          </cell>
          <cell r="E504">
            <v>0</v>
          </cell>
          <cell r="F504">
            <v>790</v>
          </cell>
        </row>
        <row r="505">
          <cell r="A505" t="str">
            <v>BA0356-L</v>
          </cell>
          <cell r="B505" t="str">
            <v>A356</v>
          </cell>
          <cell r="C505" t="str">
            <v>เยื่อไผ่ แขนสั้นขาสั้น ตาราง ครีมแดง L</v>
          </cell>
          <cell r="E505">
            <v>0</v>
          </cell>
          <cell r="F505">
            <v>790</v>
          </cell>
        </row>
        <row r="506">
          <cell r="A506" t="str">
            <v>BA0356-M</v>
          </cell>
          <cell r="B506" t="str">
            <v>A356</v>
          </cell>
          <cell r="C506" t="str">
            <v>เยื่อไผ่ แขนสั้นขาสั้น ตาราง ครีมแดง M</v>
          </cell>
          <cell r="E506">
            <v>0</v>
          </cell>
          <cell r="F506">
            <v>790</v>
          </cell>
        </row>
        <row r="507">
          <cell r="A507" t="str">
            <v>BA0356-S</v>
          </cell>
          <cell r="B507" t="str">
            <v>A356</v>
          </cell>
          <cell r="C507" t="str">
            <v>เยื่อไผ่ แขนสั้นขาสั้น ตาราง ครีมแดง S</v>
          </cell>
          <cell r="E507">
            <v>0</v>
          </cell>
          <cell r="F507">
            <v>790</v>
          </cell>
        </row>
        <row r="508">
          <cell r="A508" t="str">
            <v>BA0356-XL</v>
          </cell>
          <cell r="B508" t="str">
            <v>BA356</v>
          </cell>
          <cell r="C508" t="str">
            <v>เยื่อไผ่ แขนสั้นขาสั้น ตาราง ครีมแดง XL</v>
          </cell>
          <cell r="E508">
            <v>0</v>
          </cell>
          <cell r="F508">
            <v>790</v>
          </cell>
        </row>
        <row r="509">
          <cell r="A509" t="str">
            <v>BA0357-L</v>
          </cell>
          <cell r="B509" t="str">
            <v>A357</v>
          </cell>
          <cell r="C509" t="str">
            <v>เยื่อไผ่ แขนสั้นขาสั้น ผีเสื้อ พื้เหลืองอ่อน L</v>
          </cell>
          <cell r="E509">
            <v>0</v>
          </cell>
          <cell r="F509">
            <v>790</v>
          </cell>
        </row>
        <row r="510">
          <cell r="A510" t="str">
            <v>BA0357-M</v>
          </cell>
          <cell r="B510" t="str">
            <v>A357</v>
          </cell>
          <cell r="C510" t="str">
            <v>เยื่อไผ่ แขนสั้นขาสั้น ผีเสื้อ พื้เหลืองอ่อน M</v>
          </cell>
          <cell r="E510">
            <v>0</v>
          </cell>
          <cell r="F510">
            <v>790</v>
          </cell>
        </row>
        <row r="511">
          <cell r="A511" t="str">
            <v>BA0357-XL</v>
          </cell>
          <cell r="B511" t="str">
            <v>A357</v>
          </cell>
          <cell r="C511" t="str">
            <v>เยื่อไผ่ แขนสั้นขาสั้น ผีเสื้อ พื้เหลืองอ่อน XL</v>
          </cell>
          <cell r="E511">
            <v>0</v>
          </cell>
          <cell r="F511">
            <v>790</v>
          </cell>
        </row>
        <row r="512">
          <cell r="A512" t="str">
            <v>BA0358-L</v>
          </cell>
          <cell r="B512" t="str">
            <v>A358</v>
          </cell>
          <cell r="C512" t="str">
            <v>เยื่อไผ่ แขนสั้นขาสั้น เรนโบว์ พีช พื้นชมพู L</v>
          </cell>
          <cell r="E512">
            <v>0</v>
          </cell>
          <cell r="F512">
            <v>790</v>
          </cell>
        </row>
        <row r="513">
          <cell r="A513" t="str">
            <v>BA0358-M</v>
          </cell>
          <cell r="B513" t="str">
            <v>A358</v>
          </cell>
          <cell r="C513" t="str">
            <v>เยื่อไผ่ แขนสั้นขาสั้น เรนโบว์ พีช พื้นชมพู M</v>
          </cell>
          <cell r="E513">
            <v>0</v>
          </cell>
          <cell r="F513">
            <v>790</v>
          </cell>
        </row>
        <row r="514">
          <cell r="A514" t="str">
            <v>BA0358-S</v>
          </cell>
          <cell r="B514" t="str">
            <v>A358</v>
          </cell>
          <cell r="C514" t="str">
            <v>เยื่อไผ่ แขนสั้นขาสั้น เรนโบว์ พีช พื้นชมพู S</v>
          </cell>
          <cell r="E514">
            <v>0</v>
          </cell>
          <cell r="F514">
            <v>790</v>
          </cell>
        </row>
        <row r="515">
          <cell r="A515" t="str">
            <v>BA0358-XL</v>
          </cell>
          <cell r="B515" t="str">
            <v>A358</v>
          </cell>
          <cell r="C515" t="str">
            <v>เยื่อไผ่ แขนสั้นขาสั้น เรนโบว์ พีช พื้นชมพู XL</v>
          </cell>
          <cell r="E515">
            <v>0</v>
          </cell>
          <cell r="F515">
            <v>790</v>
          </cell>
        </row>
        <row r="516">
          <cell r="A516" t="str">
            <v>BA0359-L</v>
          </cell>
          <cell r="B516" t="str">
            <v>A359</v>
          </cell>
          <cell r="C516" t="str">
            <v>เยื่อไผ่ แขนสั้นขาสั้น พื้นชมพูล้วน L</v>
          </cell>
          <cell r="E516">
            <v>0</v>
          </cell>
          <cell r="F516">
            <v>790</v>
          </cell>
        </row>
        <row r="517">
          <cell r="A517" t="str">
            <v>BA0359-M</v>
          </cell>
          <cell r="B517" t="str">
            <v>A359</v>
          </cell>
          <cell r="C517" t="str">
            <v>เยื่อไผ่ แขนสั้นขาสั้น พื้นชมพูล้วน M</v>
          </cell>
          <cell r="E517">
            <v>0</v>
          </cell>
          <cell r="F517">
            <v>790</v>
          </cell>
        </row>
        <row r="518">
          <cell r="A518" t="str">
            <v>BA0359-S</v>
          </cell>
          <cell r="B518" t="str">
            <v>A359</v>
          </cell>
          <cell r="C518" t="str">
            <v>เยื่อไผ่ แขนสั้นขาสั้น พื้นชมพูล้วน S</v>
          </cell>
          <cell r="E518">
            <v>0</v>
          </cell>
          <cell r="F518">
            <v>790</v>
          </cell>
        </row>
        <row r="519">
          <cell r="A519" t="str">
            <v>BA0359-XL</v>
          </cell>
          <cell r="B519" t="str">
            <v>A359</v>
          </cell>
          <cell r="C519" t="str">
            <v>เยื่อไผ่ แขนสั้นขาสั้น พื้นชมพูล้วน XL</v>
          </cell>
          <cell r="E519">
            <v>0</v>
          </cell>
          <cell r="F519">
            <v>790</v>
          </cell>
        </row>
        <row r="520">
          <cell r="A520" t="str">
            <v>BA0360-L</v>
          </cell>
          <cell r="B520" t="str">
            <v>A360</v>
          </cell>
          <cell r="C520" t="str">
            <v>เยื่อไผ่ แขนสั้นขาสั้น พื้นฟ้าล้วน L</v>
          </cell>
          <cell r="E520">
            <v>0</v>
          </cell>
          <cell r="F520">
            <v>790</v>
          </cell>
        </row>
        <row r="521">
          <cell r="A521" t="str">
            <v>BA0360-M</v>
          </cell>
          <cell r="B521" t="str">
            <v>A360</v>
          </cell>
          <cell r="C521" t="str">
            <v>เยื่อไผ่ แขนสั้นขาสั้น พื้นฟ้าล้วน M</v>
          </cell>
          <cell r="E521">
            <v>0</v>
          </cell>
          <cell r="F521">
            <v>790</v>
          </cell>
        </row>
        <row r="522">
          <cell r="A522" t="str">
            <v>BA0360-S</v>
          </cell>
          <cell r="B522" t="str">
            <v>A360</v>
          </cell>
          <cell r="C522" t="str">
            <v>เยื่อไผ่ แขนสั้นขาสั้น พื้นฟ้าล้วน S</v>
          </cell>
          <cell r="E522">
            <v>0</v>
          </cell>
          <cell r="F522">
            <v>790</v>
          </cell>
        </row>
        <row r="523">
          <cell r="A523" t="str">
            <v>BA0360-XL</v>
          </cell>
          <cell r="B523" t="str">
            <v>A360</v>
          </cell>
          <cell r="C523" t="str">
            <v>เยื่อไผ่ แขนสั้นขาสั้น พื้นฟ้าล้วน XL</v>
          </cell>
          <cell r="E523">
            <v>0</v>
          </cell>
          <cell r="F523">
            <v>790</v>
          </cell>
        </row>
        <row r="524">
          <cell r="A524" t="str">
            <v>BA0361-L</v>
          </cell>
          <cell r="B524" t="str">
            <v>A361</v>
          </cell>
          <cell r="C524" t="str">
            <v>เยื่อไผ่ แขนสั้นขาสั้น ดอกเหมยลี่ พื้นครีม L</v>
          </cell>
          <cell r="E524">
            <v>0</v>
          </cell>
          <cell r="F524">
            <v>790</v>
          </cell>
        </row>
        <row r="525">
          <cell r="A525" t="str">
            <v>BA0361-M</v>
          </cell>
          <cell r="B525" t="str">
            <v>A361</v>
          </cell>
          <cell r="C525" t="str">
            <v>เยื่อไผ่ แขนสั้นขาสั้น ดอกเหมยลี่ พื้นครีม M</v>
          </cell>
          <cell r="E525">
            <v>0</v>
          </cell>
          <cell r="F525">
            <v>790</v>
          </cell>
        </row>
        <row r="526">
          <cell r="A526" t="str">
            <v>BA0361-S</v>
          </cell>
          <cell r="B526" t="str">
            <v>A361</v>
          </cell>
          <cell r="C526" t="str">
            <v>เยื่อไผ่ แขนสั้นขาสั้น ดอกเหมยลี่ พื้นครีม S</v>
          </cell>
          <cell r="E526">
            <v>0</v>
          </cell>
          <cell r="F526">
            <v>790</v>
          </cell>
        </row>
        <row r="527">
          <cell r="A527" t="str">
            <v>BA0363-L</v>
          </cell>
          <cell r="B527" t="str">
            <v>A363</v>
          </cell>
          <cell r="C527" t="str">
            <v>เยื่อไผ่ แขนสั้นขาสั้น พื้นกรม ดอกกุหลาบแดง กล้วยไม้ L</v>
          </cell>
          <cell r="E527">
            <v>0</v>
          </cell>
          <cell r="F527">
            <v>790</v>
          </cell>
        </row>
        <row r="528">
          <cell r="A528" t="str">
            <v>BA0363-M</v>
          </cell>
          <cell r="B528" t="str">
            <v>A363</v>
          </cell>
          <cell r="C528" t="str">
            <v>เยื่อไผ่ แขนสั้นขาสั้น พื้นกรม ดอกกุหลาบแดง กล้วยไม้ M</v>
          </cell>
          <cell r="E528">
            <v>0</v>
          </cell>
          <cell r="F528">
            <v>790</v>
          </cell>
        </row>
        <row r="529">
          <cell r="A529" t="str">
            <v>BA0363-S</v>
          </cell>
          <cell r="B529" t="str">
            <v>A363</v>
          </cell>
          <cell r="C529" t="str">
            <v>เยื่อไผ่ แขนสั้นขาสั้น พื้นกรม ดอกกุหลาบแดง กล้วยไม้ S</v>
          </cell>
          <cell r="E529">
            <v>0</v>
          </cell>
          <cell r="F529">
            <v>490</v>
          </cell>
        </row>
        <row r="530">
          <cell r="A530" t="str">
            <v>BA0364-L</v>
          </cell>
          <cell r="B530" t="str">
            <v>A364</v>
          </cell>
          <cell r="C530" t="str">
            <v>เยื่อไผ่ แขนสั้นขาสั้น บัวชมพู พื้นเขียว L</v>
          </cell>
          <cell r="E530">
            <v>0</v>
          </cell>
          <cell r="F530">
            <v>790</v>
          </cell>
        </row>
        <row r="531">
          <cell r="A531" t="str">
            <v>BA0364-M</v>
          </cell>
          <cell r="B531" t="str">
            <v>A364</v>
          </cell>
          <cell r="C531" t="str">
            <v>เยื่อไผ่ แขนสั้นขาสั้น บัวชมพู พื้นเขียว M</v>
          </cell>
          <cell r="E531">
            <v>0</v>
          </cell>
          <cell r="F531">
            <v>790</v>
          </cell>
        </row>
        <row r="532">
          <cell r="A532" t="str">
            <v>BA0364-XL</v>
          </cell>
          <cell r="B532" t="str">
            <v>A364</v>
          </cell>
          <cell r="C532" t="str">
            <v>เยื่อไผ่ แขนสั้นขาสั้น บัวชมพู พื้นเขียว XL</v>
          </cell>
          <cell r="E532">
            <v>0</v>
          </cell>
          <cell r="F532">
            <v>790</v>
          </cell>
        </row>
        <row r="533">
          <cell r="A533" t="str">
            <v>BA0365-L</v>
          </cell>
          <cell r="B533" t="str">
            <v>A365</v>
          </cell>
          <cell r="C533" t="str">
            <v>เยื่อไผ่ แขนสั้นขาสั้น กล้วยไม้ พื้นเขียว L</v>
          </cell>
          <cell r="E533">
            <v>0</v>
          </cell>
          <cell r="F533">
            <v>790</v>
          </cell>
        </row>
        <row r="534">
          <cell r="A534" t="str">
            <v>BA0365-M</v>
          </cell>
          <cell r="B534" t="str">
            <v>A365</v>
          </cell>
          <cell r="C534" t="str">
            <v>เยื่อไผ่ แขนสั้นขาสั้น กล้วยไม้ พื้นเขียว M</v>
          </cell>
          <cell r="E534">
            <v>0</v>
          </cell>
          <cell r="F534">
            <v>790</v>
          </cell>
        </row>
        <row r="535">
          <cell r="A535" t="str">
            <v>BA0365-XL</v>
          </cell>
          <cell r="B535" t="str">
            <v>A365</v>
          </cell>
          <cell r="C535" t="str">
            <v>เยื่อไผ่ แขนสั้นขาสั้น กล้วยไม้ พื้นเขียว XL</v>
          </cell>
          <cell r="E535">
            <v>0</v>
          </cell>
          <cell r="F535">
            <v>790</v>
          </cell>
        </row>
        <row r="536">
          <cell r="A536" t="str">
            <v>BA0366-L</v>
          </cell>
          <cell r="B536" t="str">
            <v>A366</v>
          </cell>
          <cell r="C536" t="str">
            <v>เยื่อไผ่ แขนสั้นขาสั้น ชมพู ลายทาง L</v>
          </cell>
          <cell r="E536">
            <v>0</v>
          </cell>
          <cell r="F536">
            <v>790</v>
          </cell>
        </row>
        <row r="537">
          <cell r="A537" t="str">
            <v>BA0366-M</v>
          </cell>
          <cell r="B537" t="str">
            <v>A366</v>
          </cell>
          <cell r="C537" t="str">
            <v>เยื่อไผ่ แขนสั้นขาสั้น ชมพู ลายทาง M</v>
          </cell>
          <cell r="E537">
            <v>0</v>
          </cell>
          <cell r="F537">
            <v>790</v>
          </cell>
        </row>
        <row r="538">
          <cell r="A538" t="str">
            <v>BA0366-S</v>
          </cell>
          <cell r="B538" t="str">
            <v>A366</v>
          </cell>
          <cell r="C538" t="str">
            <v>เยื่อไผ่ แขนสั้นขาสั้น ชมพู ลายทาง S</v>
          </cell>
          <cell r="E538">
            <v>0</v>
          </cell>
          <cell r="F538">
            <v>790</v>
          </cell>
        </row>
        <row r="539">
          <cell r="A539" t="str">
            <v>BA0366-XL</v>
          </cell>
          <cell r="B539" t="str">
            <v>A366</v>
          </cell>
          <cell r="C539" t="str">
            <v>เยื่อไผ่ แขนสั้นขาสั้น ชมพู ลายทาง XL</v>
          </cell>
          <cell r="E539">
            <v>0</v>
          </cell>
          <cell r="F539">
            <v>790</v>
          </cell>
        </row>
        <row r="540">
          <cell r="A540" t="str">
            <v>BA0367-L</v>
          </cell>
          <cell r="B540" t="str">
            <v>A367</v>
          </cell>
          <cell r="C540" t="str">
            <v>เยื่อไผ่ แขนสั้นขาสั้น พื้นดำ กระเป๋าแพนด้า L</v>
          </cell>
          <cell r="E540">
            <v>0</v>
          </cell>
          <cell r="F540">
            <v>790</v>
          </cell>
        </row>
        <row r="541">
          <cell r="A541" t="str">
            <v>BA0367-M</v>
          </cell>
          <cell r="B541" t="str">
            <v>A367</v>
          </cell>
          <cell r="C541" t="str">
            <v>เยื่อไผ่ แขนสั้นขาสั้น พื้นดำ กระเป๋าแพนด้า M</v>
          </cell>
          <cell r="E541">
            <v>0</v>
          </cell>
          <cell r="F541">
            <v>790</v>
          </cell>
        </row>
        <row r="542">
          <cell r="A542" t="str">
            <v>BA0367-S</v>
          </cell>
          <cell r="B542" t="str">
            <v>A367</v>
          </cell>
          <cell r="C542" t="str">
            <v>เยื่อไผ่ แขนสั้นขาสั้น พื้นดำ กระเป๋าแพนด้า S</v>
          </cell>
          <cell r="E542">
            <v>0</v>
          </cell>
          <cell r="F542">
            <v>790</v>
          </cell>
        </row>
        <row r="543">
          <cell r="A543" t="str">
            <v>BA0367-XL</v>
          </cell>
          <cell r="B543" t="str">
            <v>A367</v>
          </cell>
          <cell r="C543" t="str">
            <v>เยื่อไผ่ แขนสั้นขาสั้น พื้นดำ กระเป๋าแพนด้า XL</v>
          </cell>
          <cell r="E543">
            <v>0</v>
          </cell>
          <cell r="F543">
            <v>790</v>
          </cell>
        </row>
        <row r="544">
          <cell r="A544" t="str">
            <v>BA0368-L</v>
          </cell>
          <cell r="B544" t="str">
            <v>A368</v>
          </cell>
          <cell r="C544" t="str">
            <v>เยื่อไผ่ แขนสั้นขาสั้น พื้นขาว กระเป๋าแพนด้า L</v>
          </cell>
          <cell r="E544">
            <v>0</v>
          </cell>
          <cell r="F544">
            <v>790</v>
          </cell>
        </row>
        <row r="545">
          <cell r="A545" t="str">
            <v>BA0368-M</v>
          </cell>
          <cell r="B545" t="str">
            <v>A368</v>
          </cell>
          <cell r="C545" t="str">
            <v>เยื่อไผ่ แขนสั้นขาสั้น พื้นขาว กระเป๋าแพนด้า M</v>
          </cell>
          <cell r="E545">
            <v>0</v>
          </cell>
          <cell r="F545">
            <v>790</v>
          </cell>
        </row>
        <row r="546">
          <cell r="A546" t="str">
            <v>BA0368-S</v>
          </cell>
          <cell r="B546" t="str">
            <v>A368</v>
          </cell>
          <cell r="C546" t="str">
            <v>เยื่อไผ่ แขนสั้นขาสั้น พื้นขาว กระเป๋าแพนด้า S</v>
          </cell>
          <cell r="E546">
            <v>0</v>
          </cell>
          <cell r="F546">
            <v>790</v>
          </cell>
        </row>
        <row r="547">
          <cell r="A547" t="str">
            <v>BA0368-XL</v>
          </cell>
          <cell r="B547" t="str">
            <v>A368</v>
          </cell>
          <cell r="C547" t="str">
            <v>เยื่อไผ่ แขนสั้นขาสั้น พื้นขาว กระเป๋าแพนด้า XL</v>
          </cell>
          <cell r="E547">
            <v>0</v>
          </cell>
          <cell r="F547">
            <v>790</v>
          </cell>
        </row>
        <row r="548">
          <cell r="A548" t="str">
            <v>BA0369-L</v>
          </cell>
          <cell r="B548" t="str">
            <v>A369</v>
          </cell>
          <cell r="C548" t="str">
            <v>เยื่อไผ่ แขนสั้นขาสั้น พื้นขาว ดอกไม้คราม L</v>
          </cell>
          <cell r="E548">
            <v>0</v>
          </cell>
          <cell r="F548">
            <v>790</v>
          </cell>
        </row>
        <row r="549">
          <cell r="A549" t="str">
            <v>BA0369-M</v>
          </cell>
          <cell r="B549" t="str">
            <v>A369</v>
          </cell>
          <cell r="C549" t="str">
            <v>เยื่อไผ่ แขนสั้นขาสั้น พื้นขาว ดอกไม้คราม M</v>
          </cell>
          <cell r="E549">
            <v>0</v>
          </cell>
          <cell r="F549">
            <v>590</v>
          </cell>
        </row>
        <row r="550">
          <cell r="A550" t="str">
            <v>BA0369-XL</v>
          </cell>
          <cell r="B550" t="str">
            <v>A369</v>
          </cell>
          <cell r="C550" t="str">
            <v>เยื่อไผ่ แขนสั้นขาสั้น พื้นขาว ดอกไม้คราม XL</v>
          </cell>
          <cell r="E550">
            <v>0</v>
          </cell>
          <cell r="F550">
            <v>790</v>
          </cell>
        </row>
        <row r="551">
          <cell r="A551" t="str">
            <v>BA0370-L</v>
          </cell>
          <cell r="B551" t="str">
            <v>A370</v>
          </cell>
          <cell r="C551" t="str">
            <v>เยื่อไผ่ แขนสั้นขาสั้น ดอกไม้เขียว L</v>
          </cell>
          <cell r="E551">
            <v>0</v>
          </cell>
          <cell r="F551">
            <v>790</v>
          </cell>
        </row>
        <row r="552">
          <cell r="A552" t="str">
            <v>BA0370-M</v>
          </cell>
          <cell r="B552" t="str">
            <v>A370</v>
          </cell>
          <cell r="C552" t="str">
            <v>เยื่อไผ่ แขนสั้นขาสั้น ดอกไม้เขียว M</v>
          </cell>
          <cell r="E552">
            <v>0</v>
          </cell>
          <cell r="F552">
            <v>790</v>
          </cell>
        </row>
        <row r="553">
          <cell r="A553" t="str">
            <v>BA0370-S</v>
          </cell>
          <cell r="B553" t="str">
            <v>A370</v>
          </cell>
          <cell r="C553" t="str">
            <v>เยื่อไผ่ แขนสั้นขาสั้น ดอกไม้เขียว S</v>
          </cell>
          <cell r="E553">
            <v>0</v>
          </cell>
          <cell r="F553">
            <v>790</v>
          </cell>
        </row>
        <row r="554">
          <cell r="A554" t="str">
            <v>BA0370-XL</v>
          </cell>
          <cell r="B554" t="str">
            <v>A370</v>
          </cell>
          <cell r="C554" t="str">
            <v>เยื่อไผ่ แขนสั้นขาสั้น ดอกไม้เขียว XL</v>
          </cell>
          <cell r="E554">
            <v>0</v>
          </cell>
          <cell r="F554">
            <v>790</v>
          </cell>
        </row>
        <row r="555">
          <cell r="A555" t="str">
            <v>BA0371-L</v>
          </cell>
          <cell r="B555" t="str">
            <v>A371</v>
          </cell>
          <cell r="C555" t="str">
            <v>เยื่อไผ่ แขนสั้นขาสั้น เหลือง ลายทาง L</v>
          </cell>
          <cell r="E555">
            <v>0</v>
          </cell>
          <cell r="F555">
            <v>790</v>
          </cell>
        </row>
        <row r="556">
          <cell r="A556" t="str">
            <v>BA0371-M</v>
          </cell>
          <cell r="B556" t="str">
            <v>A371</v>
          </cell>
          <cell r="C556" t="str">
            <v>เยื่อไผ่ แขนสั้นขาสั้น เหลือง ลายทาง M</v>
          </cell>
          <cell r="E556">
            <v>0</v>
          </cell>
          <cell r="F556">
            <v>790</v>
          </cell>
        </row>
        <row r="557">
          <cell r="A557" t="str">
            <v>BA0371-S</v>
          </cell>
          <cell r="B557" t="str">
            <v>A371</v>
          </cell>
          <cell r="C557" t="str">
            <v>เยื่อไผ่ แขนสั้นขาสั้น เหลือง ลายทาง S</v>
          </cell>
          <cell r="E557">
            <v>0</v>
          </cell>
          <cell r="F557">
            <v>790</v>
          </cell>
        </row>
        <row r="558">
          <cell r="A558" t="str">
            <v>BA0371-XL</v>
          </cell>
          <cell r="B558" t="str">
            <v>A371</v>
          </cell>
          <cell r="C558" t="str">
            <v>เยื่อไผ่ แขนสั้นขาสั้น เหลือง ลายทาง XL</v>
          </cell>
          <cell r="E558">
            <v>0</v>
          </cell>
          <cell r="F558">
            <v>790</v>
          </cell>
        </row>
        <row r="559">
          <cell r="A559" t="str">
            <v>BA0384-L</v>
          </cell>
          <cell r="B559" t="str">
            <v>A384</v>
          </cell>
          <cell r="C559" t="str">
            <v>เยื่อไผ่ แขนสั้นขาสั้น ลายทาง gloomy L</v>
          </cell>
          <cell r="E559">
            <v>0</v>
          </cell>
          <cell r="F559">
            <v>790</v>
          </cell>
        </row>
        <row r="560">
          <cell r="A560" t="str">
            <v>BA0384-M</v>
          </cell>
          <cell r="B560" t="str">
            <v>A384</v>
          </cell>
          <cell r="C560" t="str">
            <v>เยื่อไผ่ แขนสั้นขาสั้น ลายทาง gloomy M</v>
          </cell>
          <cell r="E560">
            <v>0</v>
          </cell>
          <cell r="F560">
            <v>790</v>
          </cell>
        </row>
        <row r="561">
          <cell r="A561" t="str">
            <v>BA0384-XL</v>
          </cell>
          <cell r="B561" t="str">
            <v>A384</v>
          </cell>
          <cell r="C561" t="str">
            <v>เยื่อไผ่ แขนสั้นขาสั้น ลายทาง gloomy XL</v>
          </cell>
          <cell r="E561">
            <v>0</v>
          </cell>
          <cell r="F561">
            <v>790</v>
          </cell>
        </row>
        <row r="562">
          <cell r="A562" t="str">
            <v>BA0386-L</v>
          </cell>
          <cell r="B562" t="str">
            <v>A386</v>
          </cell>
          <cell r="C562" t="str">
            <v>เยื่อไผ่ แขนสั้นขาสั้น  พื้นฟ้าเทียน ดอกไม้เขียว L</v>
          </cell>
          <cell r="E562">
            <v>0</v>
          </cell>
          <cell r="F562">
            <v>790</v>
          </cell>
        </row>
        <row r="563">
          <cell r="A563" t="str">
            <v>BA0386-M</v>
          </cell>
          <cell r="B563" t="str">
            <v>A386</v>
          </cell>
          <cell r="C563" t="str">
            <v>เยื่อไผ่ แขนสั้นขาสั้น  พื้นฟ้าเทียน ดอกไม้เขียว M</v>
          </cell>
          <cell r="E563">
            <v>0</v>
          </cell>
          <cell r="F563">
            <v>790</v>
          </cell>
        </row>
        <row r="564">
          <cell r="A564" t="str">
            <v>BA0386-XL</v>
          </cell>
          <cell r="B564" t="str">
            <v>A386</v>
          </cell>
          <cell r="C564" t="str">
            <v>เยื่อไผ่ แขนสั้นขาสั้น  พื้นฟ้าเทียน ดอกไม้เขียว XL</v>
          </cell>
          <cell r="E564">
            <v>0</v>
          </cell>
          <cell r="F564">
            <v>790</v>
          </cell>
        </row>
        <row r="565">
          <cell r="A565" t="str">
            <v>BA0387-L</v>
          </cell>
          <cell r="B565" t="str">
            <v>A387</v>
          </cell>
          <cell r="C565" t="str">
            <v>เยื่อไผ่ แขนสั้นขาสั้น rabbit on christmas L</v>
          </cell>
          <cell r="E565">
            <v>0</v>
          </cell>
          <cell r="F565">
            <v>790</v>
          </cell>
        </row>
        <row r="566">
          <cell r="A566" t="str">
            <v>BA0387-M</v>
          </cell>
          <cell r="B566" t="str">
            <v>QA387</v>
          </cell>
          <cell r="C566" t="str">
            <v>เยื่อไผ่ แขนสั้นขาสั้น rabbit on christmas M QC</v>
          </cell>
          <cell r="E566">
            <v>0</v>
          </cell>
          <cell r="F566">
            <v>790</v>
          </cell>
        </row>
        <row r="567">
          <cell r="A567" t="str">
            <v>BA0387-XL</v>
          </cell>
          <cell r="B567" t="str">
            <v>A387</v>
          </cell>
          <cell r="C567" t="str">
            <v>เยื่อไผ่ แขนสั้นขาสั้น rabbit on christmas XL</v>
          </cell>
          <cell r="E567">
            <v>0</v>
          </cell>
          <cell r="F567">
            <v>790</v>
          </cell>
        </row>
        <row r="568">
          <cell r="A568" t="str">
            <v>BA0391-L</v>
          </cell>
          <cell r="B568" t="str">
            <v>A391</v>
          </cell>
          <cell r="C568" t="str">
            <v>เยื่อไผ่ แขนสั้นขาสั้น น้องหมี บัวชมพู L</v>
          </cell>
          <cell r="E568">
            <v>0</v>
          </cell>
          <cell r="F568">
            <v>790</v>
          </cell>
        </row>
        <row r="569">
          <cell r="A569" t="str">
            <v>BA0391-M</v>
          </cell>
          <cell r="B569" t="str">
            <v>A391</v>
          </cell>
          <cell r="C569" t="str">
            <v>เยื่อไผ่ แขนสั้นขาสั้น น้องหมี บัวชมพู M</v>
          </cell>
          <cell r="E569">
            <v>0</v>
          </cell>
          <cell r="F569">
            <v>790</v>
          </cell>
        </row>
        <row r="570">
          <cell r="A570" t="str">
            <v>BA0391-XL</v>
          </cell>
          <cell r="B570" t="str">
            <v>A391</v>
          </cell>
          <cell r="C570" t="str">
            <v>เยื่อไผ่ แขนสั้นขาสั้น น้องหมี บัวชมพู XL</v>
          </cell>
          <cell r="E570">
            <v>0</v>
          </cell>
          <cell r="F570">
            <v>790</v>
          </cell>
        </row>
        <row r="571">
          <cell r="A571" t="str">
            <v>BA0397-L</v>
          </cell>
          <cell r="B571" t="str">
            <v>A397</v>
          </cell>
          <cell r="C571" t="str">
            <v>เยื่อไผ่ แขนสั้นขาสั้น กระต่ายพื้นครีม ขอบเขียว L</v>
          </cell>
          <cell r="E571">
            <v>0</v>
          </cell>
          <cell r="F571">
            <v>790</v>
          </cell>
        </row>
        <row r="572">
          <cell r="A572" t="str">
            <v>BA0397-M</v>
          </cell>
          <cell r="B572" t="str">
            <v>A397</v>
          </cell>
          <cell r="C572" t="str">
            <v>เยื่อไผ่ แขนสั้นขาสั้น กระต่ายพื้นครีม ขอบเขียว M</v>
          </cell>
          <cell r="E572">
            <v>0</v>
          </cell>
          <cell r="F572">
            <v>590</v>
          </cell>
        </row>
        <row r="573">
          <cell r="A573" t="str">
            <v>BA0397-XL</v>
          </cell>
          <cell r="B573" t="str">
            <v>A397</v>
          </cell>
          <cell r="C573" t="str">
            <v>เยื่อไผ่ แขนสั้นขาสั้น กระต่ายพื้นครีม ขอบเขียว XL</v>
          </cell>
          <cell r="E573">
            <v>0</v>
          </cell>
          <cell r="F573">
            <v>790</v>
          </cell>
        </row>
        <row r="574">
          <cell r="A574" t="str">
            <v>BA0399-2XL</v>
          </cell>
          <cell r="B574" t="str">
            <v>A399</v>
          </cell>
          <cell r="C574" t="str">
            <v>เยื่อไผ่ แขนสั้นขาสั้น กวางน้อย พื้นครีม 2XL</v>
          </cell>
          <cell r="E574">
            <v>0</v>
          </cell>
          <cell r="F574">
            <v>790</v>
          </cell>
        </row>
        <row r="575">
          <cell r="A575" t="str">
            <v>BA0399-L</v>
          </cell>
          <cell r="B575" t="str">
            <v>A399</v>
          </cell>
          <cell r="C575" t="str">
            <v>เยื่อไผ่ แขนสั้นขาสั้น กวางน้อย พื้นครีม L</v>
          </cell>
          <cell r="E575">
            <v>0</v>
          </cell>
          <cell r="F575">
            <v>790</v>
          </cell>
        </row>
        <row r="576">
          <cell r="A576" t="str">
            <v>BA0399-M</v>
          </cell>
          <cell r="B576" t="str">
            <v>A399</v>
          </cell>
          <cell r="C576" t="str">
            <v>เยื่อไผ่ แขนสั้นขาสั้น กวางน้อย พื้นครีม M</v>
          </cell>
          <cell r="E576">
            <v>0</v>
          </cell>
          <cell r="F576">
            <v>790</v>
          </cell>
        </row>
        <row r="577">
          <cell r="A577" t="str">
            <v>BA0399-XL</v>
          </cell>
          <cell r="B577" t="str">
            <v>A399</v>
          </cell>
          <cell r="C577" t="str">
            <v>เยื่อไผ่ แขนสั้นขาสั้น กวางน้อย พื้นครีม XL</v>
          </cell>
          <cell r="E577">
            <v>0</v>
          </cell>
          <cell r="F577">
            <v>790</v>
          </cell>
        </row>
        <row r="578">
          <cell r="A578" t="str">
            <v>BA0400-2XL</v>
          </cell>
          <cell r="B578" t="str">
            <v>A400</v>
          </cell>
          <cell r="C578" t="str">
            <v>เยื่อไผ่ แขนสั้นขาสั้น ดอกไม้ ผู้หญิง พื้นขาว ขอบชมพู 2XL</v>
          </cell>
          <cell r="E578">
            <v>0</v>
          </cell>
          <cell r="F578">
            <v>790</v>
          </cell>
        </row>
        <row r="579">
          <cell r="A579" t="str">
            <v>BA0400-L</v>
          </cell>
          <cell r="B579" t="str">
            <v>A400</v>
          </cell>
          <cell r="C579" t="str">
            <v>เยื่อไผ่ แขนสั้นขาสั้น ดอกไม้ ผู้หญิง พื้นขาว ขอบชมพู L</v>
          </cell>
          <cell r="E579">
            <v>0</v>
          </cell>
          <cell r="F579">
            <v>790</v>
          </cell>
        </row>
        <row r="580">
          <cell r="A580" t="str">
            <v>BA0400-M</v>
          </cell>
          <cell r="B580" t="str">
            <v>A400</v>
          </cell>
          <cell r="C580" t="str">
            <v>เยื่อไผ่ แขนสั้นขาสั้น ดอกไม้ ผู้หญิง พื้นขาว ขอบชมพู M</v>
          </cell>
          <cell r="E580">
            <v>0</v>
          </cell>
          <cell r="F580">
            <v>790</v>
          </cell>
        </row>
        <row r="581">
          <cell r="A581" t="str">
            <v>BA0400-XL</v>
          </cell>
          <cell r="B581" t="str">
            <v>A400</v>
          </cell>
          <cell r="C581" t="str">
            <v>เยื่อไผ่ แขนสั้นขาสั้น ดอกไม้ ผู้หญิง พื้นขาว ขอบชมพู XL</v>
          </cell>
          <cell r="E581">
            <v>0</v>
          </cell>
          <cell r="F581">
            <v>790</v>
          </cell>
        </row>
        <row r="582">
          <cell r="A582" t="str">
            <v>BA0401-2XL</v>
          </cell>
          <cell r="B582" t="str">
            <v>A401</v>
          </cell>
          <cell r="C582" t="str">
            <v>เยื่อไผ่ แขนสั้นขาสั้น กระต่าย พื้นน้ำตาล 2XL</v>
          </cell>
          <cell r="E582">
            <v>0</v>
          </cell>
          <cell r="F582">
            <v>790</v>
          </cell>
        </row>
        <row r="583">
          <cell r="A583" t="str">
            <v>BA0401-L</v>
          </cell>
          <cell r="B583" t="str">
            <v>A401</v>
          </cell>
          <cell r="C583" t="str">
            <v>เยื่อไผ่ แขนสั้นขาสั้น กระต่าย พื้นน้ำตาล L</v>
          </cell>
          <cell r="E583">
            <v>0</v>
          </cell>
          <cell r="F583">
            <v>790</v>
          </cell>
        </row>
        <row r="584">
          <cell r="A584" t="str">
            <v>BA0401-M</v>
          </cell>
          <cell r="B584" t="str">
            <v>A401</v>
          </cell>
          <cell r="C584" t="str">
            <v>เยื่อไผ่ แขนสั้นขาสั้น กระต่าย พื้นน้ำตาล M</v>
          </cell>
          <cell r="E584">
            <v>0</v>
          </cell>
          <cell r="F584">
            <v>790</v>
          </cell>
        </row>
        <row r="585">
          <cell r="A585" t="str">
            <v>BA0401-XL</v>
          </cell>
          <cell r="B585" t="str">
            <v>A401</v>
          </cell>
          <cell r="C585" t="str">
            <v>เยื่อไผ่ แขนสั้นขาสั้น กระต่าย พื้นน้ำตาล XL</v>
          </cell>
          <cell r="E585">
            <v>0</v>
          </cell>
          <cell r="F585">
            <v>790</v>
          </cell>
        </row>
        <row r="586">
          <cell r="A586" t="str">
            <v>BA0402-2XL</v>
          </cell>
          <cell r="B586" t="str">
            <v>A402</v>
          </cell>
          <cell r="C586" t="str">
            <v>เยื่อไผ่ แขนสั้นขาสั้น รวมสัตว์ พื้นชมพู 2XL</v>
          </cell>
          <cell r="E586">
            <v>0</v>
          </cell>
          <cell r="F586">
            <v>790</v>
          </cell>
        </row>
        <row r="587">
          <cell r="A587" t="str">
            <v>BA0402-L</v>
          </cell>
          <cell r="B587" t="str">
            <v>A402</v>
          </cell>
          <cell r="C587" t="str">
            <v>เยื่อไผ่ แขนสั้นขาสั้น รวมสัตว์ พื้นชมพู L</v>
          </cell>
          <cell r="E587">
            <v>0</v>
          </cell>
          <cell r="F587">
            <v>790</v>
          </cell>
        </row>
        <row r="588">
          <cell r="A588" t="str">
            <v>BA0402-M</v>
          </cell>
          <cell r="B588" t="str">
            <v>A402</v>
          </cell>
          <cell r="C588" t="str">
            <v>เยื่อไผ่ แขนสั้นขาสั้น รวมสัตว์ พื้นชมพู M</v>
          </cell>
          <cell r="E588">
            <v>0</v>
          </cell>
          <cell r="F588">
            <v>790</v>
          </cell>
        </row>
        <row r="589">
          <cell r="A589" t="str">
            <v>BA0402-XL</v>
          </cell>
          <cell r="B589" t="str">
            <v>A402</v>
          </cell>
          <cell r="C589" t="str">
            <v>เยื่อไผ่ แขนสั้นขาสั้น รวมสัตว์ พื้นชมพู XL</v>
          </cell>
          <cell r="E589">
            <v>0</v>
          </cell>
          <cell r="F589">
            <v>790</v>
          </cell>
        </row>
        <row r="590">
          <cell r="A590" t="str">
            <v>BA0403-2XL</v>
          </cell>
          <cell r="B590" t="str">
            <v>A403</v>
          </cell>
          <cell r="C590" t="str">
            <v>เยื่อไผ่ แขนสั้นขาสั้น Flower Rabbit พื้นครีม 2XL</v>
          </cell>
          <cell r="E590">
            <v>0</v>
          </cell>
          <cell r="F590">
            <v>790</v>
          </cell>
        </row>
        <row r="591">
          <cell r="A591" t="str">
            <v>BA0403-L</v>
          </cell>
          <cell r="B591" t="str">
            <v>A403</v>
          </cell>
          <cell r="C591" t="str">
            <v>เยื่อไผ่ แขนสั้นขาสั้น Flower Rabbit พื้นครีม L</v>
          </cell>
          <cell r="E591">
            <v>0</v>
          </cell>
          <cell r="F591">
            <v>790</v>
          </cell>
        </row>
        <row r="592">
          <cell r="A592" t="str">
            <v>BA0403-M</v>
          </cell>
          <cell r="B592" t="str">
            <v>A403</v>
          </cell>
          <cell r="C592" t="str">
            <v>เยื่อไผ่ แขนสั้นขาสั้น Flower Rabbit พื้นครีม M</v>
          </cell>
          <cell r="E592">
            <v>0</v>
          </cell>
          <cell r="F592">
            <v>590</v>
          </cell>
        </row>
        <row r="593">
          <cell r="A593" t="str">
            <v>BA0403-XL</v>
          </cell>
          <cell r="B593" t="str">
            <v>A403</v>
          </cell>
          <cell r="C593" t="str">
            <v>เยื่อไผ่ แขนสั้นขาสั้น Flower Rabbit พื้นครีม XL</v>
          </cell>
          <cell r="E593">
            <v>0</v>
          </cell>
          <cell r="F593">
            <v>790</v>
          </cell>
        </row>
        <row r="594">
          <cell r="A594" t="str">
            <v>BA0407-2XL</v>
          </cell>
          <cell r="B594" t="str">
            <v>A407</v>
          </cell>
          <cell r="C594" t="str">
            <v>เยื่อไผ่ แขนสั้นขาสั้น Little Start 2XL</v>
          </cell>
          <cell r="E594">
            <v>0</v>
          </cell>
          <cell r="F594">
            <v>790</v>
          </cell>
        </row>
        <row r="595">
          <cell r="A595" t="str">
            <v>BA0407-L</v>
          </cell>
          <cell r="B595" t="str">
            <v>A407</v>
          </cell>
          <cell r="C595" t="str">
            <v>เยื่อไผ่ แขนสั้นขาสั้น Little Start L</v>
          </cell>
          <cell r="E595">
            <v>0</v>
          </cell>
          <cell r="F595">
            <v>790</v>
          </cell>
        </row>
        <row r="596">
          <cell r="A596" t="str">
            <v>BA0407-M</v>
          </cell>
          <cell r="B596" t="str">
            <v>A407</v>
          </cell>
          <cell r="C596" t="str">
            <v>เยื่อไผ่ แขนสั้นขาสั้น Little Start M</v>
          </cell>
          <cell r="E596">
            <v>0</v>
          </cell>
          <cell r="F596">
            <v>790</v>
          </cell>
        </row>
        <row r="597">
          <cell r="A597" t="str">
            <v>BA0407-XL</v>
          </cell>
          <cell r="B597" t="str">
            <v>QA407</v>
          </cell>
          <cell r="C597" t="str">
            <v>เยื่อไผ่ แขนสั้นขาสั้น Little Start XL QC</v>
          </cell>
          <cell r="E597">
            <v>0</v>
          </cell>
          <cell r="F597">
            <v>790</v>
          </cell>
        </row>
        <row r="598">
          <cell r="A598" t="str">
            <v>BA0408-2XL</v>
          </cell>
          <cell r="B598" t="str">
            <v>A408</v>
          </cell>
          <cell r="C598" t="str">
            <v>เยื่อไผ่ แขนสั้นขาสั้น รวมสัตว์ พื้นฟ้า 2XL</v>
          </cell>
          <cell r="E598">
            <v>0</v>
          </cell>
          <cell r="F598">
            <v>790</v>
          </cell>
        </row>
        <row r="599">
          <cell r="A599" t="str">
            <v>BA0408-L</v>
          </cell>
          <cell r="B599" t="str">
            <v>A408</v>
          </cell>
          <cell r="C599" t="str">
            <v>เยื่อไผ่ แขนสั้นขาสั้น รวมสัตว์ พื้นฟ้า L</v>
          </cell>
          <cell r="E599">
            <v>0</v>
          </cell>
          <cell r="F599">
            <v>790</v>
          </cell>
        </row>
        <row r="600">
          <cell r="A600" t="str">
            <v>BA0408-M</v>
          </cell>
          <cell r="B600" t="str">
            <v>A408</v>
          </cell>
          <cell r="C600" t="str">
            <v>เยื่อไผ่ แขนสั้นขาสั้น รวมสัตว์ พื้นฟ้า M</v>
          </cell>
          <cell r="E600">
            <v>0</v>
          </cell>
          <cell r="F600">
            <v>790</v>
          </cell>
        </row>
        <row r="601">
          <cell r="A601" t="str">
            <v>BA0408-XL</v>
          </cell>
          <cell r="B601" t="str">
            <v>A408</v>
          </cell>
          <cell r="C601" t="str">
            <v>เยื่อไผ่ แขนสั้นขาสั้น รวมสัตว์ พื้นฟ้า XL</v>
          </cell>
          <cell r="E601">
            <v>0</v>
          </cell>
          <cell r="F601">
            <v>790</v>
          </cell>
        </row>
        <row r="602">
          <cell r="A602" t="str">
            <v>BA0409-2XL</v>
          </cell>
          <cell r="B602" t="str">
            <v>A409</v>
          </cell>
          <cell r="C602" t="str">
            <v>เยื่อไผ่ แขนสั้นขาสั้น กระต่าย พื้นเขียว 2XL</v>
          </cell>
          <cell r="E602">
            <v>0</v>
          </cell>
          <cell r="F602">
            <v>790</v>
          </cell>
        </row>
        <row r="603">
          <cell r="A603" t="str">
            <v>BA0409-L</v>
          </cell>
          <cell r="B603" t="str">
            <v>QA409</v>
          </cell>
          <cell r="C603" t="str">
            <v>เยื่อไผ่ แขนสั้นขาสั้น กระต่าย พื้นเขียว L QC</v>
          </cell>
          <cell r="E603">
            <v>0</v>
          </cell>
          <cell r="F603">
            <v>790</v>
          </cell>
        </row>
        <row r="604">
          <cell r="A604" t="str">
            <v>BA0409-M</v>
          </cell>
          <cell r="B604" t="str">
            <v>A409</v>
          </cell>
          <cell r="C604" t="str">
            <v>เยื่อไผ่ แขนสั้นขาสั้น กระต่าย พื้นเขียว M</v>
          </cell>
          <cell r="E604">
            <v>0</v>
          </cell>
          <cell r="F604">
            <v>590</v>
          </cell>
        </row>
        <row r="605">
          <cell r="A605" t="str">
            <v>BA0409-XL</v>
          </cell>
          <cell r="B605" t="str">
            <v>A409</v>
          </cell>
          <cell r="C605" t="str">
            <v>เยื่อไผ่ แขนสั้นขาสั้น กระต่าย พื้นเขียว XL</v>
          </cell>
          <cell r="E605">
            <v>0</v>
          </cell>
          <cell r="F605">
            <v>790</v>
          </cell>
        </row>
        <row r="606">
          <cell r="A606" t="str">
            <v>BA0410-2XL</v>
          </cell>
          <cell r="B606" t="str">
            <v>QA410</v>
          </cell>
          <cell r="C606" t="str">
            <v>เยื่อไผ่ แขนสั้นขาสั้น กระต่าย พื้นขาว ขอบเขียว 2XL QC</v>
          </cell>
          <cell r="E606">
            <v>0</v>
          </cell>
          <cell r="F606">
            <v>790</v>
          </cell>
        </row>
        <row r="607">
          <cell r="A607" t="str">
            <v>BA0410-L</v>
          </cell>
          <cell r="B607" t="str">
            <v>A410</v>
          </cell>
          <cell r="C607" t="str">
            <v>เยื่อไผ่ แขนสั้นขาสั้น กระต่าย พื้นขาว ขอบเขียว L</v>
          </cell>
          <cell r="E607">
            <v>0</v>
          </cell>
          <cell r="F607">
            <v>790</v>
          </cell>
        </row>
        <row r="608">
          <cell r="A608" t="str">
            <v>BA0410-M</v>
          </cell>
          <cell r="B608" t="str">
            <v>QA410</v>
          </cell>
          <cell r="C608" t="str">
            <v>เยื่อไผ่ แขนสั้นขาสั้น กระต่าย พื้นขาว ขอบเขียว M QC</v>
          </cell>
          <cell r="E608">
            <v>0</v>
          </cell>
          <cell r="F608">
            <v>790</v>
          </cell>
        </row>
        <row r="609">
          <cell r="A609" t="str">
            <v>BA0410-XL</v>
          </cell>
          <cell r="B609" t="str">
            <v>QA410</v>
          </cell>
          <cell r="C609" t="str">
            <v>เยื่อไผ่ แขนสั้นขาสั้น กระต่าย พื้นขาว ขอบเขียว XL QC</v>
          </cell>
          <cell r="E609">
            <v>0</v>
          </cell>
          <cell r="F609">
            <v>790</v>
          </cell>
        </row>
        <row r="610">
          <cell r="A610" t="str">
            <v>BA0411-2XL</v>
          </cell>
          <cell r="B610" t="str">
            <v>A411</v>
          </cell>
          <cell r="C610" t="str">
            <v>เยื่อไผ่ แขนสั้นขาสั้น กระต่าย ขาว พื้นชมพู 2XL</v>
          </cell>
          <cell r="E610">
            <v>0</v>
          </cell>
          <cell r="F610">
            <v>790</v>
          </cell>
        </row>
        <row r="611">
          <cell r="A611" t="str">
            <v>BA0411-L</v>
          </cell>
          <cell r="B611" t="str">
            <v>A411</v>
          </cell>
          <cell r="C611" t="str">
            <v>เยื่อไผ่ แขนสั้นขาสั้น กระต่าย ขาว พื้นชมพู L</v>
          </cell>
          <cell r="E611">
            <v>0</v>
          </cell>
          <cell r="F611">
            <v>790</v>
          </cell>
        </row>
        <row r="612">
          <cell r="A612" t="str">
            <v>BA0411-M</v>
          </cell>
          <cell r="B612" t="str">
            <v>A411</v>
          </cell>
          <cell r="C612" t="str">
            <v>เยื่อไผ่ แขนสั้นขาสั้น กระต่าย ขาว พื้นชมพู M</v>
          </cell>
          <cell r="E612">
            <v>0</v>
          </cell>
          <cell r="F612">
            <v>790</v>
          </cell>
        </row>
        <row r="613">
          <cell r="A613" t="str">
            <v>BA0411-XL</v>
          </cell>
          <cell r="B613" t="str">
            <v>A411</v>
          </cell>
          <cell r="C613" t="str">
            <v>เยื่อไผ่ แขนสั้นขาสั้น กระต่าย ขาว พื้นชมพู XL</v>
          </cell>
          <cell r="E613">
            <v>0</v>
          </cell>
          <cell r="F613">
            <v>790</v>
          </cell>
        </row>
        <row r="614">
          <cell r="A614" t="str">
            <v>BA0412-2XL</v>
          </cell>
          <cell r="B614" t="str">
            <v>A412</v>
          </cell>
          <cell r="C614" t="str">
            <v>เยื่อไผ่ แขนสั้นขาสั้น แมวยิ้ม 2XL</v>
          </cell>
          <cell r="E614">
            <v>0</v>
          </cell>
          <cell r="F614">
            <v>590</v>
          </cell>
        </row>
        <row r="615">
          <cell r="A615" t="str">
            <v>BA0412-L</v>
          </cell>
          <cell r="B615" t="str">
            <v>QA412</v>
          </cell>
          <cell r="C615" t="str">
            <v>เยื่อไผ่ แขนสั้นขาสั้น แมวยิ้ม L QC</v>
          </cell>
          <cell r="E615">
            <v>0</v>
          </cell>
          <cell r="F615">
            <v>790</v>
          </cell>
        </row>
        <row r="616">
          <cell r="A616" t="str">
            <v>BA0412-M</v>
          </cell>
          <cell r="B616" t="str">
            <v>A412</v>
          </cell>
          <cell r="C616" t="str">
            <v>เยื่อไผ่ แขนสั้นขาสั้น แมวยิ้ม M</v>
          </cell>
          <cell r="E616">
            <v>0</v>
          </cell>
          <cell r="F616">
            <v>590</v>
          </cell>
        </row>
        <row r="617">
          <cell r="A617" t="str">
            <v>BA0412-XL</v>
          </cell>
          <cell r="B617" t="str">
            <v>A412</v>
          </cell>
          <cell r="C617" t="str">
            <v>เยื่อไผ่ แขนสั้นขาสั้น แมวยิ้ม XL</v>
          </cell>
          <cell r="E617">
            <v>0</v>
          </cell>
          <cell r="F617">
            <v>790</v>
          </cell>
        </row>
        <row r="618">
          <cell r="A618" t="str">
            <v>BA0413-2XL</v>
          </cell>
          <cell r="B618" t="str">
            <v>A413</v>
          </cell>
          <cell r="C618" t="str">
            <v>เยื่อไผ่ แขนสั้นขาสั้น ดอกไม้ ชมพู พื้นขาว 2XL</v>
          </cell>
          <cell r="E618">
            <v>0</v>
          </cell>
          <cell r="F618">
            <v>790</v>
          </cell>
        </row>
        <row r="619">
          <cell r="A619" t="str">
            <v>BA0413-L</v>
          </cell>
          <cell r="B619" t="str">
            <v>A413</v>
          </cell>
          <cell r="C619" t="str">
            <v>เยื่อไผ่ แขนสั้นขาสั้น ดอกไม้ ชมพู พื้นขาว L</v>
          </cell>
          <cell r="E619">
            <v>0</v>
          </cell>
          <cell r="F619">
            <v>790</v>
          </cell>
        </row>
        <row r="620">
          <cell r="A620" t="str">
            <v>BA0413-M</v>
          </cell>
          <cell r="B620" t="str">
            <v>A413</v>
          </cell>
          <cell r="C620" t="str">
            <v>เยื่อไผ่ แขนสั้นขาสั้น ดอกไม้ ชมพู พื้นขาว M</v>
          </cell>
          <cell r="E620">
            <v>0</v>
          </cell>
          <cell r="F620">
            <v>790</v>
          </cell>
        </row>
        <row r="621">
          <cell r="A621" t="str">
            <v>BA0413-XL</v>
          </cell>
          <cell r="B621" t="str">
            <v>A413</v>
          </cell>
          <cell r="C621" t="str">
            <v>เยื่อไผ่ แขนสั้นขาสั้น ดอกไม้ ชมพู พื้นขาว XL</v>
          </cell>
          <cell r="E621">
            <v>0</v>
          </cell>
          <cell r="F621">
            <v>790</v>
          </cell>
        </row>
        <row r="622">
          <cell r="A622" t="str">
            <v>BA0414-2XL</v>
          </cell>
          <cell r="B622" t="str">
            <v>A414</v>
          </cell>
          <cell r="C622" t="str">
            <v>เยื่อไผ่ แขนสั้นขาสั้น กระต่ายขาว พื้นฟ้าขอบชมพู 2XL</v>
          </cell>
          <cell r="E622">
            <v>0</v>
          </cell>
          <cell r="F622">
            <v>790</v>
          </cell>
        </row>
        <row r="623">
          <cell r="A623" t="str">
            <v>BA0414-L</v>
          </cell>
          <cell r="B623" t="str">
            <v>A414</v>
          </cell>
          <cell r="C623" t="str">
            <v>เยื่อไผ่ แขนสั้นขาสั้น กระต่ายขาว พื้นฟ้าขอบชมพู L</v>
          </cell>
          <cell r="E623">
            <v>0</v>
          </cell>
          <cell r="F623">
            <v>790</v>
          </cell>
        </row>
        <row r="624">
          <cell r="A624" t="str">
            <v>BA0414-M</v>
          </cell>
          <cell r="B624" t="str">
            <v>A414</v>
          </cell>
          <cell r="C624" t="str">
            <v>เยื่อไผ่ แขนสั้นขาสั้น กระต่ายขาว พื้นฟ้าขอบชมพู M</v>
          </cell>
          <cell r="E624">
            <v>0</v>
          </cell>
          <cell r="F624">
            <v>590</v>
          </cell>
        </row>
        <row r="625">
          <cell r="A625" t="str">
            <v>BA0414-XL</v>
          </cell>
          <cell r="B625" t="str">
            <v>A414</v>
          </cell>
          <cell r="C625" t="str">
            <v>เยื่อไผ่ แขนสั้นขาสั้น กระต่ายขาว พื้นฟ้าขอบชมพู XL</v>
          </cell>
          <cell r="E625">
            <v>0</v>
          </cell>
          <cell r="F625">
            <v>790</v>
          </cell>
        </row>
        <row r="626">
          <cell r="A626" t="str">
            <v>BA0415-2XL</v>
          </cell>
          <cell r="B626" t="str">
            <v>A415</v>
          </cell>
          <cell r="C626" t="str">
            <v>เยื่อไผ่ แขนสั้นขาสั้น หมาน้ำตาล พื้นม่วง 2XL</v>
          </cell>
          <cell r="E626">
            <v>3</v>
          </cell>
          <cell r="F626">
            <v>790</v>
          </cell>
        </row>
        <row r="627">
          <cell r="A627" t="str">
            <v>BA0415-L</v>
          </cell>
          <cell r="B627" t="str">
            <v>A415</v>
          </cell>
          <cell r="C627" t="str">
            <v>เยื่อไผ่ แขนสั้นขาสั้น หมาน้ำตาล พื้นม่วง L</v>
          </cell>
          <cell r="E627">
            <v>0</v>
          </cell>
          <cell r="F627">
            <v>790</v>
          </cell>
        </row>
        <row r="628">
          <cell r="A628" t="str">
            <v>BA0415-M</v>
          </cell>
          <cell r="B628" t="str">
            <v>A415</v>
          </cell>
          <cell r="C628" t="str">
            <v>เยื่อไผ่ แขนสั้นขาสั้น หมาน้ำตาล พื้นม่วง M</v>
          </cell>
          <cell r="E628">
            <v>0</v>
          </cell>
          <cell r="F628">
            <v>790</v>
          </cell>
        </row>
        <row r="629">
          <cell r="A629" t="str">
            <v>BA0415-XL</v>
          </cell>
          <cell r="B629" t="str">
            <v>A415</v>
          </cell>
          <cell r="C629" t="str">
            <v>เยื่อไผ่ แขนสั้นขาสั้น หมาน้ำตาล พื้นม่วง XL</v>
          </cell>
          <cell r="E629">
            <v>0</v>
          </cell>
          <cell r="F629">
            <v>790</v>
          </cell>
        </row>
        <row r="630">
          <cell r="A630" t="str">
            <v>BA0416-2XL</v>
          </cell>
          <cell r="B630" t="str">
            <v>A416</v>
          </cell>
          <cell r="C630" t="str">
            <v>เยื่อไผ่ แขนสั้นขาสั้น ไข่ดาว 2XL</v>
          </cell>
          <cell r="E630">
            <v>0</v>
          </cell>
          <cell r="F630">
            <v>790</v>
          </cell>
        </row>
        <row r="631">
          <cell r="A631" t="str">
            <v>BA0416-L</v>
          </cell>
          <cell r="B631" t="str">
            <v>A416</v>
          </cell>
          <cell r="C631" t="str">
            <v>เยื่อไผ่ แขนสั้นขาสั้น ไข่ดาว L</v>
          </cell>
          <cell r="E631">
            <v>0</v>
          </cell>
          <cell r="F631">
            <v>790</v>
          </cell>
        </row>
        <row r="632">
          <cell r="A632" t="str">
            <v>BA0416-M</v>
          </cell>
          <cell r="B632" t="str">
            <v>A416</v>
          </cell>
          <cell r="C632" t="str">
            <v>เยื่อไผ่ แขนสั้นขาสั้น ไข่ดาว M</v>
          </cell>
          <cell r="E632">
            <v>0</v>
          </cell>
          <cell r="F632">
            <v>790</v>
          </cell>
        </row>
        <row r="633">
          <cell r="A633" t="str">
            <v>BA0416-XL</v>
          </cell>
          <cell r="B633" t="str">
            <v>A416</v>
          </cell>
          <cell r="C633" t="str">
            <v>เยื่อไผ่ แขนสั้นขาสั้น ไข่ดาว XL</v>
          </cell>
          <cell r="E633">
            <v>0</v>
          </cell>
          <cell r="F633">
            <v>790</v>
          </cell>
        </row>
        <row r="634">
          <cell r="A634" t="str">
            <v>BA0417-L</v>
          </cell>
          <cell r="B634" t="str">
            <v>A417</v>
          </cell>
          <cell r="C634" t="str">
            <v>เยื่อไผ่ แขนสั้นขาสั้น Dog Happy L</v>
          </cell>
          <cell r="E634">
            <v>0</v>
          </cell>
          <cell r="F634">
            <v>790</v>
          </cell>
        </row>
        <row r="635">
          <cell r="A635" t="str">
            <v>BA0417-M</v>
          </cell>
          <cell r="B635" t="str">
            <v>A417</v>
          </cell>
          <cell r="C635" t="str">
            <v>เยื่อไผ่ แขนสั้นขาสั้น Dog Happy M</v>
          </cell>
          <cell r="E635">
            <v>0</v>
          </cell>
          <cell r="F635">
            <v>790</v>
          </cell>
        </row>
        <row r="636">
          <cell r="A636" t="str">
            <v>BA0417-XL</v>
          </cell>
          <cell r="B636" t="str">
            <v>A417</v>
          </cell>
          <cell r="C636" t="str">
            <v>เยื่อไผ่ แขนสั้นขาสั้น Dog Happy XL</v>
          </cell>
          <cell r="E636">
            <v>0</v>
          </cell>
          <cell r="F636">
            <v>790</v>
          </cell>
        </row>
        <row r="637">
          <cell r="A637" t="str">
            <v>BA0418-L</v>
          </cell>
          <cell r="B637" t="str">
            <v>A418</v>
          </cell>
          <cell r="C637" t="str">
            <v>เยื่อไผ่ แขนสั้นขาสั้น สิงโต พื้นส้ม L</v>
          </cell>
          <cell r="E637">
            <v>0</v>
          </cell>
          <cell r="F637">
            <v>790</v>
          </cell>
        </row>
        <row r="638">
          <cell r="A638" t="str">
            <v>BA0418-M</v>
          </cell>
          <cell r="B638" t="str">
            <v>A418</v>
          </cell>
          <cell r="C638" t="str">
            <v>เยื่อไผ่ แขนสั้นขาสั้น สิงโต พื้นส้ม M</v>
          </cell>
          <cell r="E638">
            <v>0</v>
          </cell>
          <cell r="F638">
            <v>790</v>
          </cell>
        </row>
        <row r="639">
          <cell r="A639" t="str">
            <v>BA0418-XL</v>
          </cell>
          <cell r="B639" t="str">
            <v>A418</v>
          </cell>
          <cell r="C639" t="str">
            <v>เยื่อไผ่ แขนสั้นขาสั้น สิงโต พื้นส้ม XL</v>
          </cell>
          <cell r="E639">
            <v>0</v>
          </cell>
          <cell r="F639">
            <v>790</v>
          </cell>
        </row>
        <row r="640">
          <cell r="A640" t="str">
            <v>BA0419-L</v>
          </cell>
          <cell r="B640" t="str">
            <v>A419</v>
          </cell>
          <cell r="C640" t="str">
            <v>เยื่อไผ่ แขนสั้นขาสั้น หน้าหมี น้ำตาล พื้นครีม L</v>
          </cell>
          <cell r="E640">
            <v>0</v>
          </cell>
          <cell r="F640">
            <v>790</v>
          </cell>
        </row>
        <row r="641">
          <cell r="A641" t="str">
            <v>BA0419-M</v>
          </cell>
          <cell r="B641" t="str">
            <v>A419</v>
          </cell>
          <cell r="C641" t="str">
            <v>เยื่อไผ่ แขนสั้นขาสั้น หน้าหมี น้ำตาล พื้นครีม M</v>
          </cell>
          <cell r="E641">
            <v>0</v>
          </cell>
          <cell r="F641">
            <v>790</v>
          </cell>
        </row>
        <row r="642">
          <cell r="A642" t="str">
            <v>BA0419-XL</v>
          </cell>
          <cell r="B642" t="str">
            <v>A419</v>
          </cell>
          <cell r="C642" t="str">
            <v>เยื่อไผ่ แขนสั้นขาสั้น หน้าหมี น้ำตาล พื้นครีม XL</v>
          </cell>
          <cell r="E642">
            <v>0</v>
          </cell>
          <cell r="F642">
            <v>790</v>
          </cell>
        </row>
        <row r="643">
          <cell r="A643" t="str">
            <v>BA0420-L</v>
          </cell>
          <cell r="B643" t="str">
            <v>A420</v>
          </cell>
          <cell r="C643" t="str">
            <v>เยื่อไผ่ แขนสั้นขาสั้น เสื้อม่วง กางเกงลายทาง ม่วงขาว L</v>
          </cell>
          <cell r="E643">
            <v>0</v>
          </cell>
          <cell r="F643">
            <v>790</v>
          </cell>
        </row>
        <row r="644">
          <cell r="A644" t="str">
            <v>BA0420-M</v>
          </cell>
          <cell r="B644" t="str">
            <v>A420</v>
          </cell>
          <cell r="C644" t="str">
            <v>เยื่อไผ่ แขนสั้นขาสั้น เสื้อม่วง กางเกงลายทาง ม่วงขาว M</v>
          </cell>
          <cell r="E644">
            <v>0</v>
          </cell>
          <cell r="F644">
            <v>790</v>
          </cell>
        </row>
        <row r="645">
          <cell r="A645" t="str">
            <v>BA0420-XL</v>
          </cell>
          <cell r="B645" t="str">
            <v>A420</v>
          </cell>
          <cell r="C645" t="str">
            <v>เยื่อไผ่ แขนสั้นขาสั้น เสื้อม่วง กางเกงลายทาง ม่วงขาว XL</v>
          </cell>
          <cell r="E645">
            <v>0</v>
          </cell>
          <cell r="F645">
            <v>790</v>
          </cell>
        </row>
        <row r="646">
          <cell r="A646" t="str">
            <v>BA0421-L</v>
          </cell>
          <cell r="B646" t="str">
            <v>A421</v>
          </cell>
          <cell r="C646" t="str">
            <v>เยื่อไผ่ แขนสั้นขาสั้น โบตั๋น ชมพู พื้นเขียวมินท์ L</v>
          </cell>
          <cell r="E646">
            <v>0</v>
          </cell>
          <cell r="F646">
            <v>790</v>
          </cell>
        </row>
        <row r="647">
          <cell r="A647" t="str">
            <v>BA0421-M</v>
          </cell>
          <cell r="B647" t="str">
            <v>A421</v>
          </cell>
          <cell r="C647" t="str">
            <v>เยื่อไผ่ แขนสั้นขาสั้น โบตั๋น ชมพู พื้นเขียวมินท์ M</v>
          </cell>
          <cell r="E647">
            <v>0</v>
          </cell>
          <cell r="F647">
            <v>790</v>
          </cell>
        </row>
        <row r="648">
          <cell r="A648" t="str">
            <v>BA0421-XL</v>
          </cell>
          <cell r="B648" t="str">
            <v>A421</v>
          </cell>
          <cell r="C648" t="str">
            <v>เยื่อไผ่ แขนสั้นขาสั้น โบตั๋น ชมพู พื้นเขียวมินท์ XL</v>
          </cell>
          <cell r="E648">
            <v>0</v>
          </cell>
          <cell r="F648">
            <v>790</v>
          </cell>
        </row>
        <row r="649">
          <cell r="A649" t="str">
            <v>BA0431-L</v>
          </cell>
          <cell r="B649" t="str">
            <v>A431</v>
          </cell>
          <cell r="C649" t="str">
            <v>เยื่อไผ่ แขนสั้นขาสั้น ลายทางเขียวครีม กระเป๋าอะโวคาโด L</v>
          </cell>
          <cell r="E649">
            <v>0</v>
          </cell>
          <cell r="F649">
            <v>790</v>
          </cell>
        </row>
        <row r="650">
          <cell r="A650" t="str">
            <v>BA0431-M</v>
          </cell>
          <cell r="B650" t="str">
            <v>A431</v>
          </cell>
          <cell r="C650" t="str">
            <v>เยื่อไผ่ แขนสั้นขาสั้น ลายทางเขียวครีม กระเป๋าอะโวคาโด M</v>
          </cell>
          <cell r="E650">
            <v>0</v>
          </cell>
          <cell r="F650">
            <v>790</v>
          </cell>
        </row>
        <row r="651">
          <cell r="A651" t="str">
            <v>BA0431-XL</v>
          </cell>
          <cell r="B651" t="str">
            <v>A431</v>
          </cell>
          <cell r="C651" t="str">
            <v>เยื่อไผ่ แขนสั้นขาสั้น ลายทางเขียวครีม กระเป๋าอะโวคาโด XL</v>
          </cell>
          <cell r="E651">
            <v>0</v>
          </cell>
          <cell r="F651">
            <v>790</v>
          </cell>
        </row>
        <row r="652">
          <cell r="A652" t="str">
            <v>BA0432-L</v>
          </cell>
          <cell r="B652" t="str">
            <v>A432</v>
          </cell>
          <cell r="C652" t="str">
            <v>เยื่อไผ่ แขนสั้นขาสั้น ลายทางชมพูขาว กระเป๋าเชอร์รี่ L</v>
          </cell>
          <cell r="E652">
            <v>0</v>
          </cell>
          <cell r="F652">
            <v>790</v>
          </cell>
        </row>
        <row r="653">
          <cell r="A653" t="str">
            <v>BA0432-M</v>
          </cell>
          <cell r="B653" t="str">
            <v>A432</v>
          </cell>
          <cell r="C653" t="str">
            <v>เยื่อไผ่ แขนสั้นขาสั้น ลายทางชมพูขาว กระเป๋าเชอร์รี่ M</v>
          </cell>
          <cell r="E653">
            <v>0</v>
          </cell>
          <cell r="F653">
            <v>790</v>
          </cell>
        </row>
        <row r="654">
          <cell r="A654" t="str">
            <v>BA0432-XL</v>
          </cell>
          <cell r="B654" t="str">
            <v>A432</v>
          </cell>
          <cell r="C654" t="str">
            <v>เยื่อไผ่ แขนสั้นขาสั้น ลายทางชมพูขาว กระเป๋าเชอร์รี่ XL</v>
          </cell>
          <cell r="E654">
            <v>0</v>
          </cell>
          <cell r="F654">
            <v>790</v>
          </cell>
        </row>
        <row r="655">
          <cell r="A655" t="str">
            <v>BA0433-L</v>
          </cell>
          <cell r="B655" t="str">
            <v>A433</v>
          </cell>
          <cell r="C655" t="str">
            <v>เยื่อไผ่ แขนสั้นขาสั้น ดอกไม้ฟ้า พื้นขาว ปกเขียว L</v>
          </cell>
          <cell r="E655">
            <v>0</v>
          </cell>
          <cell r="F655">
            <v>790</v>
          </cell>
        </row>
        <row r="656">
          <cell r="A656" t="str">
            <v>BA0433-M</v>
          </cell>
          <cell r="B656" t="str">
            <v>QA433</v>
          </cell>
          <cell r="C656" t="str">
            <v>เยื่อไผ่ แขนสั้นขาสั้น ดอกไม้ฟ้า พื้นขาว ปกเขียว M QC</v>
          </cell>
          <cell r="E656">
            <v>0</v>
          </cell>
          <cell r="F656">
            <v>790</v>
          </cell>
        </row>
        <row r="657">
          <cell r="A657" t="str">
            <v>BA0433-XL</v>
          </cell>
          <cell r="B657" t="str">
            <v>A433</v>
          </cell>
          <cell r="C657" t="str">
            <v>เยื่อไผ่ แขนสั้นขาสั้น ดอกไม้ฟ้า พื้นขาว ปกเขียว XL</v>
          </cell>
          <cell r="E657">
            <v>0</v>
          </cell>
          <cell r="F657">
            <v>790</v>
          </cell>
        </row>
        <row r="658">
          <cell r="A658" t="str">
            <v>BA0434-L</v>
          </cell>
          <cell r="B658" t="str">
            <v>A434</v>
          </cell>
          <cell r="C658" t="str">
            <v>เยื่อไผ่ แขนสั้นขาสั้น เทาเข้ม ลายชมพู กระเป๋าหมีแผลงศร L</v>
          </cell>
          <cell r="E658">
            <v>0</v>
          </cell>
          <cell r="F658">
            <v>790</v>
          </cell>
        </row>
        <row r="659">
          <cell r="A659" t="str">
            <v>BA0434-M</v>
          </cell>
          <cell r="B659" t="str">
            <v>QA434</v>
          </cell>
          <cell r="C659" t="str">
            <v>เยื่อไผ่ แขนสั้นขาสั้น เทาเข้ม ลายชมพู กระเป๋าหมีแผลงศร M QC</v>
          </cell>
          <cell r="E659">
            <v>0</v>
          </cell>
          <cell r="F659">
            <v>790</v>
          </cell>
        </row>
        <row r="660">
          <cell r="A660" t="str">
            <v>BA0434-XL</v>
          </cell>
          <cell r="B660" t="str">
            <v>QA434</v>
          </cell>
          <cell r="C660" t="str">
            <v>เยื่อไผ่ แขนสั้นขาสั้น เทาเข้ม ลายชมพู กระเป๋าหมีแผลงศร XL QC</v>
          </cell>
          <cell r="E660">
            <v>0</v>
          </cell>
          <cell r="F660">
            <v>790</v>
          </cell>
        </row>
        <row r="661">
          <cell r="A661" t="str">
            <v>BA0435-L</v>
          </cell>
          <cell r="B661" t="str">
            <v>A435</v>
          </cell>
          <cell r="C661" t="str">
            <v>เยื่อไผ่ แขนสั้นขาสั้น กุหลาบจิ๋ว พื้นเหลือง L</v>
          </cell>
          <cell r="E661">
            <v>0</v>
          </cell>
          <cell r="F661">
            <v>790</v>
          </cell>
        </row>
        <row r="662">
          <cell r="A662" t="str">
            <v>BA0435-M</v>
          </cell>
          <cell r="B662" t="str">
            <v>A435</v>
          </cell>
          <cell r="C662" t="str">
            <v>เยื่อไผ่ แขนสั้นขาสั้น กุหลาบจิ๋ว พื้นเหลือง M</v>
          </cell>
          <cell r="E662">
            <v>0</v>
          </cell>
          <cell r="F662">
            <v>790</v>
          </cell>
        </row>
        <row r="663">
          <cell r="A663" t="str">
            <v>BA0435-XL</v>
          </cell>
          <cell r="B663" t="str">
            <v>A435</v>
          </cell>
          <cell r="C663" t="str">
            <v>เยื่อไผ่ แขนสั้นขาสั้น กุหลาบจิ๋ว พื้นเหลือง XL</v>
          </cell>
          <cell r="E663">
            <v>0</v>
          </cell>
          <cell r="F663">
            <v>790</v>
          </cell>
        </row>
        <row r="664">
          <cell r="A664" t="str">
            <v>BA0437-2XL</v>
          </cell>
          <cell r="B664" t="str">
            <v>A437</v>
          </cell>
          <cell r="C664" t="str">
            <v>เยื่อไผ่ แขนสั้นขาสั้น น้องหมีพื้นขาว ลายจุด 2XL</v>
          </cell>
          <cell r="E664">
            <v>8</v>
          </cell>
          <cell r="F664">
            <v>790</v>
          </cell>
        </row>
        <row r="665">
          <cell r="A665" t="str">
            <v>BA0437-L</v>
          </cell>
          <cell r="B665" t="str">
            <v>A437</v>
          </cell>
          <cell r="C665" t="str">
            <v>เยื่อไผ่ แขนสั้นขาสั้น น้องหมีพื้นขาว ลายจุด L</v>
          </cell>
          <cell r="E665">
            <v>1</v>
          </cell>
          <cell r="F665">
            <v>790</v>
          </cell>
        </row>
        <row r="666">
          <cell r="A666" t="str">
            <v>BA0437-M</v>
          </cell>
          <cell r="B666" t="str">
            <v>A437</v>
          </cell>
          <cell r="C666" t="str">
            <v>เยื่อไผ่ แขนสั้นขาสั้น น้องหมีพื้นขาว ลายจุด M</v>
          </cell>
          <cell r="E666">
            <v>0</v>
          </cell>
          <cell r="F666">
            <v>790</v>
          </cell>
        </row>
        <row r="667">
          <cell r="A667" t="str">
            <v>BA0437-XL</v>
          </cell>
          <cell r="B667" t="str">
            <v>A437</v>
          </cell>
          <cell r="C667" t="str">
            <v>เยื่อไผ่ แขนสั้นขาสั้น น้องหมีพื้นขาว ลายจุด XL</v>
          </cell>
          <cell r="E667">
            <v>1</v>
          </cell>
          <cell r="F667">
            <v>790</v>
          </cell>
        </row>
        <row r="668">
          <cell r="A668" t="str">
            <v>BA0438-2XL</v>
          </cell>
          <cell r="B668" t="str">
            <v>A438</v>
          </cell>
          <cell r="C668" t="str">
            <v>เยื่อไผ่ แขนสั้นขาสั้น กระต่ายน้อยกับผองเพื่อน 2XL</v>
          </cell>
          <cell r="E668">
            <v>3</v>
          </cell>
          <cell r="F668">
            <v>790</v>
          </cell>
        </row>
        <row r="669">
          <cell r="A669" t="str">
            <v>BA0438-L</v>
          </cell>
          <cell r="B669" t="str">
            <v>A438</v>
          </cell>
          <cell r="C669" t="str">
            <v>เยื่อไผ่ แขนสั้นขาสั้น กระต่ายน้อยกับผองเพื่อน L</v>
          </cell>
          <cell r="E669">
            <v>0</v>
          </cell>
          <cell r="F669">
            <v>790</v>
          </cell>
        </row>
        <row r="670">
          <cell r="A670" t="str">
            <v>BA0438-M</v>
          </cell>
          <cell r="B670" t="str">
            <v>A438</v>
          </cell>
          <cell r="C670" t="str">
            <v>เยื่อไผ่ แขนสั้นขาสั้น กระต่ายน้อยกับผองเพื่อน M</v>
          </cell>
          <cell r="E670">
            <v>0</v>
          </cell>
          <cell r="F670">
            <v>790</v>
          </cell>
        </row>
        <row r="671">
          <cell r="A671" t="str">
            <v>BA0438-XL</v>
          </cell>
          <cell r="B671" t="str">
            <v>A438</v>
          </cell>
          <cell r="C671" t="str">
            <v>เยื่อไผ่ แขนสั้นขาสั้น กระต่ายน้อยกับผองเพื่อน XL</v>
          </cell>
          <cell r="E671">
            <v>0</v>
          </cell>
          <cell r="F671">
            <v>790</v>
          </cell>
        </row>
        <row r="672">
          <cell r="A672" t="str">
            <v>BA0439-2XL</v>
          </cell>
          <cell r="B672" t="str">
            <v>A439</v>
          </cell>
          <cell r="C672" t="str">
            <v>เยื่อไผ่ แขนสั้นขาสั้น พี่กระรอกกับดอกไม้จิ๋ว 2XL</v>
          </cell>
          <cell r="E672">
            <v>0</v>
          </cell>
          <cell r="F672">
            <v>790</v>
          </cell>
        </row>
        <row r="673">
          <cell r="A673" t="str">
            <v>BA0439-L</v>
          </cell>
          <cell r="B673" t="str">
            <v>A439</v>
          </cell>
          <cell r="C673" t="str">
            <v>เยื่อไผ่ แขนสั้นขาสั้น พี่กระรอกกับดอกไม้จิ๋ว L</v>
          </cell>
          <cell r="E673">
            <v>0</v>
          </cell>
          <cell r="F673">
            <v>790</v>
          </cell>
        </row>
        <row r="674">
          <cell r="A674" t="str">
            <v>BA0439-M</v>
          </cell>
          <cell r="B674" t="str">
            <v>A439</v>
          </cell>
          <cell r="C674" t="str">
            <v>เยื่อไผ่ แขนสั้นขาสั้น พี่กระรอกกับดอกไม้จิ๋ว M</v>
          </cell>
          <cell r="E674">
            <v>0</v>
          </cell>
          <cell r="F674">
            <v>790</v>
          </cell>
        </row>
        <row r="675">
          <cell r="A675" t="str">
            <v>BA0439-XL</v>
          </cell>
          <cell r="B675" t="str">
            <v>A439</v>
          </cell>
          <cell r="C675" t="str">
            <v>เยื่อไผ่ แขนสั้นขาสั้น พี่กระรอกกับดอกไม้จิ๋ว XL</v>
          </cell>
          <cell r="E675">
            <v>0</v>
          </cell>
          <cell r="F675">
            <v>790</v>
          </cell>
        </row>
        <row r="676">
          <cell r="A676" t="str">
            <v>BA0440-2XL</v>
          </cell>
          <cell r="B676" t="str">
            <v>A440</v>
          </cell>
          <cell r="C676" t="str">
            <v>เยื่อไผ่ แขนสั้นขาสั้น หมีน้ำตาลลายริ้วพื้นครีม 2XL</v>
          </cell>
          <cell r="E676">
            <v>6</v>
          </cell>
          <cell r="F676">
            <v>790</v>
          </cell>
        </row>
        <row r="677">
          <cell r="A677" t="str">
            <v>BA0440-L</v>
          </cell>
          <cell r="B677" t="str">
            <v>A440</v>
          </cell>
          <cell r="C677" t="str">
            <v>เยื่อไผ่ แขนสั้นขาสั้น หมีน้ำตาลลายริ้วพื้นครีม L</v>
          </cell>
          <cell r="E677">
            <v>0</v>
          </cell>
          <cell r="F677">
            <v>790</v>
          </cell>
        </row>
        <row r="678">
          <cell r="A678" t="str">
            <v>BA0440-M</v>
          </cell>
          <cell r="B678" t="str">
            <v>A440</v>
          </cell>
          <cell r="C678" t="str">
            <v>เยื่อไผ่ แขนสั้นขาสั้น หมีน้ำตาลลายริ้วพื้นครีม M</v>
          </cell>
          <cell r="E678">
            <v>0</v>
          </cell>
          <cell r="F678">
            <v>790</v>
          </cell>
        </row>
        <row r="679">
          <cell r="A679" t="str">
            <v>BA0440-XL</v>
          </cell>
          <cell r="B679" t="str">
            <v>A440</v>
          </cell>
          <cell r="C679" t="str">
            <v>เยื่อไผ่ แขนสั้นขาสั้น หมีน้ำตาลลายริ้วพื้นครีม XL</v>
          </cell>
          <cell r="E679">
            <v>2</v>
          </cell>
          <cell r="F679">
            <v>790</v>
          </cell>
        </row>
        <row r="680">
          <cell r="A680" t="str">
            <v>BA0441-2XL</v>
          </cell>
          <cell r="B680" t="str">
            <v>A441</v>
          </cell>
          <cell r="C680" t="str">
            <v>เยื่อไผ่ แขนสั้นขาสั้น mini zoo my friends 2XL</v>
          </cell>
          <cell r="E680">
            <v>3</v>
          </cell>
          <cell r="F680">
            <v>790</v>
          </cell>
        </row>
        <row r="681">
          <cell r="A681" t="str">
            <v>BA0441-L</v>
          </cell>
          <cell r="B681" t="str">
            <v>A441</v>
          </cell>
          <cell r="C681" t="str">
            <v>เยื่อไผ่ แขนสั้นขาสั้น mini zoo my friends L</v>
          </cell>
          <cell r="E681">
            <v>0</v>
          </cell>
          <cell r="F681">
            <v>790</v>
          </cell>
        </row>
        <row r="682">
          <cell r="A682" t="str">
            <v>BA0441-M</v>
          </cell>
          <cell r="B682" t="str">
            <v>A441</v>
          </cell>
          <cell r="C682" t="str">
            <v>เยื่อไผ่ แขนสั้นขาสั้น mini zoo my friends M</v>
          </cell>
          <cell r="E682">
            <v>0</v>
          </cell>
          <cell r="F682">
            <v>790</v>
          </cell>
        </row>
        <row r="683">
          <cell r="A683" t="str">
            <v>BA0441-XL</v>
          </cell>
          <cell r="B683" t="str">
            <v>A441</v>
          </cell>
          <cell r="C683" t="str">
            <v>เยื่อไผ่ แขนสั้นขาสั้น mini zoo my friends XL</v>
          </cell>
          <cell r="E683">
            <v>0</v>
          </cell>
          <cell r="F683">
            <v>790</v>
          </cell>
        </row>
        <row r="684">
          <cell r="A684" t="str">
            <v>BA0442-2XL</v>
          </cell>
          <cell r="B684" t="str">
            <v>A442</v>
          </cell>
          <cell r="C684" t="str">
            <v>เยื่อไผ่ แขนสั้นขาสั้น แคมป์กระต่าย พื้นครีม 2XL</v>
          </cell>
          <cell r="E684">
            <v>0</v>
          </cell>
          <cell r="F684">
            <v>790</v>
          </cell>
        </row>
        <row r="685">
          <cell r="A685" t="str">
            <v>BA0442-L</v>
          </cell>
          <cell r="B685" t="str">
            <v>A442</v>
          </cell>
          <cell r="C685" t="str">
            <v>เยื่อไผ่ แขนสั้นขาสั้น แคมป์กระต่าย พื้นครีม L</v>
          </cell>
          <cell r="E685">
            <v>0</v>
          </cell>
          <cell r="F685">
            <v>790</v>
          </cell>
        </row>
        <row r="686">
          <cell r="A686" t="str">
            <v>BA0442-M</v>
          </cell>
          <cell r="B686" t="str">
            <v>A442</v>
          </cell>
          <cell r="C686" t="str">
            <v>เยื่อไผ่ แขนสั้นขาสั้น แคมป์กระต่าย พื้นครีม M</v>
          </cell>
          <cell r="E686">
            <v>0</v>
          </cell>
          <cell r="F686">
            <v>790</v>
          </cell>
        </row>
        <row r="687">
          <cell r="A687" t="str">
            <v>BA0442-XL</v>
          </cell>
          <cell r="B687" t="str">
            <v>A442</v>
          </cell>
          <cell r="C687" t="str">
            <v>เยื่อไผ่ แขนสั้นขาสั้น แคมป์กระต่าย พื้นครีม XL</v>
          </cell>
          <cell r="E687">
            <v>0</v>
          </cell>
          <cell r="F687">
            <v>790</v>
          </cell>
        </row>
        <row r="688">
          <cell r="A688" t="str">
            <v>BA0443-2XL</v>
          </cell>
          <cell r="B688" t="str">
            <v>A443</v>
          </cell>
          <cell r="C688" t="str">
            <v>เยื่อไผ่ แขนสั้นขาสั้น เชอรี่ม่วง พื้นครีม 2XL</v>
          </cell>
          <cell r="E688">
            <v>9</v>
          </cell>
          <cell r="F688">
            <v>790</v>
          </cell>
        </row>
        <row r="689">
          <cell r="A689" t="str">
            <v>BA0443-L</v>
          </cell>
          <cell r="B689" t="str">
            <v>A443</v>
          </cell>
          <cell r="C689" t="str">
            <v>เยื่อไผ่ แขนสั้นขาสั้น เชอรี่ม่วง พื้นครีม L</v>
          </cell>
          <cell r="E689">
            <v>0</v>
          </cell>
          <cell r="F689">
            <v>790</v>
          </cell>
        </row>
        <row r="690">
          <cell r="A690" t="str">
            <v>BA0443-M</v>
          </cell>
          <cell r="B690" t="str">
            <v>A443</v>
          </cell>
          <cell r="C690" t="str">
            <v>เยื่อไผ่ แขนสั้นขาสั้น เชอรี่ม่วง พื้นครีม M</v>
          </cell>
          <cell r="E690">
            <v>0</v>
          </cell>
          <cell r="F690">
            <v>790</v>
          </cell>
        </row>
        <row r="691">
          <cell r="A691" t="str">
            <v>BA0443-XL</v>
          </cell>
          <cell r="B691" t="str">
            <v>A443</v>
          </cell>
          <cell r="C691" t="str">
            <v>เยื่อไผ่ แขนสั้นขาสั้น เชอรี่ม่วง พื้นครีม XL</v>
          </cell>
          <cell r="E691">
            <v>2</v>
          </cell>
          <cell r="F691">
            <v>790</v>
          </cell>
        </row>
        <row r="692">
          <cell r="A692" t="str">
            <v>BAG-1</v>
          </cell>
          <cell r="B692" t="str">
            <v>BAG</v>
          </cell>
          <cell r="C692" t="str">
            <v>กระเป๋า BAG 1</v>
          </cell>
          <cell r="E692">
            <v>0</v>
          </cell>
          <cell r="F692">
            <v>199</v>
          </cell>
        </row>
        <row r="693">
          <cell r="A693" t="str">
            <v>BAG-2</v>
          </cell>
          <cell r="B693" t="str">
            <v>BAG</v>
          </cell>
          <cell r="C693" t="str">
            <v>กระเป๋า BAG 2</v>
          </cell>
          <cell r="E693">
            <v>0</v>
          </cell>
          <cell r="F693">
            <v>199</v>
          </cell>
        </row>
        <row r="694">
          <cell r="A694" t="str">
            <v>BAG-3</v>
          </cell>
          <cell r="B694" t="str">
            <v>BAG</v>
          </cell>
          <cell r="C694" t="str">
            <v>กระเป๋า BAG 3</v>
          </cell>
          <cell r="E694">
            <v>0</v>
          </cell>
          <cell r="F694">
            <v>199</v>
          </cell>
        </row>
        <row r="695">
          <cell r="A695" t="str">
            <v>BAG-4</v>
          </cell>
          <cell r="B695" t="str">
            <v>BAG</v>
          </cell>
          <cell r="C695" t="str">
            <v>กระเป๋า BAG 4</v>
          </cell>
          <cell r="E695">
            <v>0</v>
          </cell>
          <cell r="F695">
            <v>199</v>
          </cell>
        </row>
        <row r="696">
          <cell r="A696" t="str">
            <v>BAG-5</v>
          </cell>
          <cell r="B696" t="str">
            <v>BAG</v>
          </cell>
          <cell r="C696" t="str">
            <v>กระเป๋า BAG 5</v>
          </cell>
          <cell r="E696">
            <v>0</v>
          </cell>
          <cell r="F696">
            <v>199</v>
          </cell>
        </row>
        <row r="697">
          <cell r="A697" t="str">
            <v>BAG-6</v>
          </cell>
          <cell r="B697" t="str">
            <v>BAG</v>
          </cell>
          <cell r="C697" t="str">
            <v>กระเป๋า BAG 6</v>
          </cell>
          <cell r="E697">
            <v>0</v>
          </cell>
          <cell r="F697">
            <v>199</v>
          </cell>
        </row>
        <row r="698">
          <cell r="A698" t="str">
            <v>BAG-7</v>
          </cell>
          <cell r="B698" t="str">
            <v>BAG</v>
          </cell>
          <cell r="C698" t="str">
            <v>กระเป๋า BAG 7</v>
          </cell>
          <cell r="E698">
            <v>0</v>
          </cell>
          <cell r="F698">
            <v>199</v>
          </cell>
        </row>
        <row r="699">
          <cell r="A699" t="str">
            <v>BAG-8</v>
          </cell>
          <cell r="B699" t="str">
            <v>BAG</v>
          </cell>
          <cell r="C699" t="str">
            <v>กระเป๋า BAG 8</v>
          </cell>
          <cell r="E699">
            <v>0</v>
          </cell>
          <cell r="F699">
            <v>199</v>
          </cell>
        </row>
        <row r="700">
          <cell r="A700" t="str">
            <v>BAG-9</v>
          </cell>
          <cell r="B700" t="str">
            <v>BAG</v>
          </cell>
          <cell r="C700" t="str">
            <v>กระเป๋า BAG 9</v>
          </cell>
          <cell r="E700">
            <v>0</v>
          </cell>
          <cell r="F700">
            <v>199</v>
          </cell>
        </row>
        <row r="701">
          <cell r="A701" t="str">
            <v>BAG-10</v>
          </cell>
          <cell r="B701" t="str">
            <v>BAG</v>
          </cell>
          <cell r="C701" t="str">
            <v>กระเป๋า BAG 10</v>
          </cell>
          <cell r="E701">
            <v>0</v>
          </cell>
          <cell r="F701">
            <v>199</v>
          </cell>
        </row>
        <row r="702">
          <cell r="A702" t="str">
            <v>BAG-11</v>
          </cell>
          <cell r="B702" t="str">
            <v>BAG</v>
          </cell>
          <cell r="C702" t="str">
            <v>กระเป๋า BAG 11</v>
          </cell>
          <cell r="E702">
            <v>0</v>
          </cell>
          <cell r="F702">
            <v>199</v>
          </cell>
        </row>
        <row r="703">
          <cell r="A703" t="str">
            <v>BAG-12</v>
          </cell>
          <cell r="B703" t="str">
            <v>BAG</v>
          </cell>
          <cell r="C703" t="str">
            <v>กระเป๋า BAG 12</v>
          </cell>
          <cell r="E703">
            <v>0</v>
          </cell>
          <cell r="F703">
            <v>199</v>
          </cell>
        </row>
        <row r="704">
          <cell r="A704" t="str">
            <v>BAG-13</v>
          </cell>
          <cell r="B704" t="str">
            <v>BAG</v>
          </cell>
          <cell r="C704" t="str">
            <v>กระเป๋า BAG 13</v>
          </cell>
          <cell r="E704">
            <v>0</v>
          </cell>
          <cell r="F704">
            <v>199</v>
          </cell>
        </row>
        <row r="705">
          <cell r="A705" t="str">
            <v>BAG-14</v>
          </cell>
          <cell r="B705" t="str">
            <v>BAG</v>
          </cell>
          <cell r="C705" t="str">
            <v>กระเป๋า BAG 14</v>
          </cell>
          <cell r="E705">
            <v>0</v>
          </cell>
          <cell r="F705">
            <v>199</v>
          </cell>
        </row>
        <row r="706">
          <cell r="A706" t="str">
            <v>BAG-15</v>
          </cell>
          <cell r="B706" t="str">
            <v>BAG</v>
          </cell>
          <cell r="C706" t="str">
            <v>กระเป๋า BAG 15</v>
          </cell>
          <cell r="E706">
            <v>0</v>
          </cell>
          <cell r="F706">
            <v>199</v>
          </cell>
        </row>
        <row r="707">
          <cell r="A707" t="str">
            <v>BAG-16</v>
          </cell>
          <cell r="B707" t="str">
            <v>BAG</v>
          </cell>
          <cell r="C707" t="str">
            <v>กระเป๋า BAG 16</v>
          </cell>
          <cell r="E707">
            <v>0</v>
          </cell>
          <cell r="F707">
            <v>199</v>
          </cell>
        </row>
        <row r="708">
          <cell r="A708" t="str">
            <v>BAG-17</v>
          </cell>
          <cell r="B708" t="str">
            <v>BAG</v>
          </cell>
          <cell r="C708" t="str">
            <v>กระเป๋า BAG 17</v>
          </cell>
          <cell r="E708">
            <v>0</v>
          </cell>
          <cell r="F708">
            <v>199</v>
          </cell>
        </row>
        <row r="709">
          <cell r="A709" t="str">
            <v>BAG-18</v>
          </cell>
          <cell r="B709" t="str">
            <v>BAG</v>
          </cell>
          <cell r="C709" t="str">
            <v>กระเป๋า BAG 18</v>
          </cell>
          <cell r="E709">
            <v>0</v>
          </cell>
          <cell r="F709">
            <v>199</v>
          </cell>
        </row>
        <row r="710">
          <cell r="A710" t="str">
            <v>BAG-19</v>
          </cell>
          <cell r="B710" t="str">
            <v>BAG</v>
          </cell>
          <cell r="C710" t="str">
            <v>กระเป๋า BAG 19</v>
          </cell>
          <cell r="E710">
            <v>0</v>
          </cell>
          <cell r="F710">
            <v>199</v>
          </cell>
        </row>
        <row r="711">
          <cell r="A711" t="str">
            <v>BAG-20</v>
          </cell>
          <cell r="B711" t="str">
            <v>BAG</v>
          </cell>
          <cell r="C711" t="str">
            <v>กระเป๋า BAG 20</v>
          </cell>
          <cell r="E711">
            <v>0</v>
          </cell>
          <cell r="F711">
            <v>199</v>
          </cell>
        </row>
        <row r="712">
          <cell r="A712" t="str">
            <v>BAG-21</v>
          </cell>
          <cell r="B712" t="str">
            <v>BAG</v>
          </cell>
          <cell r="C712" t="str">
            <v>กระเป๋า BAG 21</v>
          </cell>
          <cell r="E712">
            <v>0</v>
          </cell>
          <cell r="F712">
            <v>199</v>
          </cell>
        </row>
        <row r="713">
          <cell r="A713" t="str">
            <v>BAG-22</v>
          </cell>
          <cell r="B713" t="str">
            <v>BAG</v>
          </cell>
          <cell r="C713" t="str">
            <v>กระเป๋า BAG 22</v>
          </cell>
          <cell r="E713">
            <v>0</v>
          </cell>
          <cell r="F713">
            <v>199</v>
          </cell>
        </row>
        <row r="714">
          <cell r="A714" t="str">
            <v>BAG-23</v>
          </cell>
          <cell r="B714" t="str">
            <v>BAG</v>
          </cell>
          <cell r="C714" t="str">
            <v>กระเป๋า BAG 23</v>
          </cell>
          <cell r="E714">
            <v>0</v>
          </cell>
          <cell r="F714">
            <v>199</v>
          </cell>
        </row>
        <row r="715">
          <cell r="A715" t="str">
            <v>BAG-24</v>
          </cell>
          <cell r="B715" t="str">
            <v>BAG</v>
          </cell>
          <cell r="C715" t="str">
            <v>กระเป๋า BAG 24</v>
          </cell>
          <cell r="E715">
            <v>0</v>
          </cell>
          <cell r="F715">
            <v>199</v>
          </cell>
        </row>
        <row r="716">
          <cell r="A716" t="str">
            <v>BAG-25</v>
          </cell>
          <cell r="B716" t="str">
            <v>BAG</v>
          </cell>
          <cell r="C716" t="str">
            <v>กระเป๋า BAG 25</v>
          </cell>
          <cell r="E716">
            <v>0</v>
          </cell>
          <cell r="F716">
            <v>199</v>
          </cell>
        </row>
        <row r="717">
          <cell r="A717" t="str">
            <v>BAG-26</v>
          </cell>
          <cell r="B717" t="str">
            <v>BAG</v>
          </cell>
          <cell r="C717" t="str">
            <v>กระเป๋า BAG 26</v>
          </cell>
          <cell r="E717">
            <v>0</v>
          </cell>
          <cell r="F717">
            <v>199</v>
          </cell>
        </row>
        <row r="718">
          <cell r="A718" t="str">
            <v>BAG-27</v>
          </cell>
          <cell r="B718" t="str">
            <v>BAG</v>
          </cell>
          <cell r="C718" t="str">
            <v>กระเป๋า BAG 27</v>
          </cell>
          <cell r="E718">
            <v>0</v>
          </cell>
          <cell r="F718">
            <v>199</v>
          </cell>
        </row>
        <row r="719">
          <cell r="A719" t="str">
            <v>BAG-28</v>
          </cell>
          <cell r="B719" t="str">
            <v>BAG</v>
          </cell>
          <cell r="C719" t="str">
            <v>กระเป๋า BAG 28</v>
          </cell>
          <cell r="E719">
            <v>0</v>
          </cell>
          <cell r="F719">
            <v>199</v>
          </cell>
        </row>
        <row r="720">
          <cell r="A720" t="str">
            <v>BAG-29</v>
          </cell>
          <cell r="B720" t="str">
            <v>BAG</v>
          </cell>
          <cell r="C720" t="str">
            <v>กระเป๋า BAG 29</v>
          </cell>
          <cell r="E720">
            <v>0</v>
          </cell>
          <cell r="F720">
            <v>199</v>
          </cell>
        </row>
        <row r="721">
          <cell r="A721" t="str">
            <v>BAG-30</v>
          </cell>
          <cell r="B721" t="str">
            <v>BAG</v>
          </cell>
          <cell r="C721" t="str">
            <v>กระเป๋า BAG 30</v>
          </cell>
          <cell r="E721">
            <v>0</v>
          </cell>
          <cell r="F721">
            <v>199</v>
          </cell>
        </row>
        <row r="722">
          <cell r="A722" t="str">
            <v>BAG-31</v>
          </cell>
          <cell r="B722" t="str">
            <v>BAG</v>
          </cell>
          <cell r="C722" t="str">
            <v>กระเป๋า BAG 31</v>
          </cell>
          <cell r="E722">
            <v>0</v>
          </cell>
          <cell r="F722">
            <v>199</v>
          </cell>
        </row>
        <row r="723">
          <cell r="A723" t="str">
            <v>BAG-32</v>
          </cell>
          <cell r="B723" t="str">
            <v>BAG</v>
          </cell>
          <cell r="C723" t="str">
            <v>กระเป๋า BAG 32</v>
          </cell>
          <cell r="E723">
            <v>0</v>
          </cell>
          <cell r="F723">
            <v>199</v>
          </cell>
        </row>
        <row r="724">
          <cell r="A724" t="str">
            <v>BB0001-L</v>
          </cell>
          <cell r="B724" t="str">
            <v>B1</v>
          </cell>
          <cell r="C724" t="str">
            <v>เยื่อไผ่ แขนสั้นขายาว ผีเสื้อ L</v>
          </cell>
          <cell r="E724">
            <v>0</v>
          </cell>
          <cell r="F724">
            <v>890</v>
          </cell>
        </row>
        <row r="725">
          <cell r="A725" t="str">
            <v>BB0001-M</v>
          </cell>
          <cell r="B725" t="str">
            <v>B1</v>
          </cell>
          <cell r="C725" t="str">
            <v>เยื่อไผ่ แขนสั้นขายาว ผีเสื้อ M</v>
          </cell>
          <cell r="E725">
            <v>0</v>
          </cell>
          <cell r="F725">
            <v>890</v>
          </cell>
        </row>
        <row r="726">
          <cell r="A726" t="str">
            <v>BB0001-S</v>
          </cell>
          <cell r="B726" t="str">
            <v>B1</v>
          </cell>
          <cell r="C726" t="str">
            <v>เยื่อไผ่ แขนสั้นขายาว ผีเสื้อ S</v>
          </cell>
          <cell r="E726">
            <v>0</v>
          </cell>
          <cell r="F726">
            <v>890</v>
          </cell>
        </row>
        <row r="727">
          <cell r="A727" t="str">
            <v>BB0002-L</v>
          </cell>
          <cell r="B727" t="str">
            <v>B2</v>
          </cell>
          <cell r="C727" t="str">
            <v>เยื่อไผ่ แขนสั้นขายาว ผีเสื้อ นู้ด L</v>
          </cell>
          <cell r="E727">
            <v>0</v>
          </cell>
          <cell r="F727">
            <v>890</v>
          </cell>
        </row>
        <row r="728">
          <cell r="A728" t="str">
            <v>BB0002-M</v>
          </cell>
          <cell r="B728" t="str">
            <v>B2</v>
          </cell>
          <cell r="C728" t="str">
            <v>เยื่อไผ่ แขนสั้นขายาว ผีเสื้อ นู้ด M</v>
          </cell>
          <cell r="E728">
            <v>0</v>
          </cell>
          <cell r="F728">
            <v>890</v>
          </cell>
        </row>
        <row r="729">
          <cell r="A729" t="str">
            <v>BB0002-S</v>
          </cell>
          <cell r="B729" t="str">
            <v>B2</v>
          </cell>
          <cell r="C729" t="str">
            <v>เยื่อไผ่ แขนสั้นขายาว ผีเสื้อ นู้ด S</v>
          </cell>
          <cell r="E729">
            <v>0</v>
          </cell>
          <cell r="F729">
            <v>890</v>
          </cell>
        </row>
        <row r="730">
          <cell r="A730" t="str">
            <v>BB0003-L</v>
          </cell>
          <cell r="B730" t="str">
            <v>B3</v>
          </cell>
          <cell r="C730" t="str">
            <v>เยื่อไผ่ แขนสั้นขายาว ผีเสื้อ NEW - L</v>
          </cell>
          <cell r="E730">
            <v>0</v>
          </cell>
          <cell r="F730">
            <v>890</v>
          </cell>
        </row>
        <row r="731">
          <cell r="A731" t="str">
            <v>BB0003-M</v>
          </cell>
          <cell r="B731" t="str">
            <v>B3</v>
          </cell>
          <cell r="C731" t="str">
            <v>เยื่อไผ่ แขนสั้นขายาว ผีเสื้อ NEW - M</v>
          </cell>
          <cell r="E731">
            <v>0</v>
          </cell>
          <cell r="F731">
            <v>890</v>
          </cell>
        </row>
        <row r="732">
          <cell r="A732" t="str">
            <v>BB0003-XL</v>
          </cell>
          <cell r="B732" t="str">
            <v>B3</v>
          </cell>
          <cell r="C732" t="str">
            <v>เยื่อไผ่ แขนสั้นขายาว ผีเสื้อ NEW - XL</v>
          </cell>
          <cell r="E732">
            <v>0</v>
          </cell>
          <cell r="F732">
            <v>890</v>
          </cell>
        </row>
        <row r="733">
          <cell r="A733" t="str">
            <v>BB0005-L</v>
          </cell>
          <cell r="B733" t="str">
            <v>B5</v>
          </cell>
          <cell r="C733" t="str">
            <v>เยื่อไผ่ แขนสั้นขายาว Tropical นก นู๊ด L</v>
          </cell>
          <cell r="E733">
            <v>0</v>
          </cell>
          <cell r="F733">
            <v>890</v>
          </cell>
        </row>
        <row r="734">
          <cell r="A734" t="str">
            <v>BB0005-M</v>
          </cell>
          <cell r="B734" t="str">
            <v>B5</v>
          </cell>
          <cell r="C734" t="str">
            <v>เยื่อไผ่ แขนสั้นขายาว Tropical นก นู๊ด M</v>
          </cell>
          <cell r="E734">
            <v>0</v>
          </cell>
          <cell r="F734">
            <v>890</v>
          </cell>
        </row>
        <row r="735">
          <cell r="A735" t="str">
            <v>BB0005-S</v>
          </cell>
          <cell r="B735" t="str">
            <v>B5</v>
          </cell>
          <cell r="C735" t="str">
            <v>เยื่อไผ่ แขนสั้นขายาว Tropical นกนู๊ด S</v>
          </cell>
          <cell r="E735">
            <v>0</v>
          </cell>
          <cell r="F735">
            <v>890</v>
          </cell>
        </row>
        <row r="736">
          <cell r="A736" t="str">
            <v>BB0009-L</v>
          </cell>
          <cell r="B736" t="str">
            <v>QB9</v>
          </cell>
          <cell r="C736" t="str">
            <v>เยื่อไผ่ แขนสั้นขายาว นกบราว L QC</v>
          </cell>
          <cell r="E736">
            <v>0</v>
          </cell>
          <cell r="F736">
            <v>890</v>
          </cell>
        </row>
        <row r="737">
          <cell r="A737" t="str">
            <v>BB0009-M</v>
          </cell>
          <cell r="B737" t="str">
            <v>QB9</v>
          </cell>
          <cell r="C737" t="str">
            <v>เยื่อไผ่ แขนสั้นขายาว นกบราว M QC</v>
          </cell>
          <cell r="E737">
            <v>0</v>
          </cell>
          <cell r="F737">
            <v>890</v>
          </cell>
        </row>
        <row r="738">
          <cell r="A738" t="str">
            <v>BB0009-S</v>
          </cell>
          <cell r="B738" t="str">
            <v>B9</v>
          </cell>
          <cell r="C738" t="str">
            <v>เยื่อไผ่ แขนสั้นขายาว นกบราว S</v>
          </cell>
          <cell r="E738">
            <v>0</v>
          </cell>
          <cell r="F738">
            <v>890</v>
          </cell>
        </row>
        <row r="739">
          <cell r="A739" t="str">
            <v>BB0009-XL</v>
          </cell>
          <cell r="B739" t="str">
            <v>B9</v>
          </cell>
          <cell r="C739" t="str">
            <v>เยื่อไผ่ แขนสั้นขายาว นกบราว XL</v>
          </cell>
          <cell r="E739">
            <v>0</v>
          </cell>
          <cell r="F739">
            <v>890</v>
          </cell>
        </row>
        <row r="740">
          <cell r="A740" t="str">
            <v>BB0011-L</v>
          </cell>
          <cell r="B740" t="str">
            <v>B11</v>
          </cell>
          <cell r="C740" t="str">
            <v>เยื่อไผ่ แขนสั้นขายาว  กระต่ายฟ้า L</v>
          </cell>
          <cell r="E740">
            <v>0</v>
          </cell>
          <cell r="F740">
            <v>890</v>
          </cell>
        </row>
        <row r="741">
          <cell r="A741" t="str">
            <v>BB0011-M</v>
          </cell>
          <cell r="B741" t="str">
            <v>B11</v>
          </cell>
          <cell r="C741" t="str">
            <v>เยื่อไผ่ แขนสั้นขายาว  กระต่ายฟ้า M</v>
          </cell>
          <cell r="E741">
            <v>0</v>
          </cell>
          <cell r="F741">
            <v>890</v>
          </cell>
        </row>
        <row r="742">
          <cell r="A742" t="str">
            <v>BB0011-XL</v>
          </cell>
          <cell r="B742" t="str">
            <v>B11</v>
          </cell>
          <cell r="C742" t="str">
            <v>เยื่อไผ่ แขนสั้นขายาว  กระต่ายฟ้า XL</v>
          </cell>
          <cell r="E742">
            <v>0</v>
          </cell>
          <cell r="F742">
            <v>890</v>
          </cell>
        </row>
        <row r="743">
          <cell r="A743" t="str">
            <v>BB0012-L</v>
          </cell>
          <cell r="B743" t="str">
            <v>B12</v>
          </cell>
          <cell r="C743" t="str">
            <v>เยื่อไผ่ แขนสั้นขายาว  กระต่ายกรม L</v>
          </cell>
          <cell r="E743">
            <v>0</v>
          </cell>
          <cell r="F743">
            <v>890</v>
          </cell>
        </row>
        <row r="744">
          <cell r="A744" t="str">
            <v>BB0012-M</v>
          </cell>
          <cell r="B744" t="str">
            <v>B12</v>
          </cell>
          <cell r="C744" t="str">
            <v>เยื่อไผ่ แขนสั้นขายาว  กระต่ายกรม M</v>
          </cell>
          <cell r="E744">
            <v>0</v>
          </cell>
          <cell r="F744">
            <v>890</v>
          </cell>
        </row>
        <row r="745">
          <cell r="A745" t="str">
            <v>BB0012-XL</v>
          </cell>
          <cell r="B745" t="str">
            <v>B12</v>
          </cell>
          <cell r="C745" t="str">
            <v>เยื่อไผ่ แขนสั้นขายาว  กระต่ายกรม XL</v>
          </cell>
          <cell r="E745">
            <v>0</v>
          </cell>
          <cell r="F745">
            <v>890</v>
          </cell>
        </row>
        <row r="746">
          <cell r="A746" t="str">
            <v>BB0013-L</v>
          </cell>
          <cell r="B746" t="str">
            <v>B13</v>
          </cell>
          <cell r="C746" t="str">
            <v>เยื่อไผ่ แขนสั้นขายาว แมวฟ้า L</v>
          </cell>
          <cell r="E746">
            <v>0</v>
          </cell>
          <cell r="F746">
            <v>890</v>
          </cell>
        </row>
        <row r="747">
          <cell r="A747" t="str">
            <v>BB0013-M</v>
          </cell>
          <cell r="B747" t="str">
            <v>B13</v>
          </cell>
          <cell r="C747" t="str">
            <v>เยื่อไผ่ แขนสั้นขายาว แมวฟ้า M</v>
          </cell>
          <cell r="E747">
            <v>0</v>
          </cell>
          <cell r="F747">
            <v>890</v>
          </cell>
        </row>
        <row r="748">
          <cell r="A748" t="str">
            <v>BB0013-S</v>
          </cell>
          <cell r="B748" t="str">
            <v>B13</v>
          </cell>
          <cell r="C748" t="str">
            <v>เยื่อไผ่ แขนสั้นขายาว แมวฟ้า S</v>
          </cell>
          <cell r="E748">
            <v>0</v>
          </cell>
          <cell r="F748">
            <v>890</v>
          </cell>
        </row>
        <row r="749">
          <cell r="A749" t="str">
            <v>BB0014-L</v>
          </cell>
          <cell r="B749" t="str">
            <v>B14</v>
          </cell>
          <cell r="C749" t="str">
            <v>เยื่อไผ่ แขนสั้นขายาว ลายทางเทา น้องหมา L</v>
          </cell>
          <cell r="E749">
            <v>0</v>
          </cell>
          <cell r="F749">
            <v>890</v>
          </cell>
        </row>
        <row r="750">
          <cell r="A750" t="str">
            <v>BB0014-M</v>
          </cell>
          <cell r="B750" t="str">
            <v>B14</v>
          </cell>
          <cell r="C750" t="str">
            <v>เยื่อไผ่ แขนสั้นขายาว ลายทางเทา น้องหมา M</v>
          </cell>
          <cell r="E750">
            <v>0</v>
          </cell>
          <cell r="F750">
            <v>890</v>
          </cell>
        </row>
        <row r="751">
          <cell r="A751" t="str">
            <v>BB0014-S</v>
          </cell>
          <cell r="B751" t="str">
            <v>B14</v>
          </cell>
          <cell r="C751" t="str">
            <v>เยื่อไผ่ แขนสั้นขายาว ลายทางเทา น้องหมา S</v>
          </cell>
          <cell r="E751">
            <v>0</v>
          </cell>
          <cell r="F751">
            <v>890</v>
          </cell>
        </row>
        <row r="752">
          <cell r="A752" t="str">
            <v>BB0014-XL</v>
          </cell>
          <cell r="B752" t="str">
            <v>B14</v>
          </cell>
          <cell r="C752" t="str">
            <v>เยื่อไผ่ แขนสั้นขายาว ลายทางเทา น้องหมา XL</v>
          </cell>
          <cell r="E752">
            <v>0</v>
          </cell>
          <cell r="F752">
            <v>890</v>
          </cell>
        </row>
        <row r="753">
          <cell r="A753" t="str">
            <v>BB0015-L</v>
          </cell>
          <cell r="B753" t="str">
            <v>B15</v>
          </cell>
          <cell r="C753" t="str">
            <v>เยื่อไผ่ แขนสั้นขายาว ลายทางดำ น้องหมา L</v>
          </cell>
          <cell r="E753">
            <v>0</v>
          </cell>
          <cell r="F753">
            <v>890</v>
          </cell>
        </row>
        <row r="754">
          <cell r="A754" t="str">
            <v>BB0015-M</v>
          </cell>
          <cell r="B754" t="str">
            <v>B15</v>
          </cell>
          <cell r="C754" t="str">
            <v>เยื่อไผ่ แขนสั้นขายาว ลายทางดำ น้องหมา M</v>
          </cell>
          <cell r="E754">
            <v>0</v>
          </cell>
          <cell r="F754">
            <v>890</v>
          </cell>
        </row>
        <row r="755">
          <cell r="A755" t="str">
            <v>BB0015-S</v>
          </cell>
          <cell r="B755" t="str">
            <v>B15</v>
          </cell>
          <cell r="C755" t="str">
            <v>เยื่อไผ่ แขนสั้นขายาว ลายทางดำ น้องหมา S</v>
          </cell>
          <cell r="E755">
            <v>0</v>
          </cell>
          <cell r="F755">
            <v>890</v>
          </cell>
        </row>
        <row r="756">
          <cell r="A756" t="str">
            <v>BB0015-XL</v>
          </cell>
          <cell r="B756" t="str">
            <v>B15</v>
          </cell>
          <cell r="C756" t="str">
            <v>เยื่อไผ่ แขนสั้นขายาว ลายทางดำ น้องหมา XL</v>
          </cell>
          <cell r="E756">
            <v>0</v>
          </cell>
          <cell r="F756">
            <v>890</v>
          </cell>
        </row>
        <row r="757">
          <cell r="A757" t="str">
            <v>BB0016-L</v>
          </cell>
          <cell r="B757" t="str">
            <v>B16</v>
          </cell>
          <cell r="C757" t="str">
            <v>เยื่อไผ่ แขนสั้นขายาว กวาง พื้นกรม L</v>
          </cell>
          <cell r="E757">
            <v>0</v>
          </cell>
          <cell r="F757">
            <v>890</v>
          </cell>
        </row>
        <row r="758">
          <cell r="A758" t="str">
            <v>BB0016-M</v>
          </cell>
          <cell r="B758" t="str">
            <v>B16</v>
          </cell>
          <cell r="C758" t="str">
            <v>เยื่อไผ่ แขนสั้นขายาว กวาง พื้นกรม M</v>
          </cell>
          <cell r="E758">
            <v>0</v>
          </cell>
          <cell r="F758">
            <v>890</v>
          </cell>
        </row>
        <row r="759">
          <cell r="A759" t="str">
            <v>BB0016-XL</v>
          </cell>
          <cell r="B759" t="str">
            <v>B16</v>
          </cell>
          <cell r="C759" t="str">
            <v>เยื่อไผ่ แขนสั้นขายาว กวาง พื้นกรม XL</v>
          </cell>
          <cell r="E759">
            <v>0</v>
          </cell>
          <cell r="F759">
            <v>890</v>
          </cell>
        </row>
        <row r="760">
          <cell r="A760" t="str">
            <v>BB0019-L</v>
          </cell>
          <cell r="B760" t="str">
            <v>B19</v>
          </cell>
          <cell r="C760" t="str">
            <v>เยื่อไผ่ แขนสั้นขายาว TropicaL ใบไม้เขียว L</v>
          </cell>
          <cell r="E760">
            <v>0</v>
          </cell>
          <cell r="F760">
            <v>890</v>
          </cell>
        </row>
        <row r="761">
          <cell r="A761" t="str">
            <v>BB0019-M</v>
          </cell>
          <cell r="B761" t="str">
            <v>B19</v>
          </cell>
          <cell r="C761" t="str">
            <v>เยื่อไผ่ แขนสั้นขายาว TropicaL ใบไม้เขียว M</v>
          </cell>
          <cell r="E761">
            <v>0</v>
          </cell>
          <cell r="F761">
            <v>890</v>
          </cell>
        </row>
        <row r="762">
          <cell r="A762" t="str">
            <v>BB0019-S</v>
          </cell>
          <cell r="B762" t="str">
            <v>B19</v>
          </cell>
          <cell r="C762" t="str">
            <v>เยื่อไผ่ แขนสั้นขายาว TropicaL ใบไม้เขียว S</v>
          </cell>
          <cell r="E762">
            <v>0</v>
          </cell>
          <cell r="F762">
            <v>890</v>
          </cell>
        </row>
        <row r="763">
          <cell r="A763" t="str">
            <v>BB0020-L</v>
          </cell>
          <cell r="B763" t="str">
            <v>B20</v>
          </cell>
          <cell r="C763" t="str">
            <v>เยื่อไผ่ แขนสั้นขายาว ใบไม้เขียว NEW L Oversize</v>
          </cell>
          <cell r="E763">
            <v>0</v>
          </cell>
          <cell r="F763">
            <v>890</v>
          </cell>
        </row>
        <row r="764">
          <cell r="A764" t="str">
            <v>BB0020-M</v>
          </cell>
          <cell r="B764" t="str">
            <v>B20</v>
          </cell>
          <cell r="C764" t="str">
            <v>เยื่อไผ่ แขนสั้นขายาว ใบไม้เขียว NEW M Oversize</v>
          </cell>
          <cell r="E764">
            <v>0</v>
          </cell>
          <cell r="F764">
            <v>890</v>
          </cell>
        </row>
        <row r="765">
          <cell r="A765" t="str">
            <v>BB0020-S</v>
          </cell>
          <cell r="B765" t="str">
            <v>B20</v>
          </cell>
          <cell r="C765" t="str">
            <v>เยื่อไผ่ แขนสั้นขายาว ใบไม้เขียว NEW S Oversize</v>
          </cell>
          <cell r="E765">
            <v>0</v>
          </cell>
          <cell r="F765">
            <v>890</v>
          </cell>
        </row>
        <row r="766">
          <cell r="A766" t="str">
            <v>BB0022-L</v>
          </cell>
          <cell r="B766" t="str">
            <v>B22</v>
          </cell>
          <cell r="C766" t="str">
            <v>เยื่อไผ่ แขนสั้นขายาว TropicaL ใบไม้เหลือง New L</v>
          </cell>
          <cell r="E766">
            <v>0</v>
          </cell>
          <cell r="F766">
            <v>890</v>
          </cell>
        </row>
        <row r="767">
          <cell r="A767" t="str">
            <v>BB0022-M</v>
          </cell>
          <cell r="B767" t="str">
            <v>B22</v>
          </cell>
          <cell r="C767" t="str">
            <v>เยื่อไผ่ แขนสั้นขายาว TropicaL ใบไม้เหลือง New M</v>
          </cell>
          <cell r="E767">
            <v>0</v>
          </cell>
          <cell r="F767">
            <v>890</v>
          </cell>
        </row>
        <row r="768">
          <cell r="A768" t="str">
            <v>BB0022-S</v>
          </cell>
          <cell r="B768" t="str">
            <v>B22</v>
          </cell>
          <cell r="C768" t="str">
            <v>เยื่อไผ่ แขนสั้นขายาว TropicaL ใบไม้เหลือง New S</v>
          </cell>
          <cell r="E768">
            <v>0</v>
          </cell>
          <cell r="F768">
            <v>890</v>
          </cell>
        </row>
        <row r="769">
          <cell r="A769" t="str">
            <v>BB0023-L</v>
          </cell>
          <cell r="B769" t="str">
            <v>B23</v>
          </cell>
          <cell r="C769" t="str">
            <v>เยื่อไผ่ แขนสั้นขายาว TropicaL ใบไม้เหลือง OverSize L</v>
          </cell>
          <cell r="E769">
            <v>0</v>
          </cell>
          <cell r="F769">
            <v>890</v>
          </cell>
        </row>
        <row r="770">
          <cell r="A770" t="str">
            <v>BB0023-M</v>
          </cell>
          <cell r="B770" t="str">
            <v>B23</v>
          </cell>
          <cell r="C770" t="str">
            <v>เยื่อไผ่ แขนสั้นขายาว TropicaL ใบไม้เหลือง OverSize M</v>
          </cell>
          <cell r="E770">
            <v>0</v>
          </cell>
          <cell r="F770">
            <v>890</v>
          </cell>
        </row>
        <row r="771">
          <cell r="A771" t="str">
            <v>BB0023-S</v>
          </cell>
          <cell r="B771" t="str">
            <v>B23</v>
          </cell>
          <cell r="C771" t="str">
            <v>เยื่อไผ่ แขนสั้นขายาว TropicaL ใบไม้เหลือง OverSize S</v>
          </cell>
          <cell r="E771">
            <v>0</v>
          </cell>
          <cell r="F771">
            <v>890</v>
          </cell>
        </row>
        <row r="772">
          <cell r="A772" t="str">
            <v>BB0025-L</v>
          </cell>
          <cell r="B772" t="str">
            <v>B25</v>
          </cell>
          <cell r="C772" t="str">
            <v>เยื่อไผ่ แขนสั้นขายาว ใบไม้น้ำตาล ขอบแดง L</v>
          </cell>
          <cell r="E772">
            <v>0</v>
          </cell>
          <cell r="F772">
            <v>890</v>
          </cell>
        </row>
        <row r="773">
          <cell r="A773" t="str">
            <v>BB0025-M</v>
          </cell>
          <cell r="B773" t="str">
            <v>B25</v>
          </cell>
          <cell r="C773" t="str">
            <v>เยื่อไผ่ แขนสั้นขายาว ใบไม้น้ำตาล ขอบแดง M</v>
          </cell>
          <cell r="E773">
            <v>0</v>
          </cell>
          <cell r="F773">
            <v>890</v>
          </cell>
        </row>
        <row r="774">
          <cell r="A774" t="str">
            <v>BB0025-S</v>
          </cell>
          <cell r="B774" t="str">
            <v>B25</v>
          </cell>
          <cell r="C774" t="str">
            <v>เยื่อไผ่ แขนสั้นขายาว ใบไม้น้ำตาล ขอบแดง S</v>
          </cell>
          <cell r="E774">
            <v>0</v>
          </cell>
          <cell r="F774">
            <v>890</v>
          </cell>
        </row>
        <row r="775">
          <cell r="A775" t="str">
            <v>BB0025-XL</v>
          </cell>
          <cell r="B775" t="str">
            <v>B25</v>
          </cell>
          <cell r="C775" t="str">
            <v>เยื่อไผ่ แขนสั้นขายาว ใบไม้น้ำตาล ขอบแดง XL</v>
          </cell>
          <cell r="E775">
            <v>0</v>
          </cell>
          <cell r="F775">
            <v>890</v>
          </cell>
        </row>
        <row r="776">
          <cell r="A776" t="str">
            <v>BB0026-L</v>
          </cell>
          <cell r="B776" t="str">
            <v>B26</v>
          </cell>
          <cell r="C776" t="str">
            <v>เยื่อไผ่ แขนสั้นขายาว ใบไม้พื้นน้ำตาล L</v>
          </cell>
          <cell r="E776">
            <v>0</v>
          </cell>
          <cell r="F776">
            <v>890</v>
          </cell>
        </row>
        <row r="777">
          <cell r="A777" t="str">
            <v>BB0026-M</v>
          </cell>
          <cell r="B777" t="str">
            <v>B26</v>
          </cell>
          <cell r="C777" t="str">
            <v>เยื่อไผ่ แขนสั้นขายาว ใบไม้พื้นน้ำตาล M</v>
          </cell>
          <cell r="E777">
            <v>0</v>
          </cell>
          <cell r="F777">
            <v>890</v>
          </cell>
        </row>
        <row r="778">
          <cell r="A778" t="str">
            <v>BB0026-XL</v>
          </cell>
          <cell r="B778" t="str">
            <v>B26</v>
          </cell>
          <cell r="C778" t="str">
            <v>เยื่อไผ่ แขนสั้นขายาว ใบไม้พื้นน้ำตาล XL</v>
          </cell>
          <cell r="E778">
            <v>0</v>
          </cell>
          <cell r="F778">
            <v>890</v>
          </cell>
        </row>
        <row r="779">
          <cell r="A779" t="str">
            <v>BB0028-L</v>
          </cell>
          <cell r="B779" t="str">
            <v>B28</v>
          </cell>
          <cell r="C779" t="str">
            <v>เยื่อไผ่ แขนสั้นขายาว ใบไม้ชมพู นู้ด L</v>
          </cell>
          <cell r="E779">
            <v>0</v>
          </cell>
          <cell r="F779">
            <v>890</v>
          </cell>
        </row>
        <row r="780">
          <cell r="A780" t="str">
            <v>BB0028-XL</v>
          </cell>
          <cell r="B780" t="str">
            <v>B28</v>
          </cell>
          <cell r="C780" t="str">
            <v>เยื่อไผ่ แขนสั้นขายาว ใบไม้ชมพู นู้ด XL</v>
          </cell>
          <cell r="E780">
            <v>0</v>
          </cell>
          <cell r="F780">
            <v>890</v>
          </cell>
        </row>
        <row r="781">
          <cell r="A781" t="str">
            <v>BB0035-L</v>
          </cell>
          <cell r="B781" t="str">
            <v>B35</v>
          </cell>
          <cell r="C781" t="str">
            <v>เยื่อไผ่ แขนสั้นขายาว ขาวดอกไม้เล็ก L</v>
          </cell>
          <cell r="E781">
            <v>0</v>
          </cell>
          <cell r="F781">
            <v>890</v>
          </cell>
        </row>
        <row r="782">
          <cell r="A782" t="str">
            <v>BB0035-M</v>
          </cell>
          <cell r="B782" t="str">
            <v>B35</v>
          </cell>
          <cell r="C782" t="str">
            <v>เยื่อไผ่ แขนสั้นขายาว ขาวดอกไม้เล็ก M</v>
          </cell>
          <cell r="E782">
            <v>0</v>
          </cell>
          <cell r="F782">
            <v>890</v>
          </cell>
        </row>
        <row r="783">
          <cell r="A783" t="str">
            <v>BB0035-S</v>
          </cell>
          <cell r="B783" t="str">
            <v>B35</v>
          </cell>
          <cell r="C783" t="str">
            <v>เยื่อไผ่ แขนสั้นขายาว ขาวดอกไม้เล็ก S</v>
          </cell>
          <cell r="E783">
            <v>0</v>
          </cell>
          <cell r="F783">
            <v>890</v>
          </cell>
        </row>
        <row r="784">
          <cell r="A784" t="str">
            <v>BB0035-XL</v>
          </cell>
          <cell r="B784" t="str">
            <v>B35</v>
          </cell>
          <cell r="C784" t="str">
            <v>เยื่อไผ่ แขนสั้นขายาว ขาวดอกไม้เล็ก XL</v>
          </cell>
          <cell r="E784">
            <v>0</v>
          </cell>
          <cell r="F784">
            <v>890</v>
          </cell>
        </row>
        <row r="785">
          <cell r="A785" t="str">
            <v>BB0038-L</v>
          </cell>
          <cell r="B785" t="str">
            <v>B38</v>
          </cell>
          <cell r="C785" t="str">
            <v>เยื่อไผ่ แขนสั้นขายาว  ดอกไม้ขาว ดอกไม้เหลือง L</v>
          </cell>
          <cell r="E785">
            <v>0</v>
          </cell>
          <cell r="F785">
            <v>890</v>
          </cell>
        </row>
        <row r="786">
          <cell r="A786" t="str">
            <v>BB0038-M</v>
          </cell>
          <cell r="B786" t="str">
            <v>B38</v>
          </cell>
          <cell r="C786" t="str">
            <v>เยื่อไผ่ แขนสั้นขายาว  ดอกไม้ขาว ดอกไม้เหลือง M</v>
          </cell>
          <cell r="E786">
            <v>0</v>
          </cell>
          <cell r="F786">
            <v>890</v>
          </cell>
        </row>
        <row r="787">
          <cell r="A787" t="str">
            <v>BB0038-XL</v>
          </cell>
          <cell r="B787" t="str">
            <v>B38</v>
          </cell>
          <cell r="C787" t="str">
            <v>เยื่อไผ่ แขนสั้นขายาว  ดอกไม้ขาว ดอกไม้เหลือง XL</v>
          </cell>
          <cell r="E787">
            <v>0</v>
          </cell>
          <cell r="F787">
            <v>890</v>
          </cell>
        </row>
        <row r="788">
          <cell r="A788" t="str">
            <v>BB0045-L</v>
          </cell>
          <cell r="B788" t="str">
            <v>B45</v>
          </cell>
          <cell r="C788" t="str">
            <v>เยื่อไผ่ แขนสั้นขายาว Tropical ดอกไม้ L</v>
          </cell>
          <cell r="E788">
            <v>0</v>
          </cell>
          <cell r="F788">
            <v>890</v>
          </cell>
        </row>
        <row r="789">
          <cell r="A789" t="str">
            <v>BB0045-M</v>
          </cell>
          <cell r="B789" t="str">
            <v>B45</v>
          </cell>
          <cell r="C789" t="str">
            <v>เยื่อไผ่ แขนสั้นขายาว Tropical ดอกไม้ M</v>
          </cell>
          <cell r="E789">
            <v>0</v>
          </cell>
          <cell r="F789">
            <v>890</v>
          </cell>
        </row>
        <row r="790">
          <cell r="A790" t="str">
            <v>BB0045-S</v>
          </cell>
          <cell r="B790" t="str">
            <v>B45</v>
          </cell>
          <cell r="C790" t="str">
            <v>เยื่อไผ่ แขนสั้นขายาว Tropical ดอกไม้ S</v>
          </cell>
          <cell r="E790">
            <v>0</v>
          </cell>
          <cell r="F790">
            <v>890</v>
          </cell>
        </row>
        <row r="791">
          <cell r="A791" t="str">
            <v>BB0045-XL</v>
          </cell>
          <cell r="B791" t="str">
            <v>B45</v>
          </cell>
          <cell r="C791" t="str">
            <v>เยื่อไผ่ แขนสั้นขายาว Tropical ดอกไม้ XL</v>
          </cell>
          <cell r="E791">
            <v>0</v>
          </cell>
          <cell r="F791">
            <v>890</v>
          </cell>
        </row>
        <row r="792">
          <cell r="A792" t="str">
            <v>BB0046-L</v>
          </cell>
          <cell r="B792" t="str">
            <v>B46</v>
          </cell>
          <cell r="C792" t="str">
            <v>เยื่อไผ่ แขนสั้นขายาว Tropical ดอกไม้แดง L</v>
          </cell>
          <cell r="E792">
            <v>0</v>
          </cell>
          <cell r="F792">
            <v>890</v>
          </cell>
        </row>
        <row r="793">
          <cell r="A793" t="str">
            <v>BB0046-M</v>
          </cell>
          <cell r="B793" t="str">
            <v>B46</v>
          </cell>
          <cell r="C793" t="str">
            <v>เยื่อไผ่ แขนสั้นขายาว Tropical ดอกไม้แดง M</v>
          </cell>
          <cell r="E793">
            <v>0</v>
          </cell>
          <cell r="F793">
            <v>890</v>
          </cell>
        </row>
        <row r="794">
          <cell r="A794" t="str">
            <v>BB0046-XL</v>
          </cell>
          <cell r="B794" t="str">
            <v>B46</v>
          </cell>
          <cell r="C794" t="str">
            <v>เยื่อไผ่ แขนสั้นขายาว Tropical ดอกไม้แดง XL</v>
          </cell>
          <cell r="E794">
            <v>0</v>
          </cell>
          <cell r="F794">
            <v>890</v>
          </cell>
        </row>
        <row r="795">
          <cell r="A795" t="str">
            <v>BB0047-L</v>
          </cell>
          <cell r="B795" t="str">
            <v>B47</v>
          </cell>
          <cell r="C795" t="str">
            <v>เยื่อไผ่ แขนสั้นขายาว Tropical ดอกไม้ชมพู L</v>
          </cell>
          <cell r="E795">
            <v>0</v>
          </cell>
          <cell r="F795">
            <v>890</v>
          </cell>
        </row>
        <row r="796">
          <cell r="A796" t="str">
            <v>BB0047-M</v>
          </cell>
          <cell r="B796" t="str">
            <v>B47</v>
          </cell>
          <cell r="C796" t="str">
            <v>เยื่อไผ่ แขนสั้นขายาว Tropical ดอกไม้ชมพู M</v>
          </cell>
          <cell r="E796">
            <v>0</v>
          </cell>
          <cell r="F796">
            <v>890</v>
          </cell>
        </row>
        <row r="797">
          <cell r="A797" t="str">
            <v>BB0047-XL</v>
          </cell>
          <cell r="B797" t="str">
            <v>B47</v>
          </cell>
          <cell r="C797" t="str">
            <v>เยื่อไผ่ แขนสั้นขายาว Tropical ดอกไม้ชมพู XL</v>
          </cell>
          <cell r="E797">
            <v>0</v>
          </cell>
          <cell r="F797">
            <v>890</v>
          </cell>
        </row>
        <row r="798">
          <cell r="A798" t="str">
            <v>BB0049-L</v>
          </cell>
          <cell r="B798" t="str">
            <v>B49</v>
          </cell>
          <cell r="C798" t="str">
            <v>เยื่อไผ่ แขนสั้นขายาว Tropical ดอกน้ำตาลฟ้า L</v>
          </cell>
          <cell r="E798">
            <v>0</v>
          </cell>
          <cell r="F798">
            <v>890</v>
          </cell>
        </row>
        <row r="799">
          <cell r="A799" t="str">
            <v>BB0049-M</v>
          </cell>
          <cell r="B799" t="str">
            <v>B49</v>
          </cell>
          <cell r="C799" t="str">
            <v>เยื่อไผ่ แขนสั้นขายาว Tropical ดอกน้ำตาลฟ้า M</v>
          </cell>
          <cell r="E799">
            <v>0</v>
          </cell>
          <cell r="F799">
            <v>890</v>
          </cell>
        </row>
        <row r="800">
          <cell r="A800" t="str">
            <v>BB0049-XL</v>
          </cell>
          <cell r="B800" t="str">
            <v>B49</v>
          </cell>
          <cell r="C800" t="str">
            <v>เยื่อไผ่ แขนสั้นขายาว Tropical ดอกน้ำตาลฟ้า XL</v>
          </cell>
          <cell r="E800">
            <v>0</v>
          </cell>
          <cell r="F800">
            <v>890</v>
          </cell>
        </row>
        <row r="801">
          <cell r="A801" t="str">
            <v>BB0051-L</v>
          </cell>
          <cell r="B801" t="str">
            <v>B51</v>
          </cell>
          <cell r="C801" t="str">
            <v>เยื่อไผ่ แขนสั้นขายาว ดอกไม้แดง พื้่นฟ้า L</v>
          </cell>
          <cell r="E801">
            <v>0</v>
          </cell>
          <cell r="F801">
            <v>890</v>
          </cell>
        </row>
        <row r="802">
          <cell r="A802" t="str">
            <v>BB0051-XL</v>
          </cell>
          <cell r="B802" t="str">
            <v>B51</v>
          </cell>
          <cell r="C802" t="str">
            <v>เยื่อไผ่ แขนสั้นขายาว ดอกไม้แดง พื้่นฟ้า XL</v>
          </cell>
          <cell r="E802">
            <v>0</v>
          </cell>
          <cell r="F802">
            <v>890</v>
          </cell>
        </row>
        <row r="803">
          <cell r="A803" t="str">
            <v>BB0054-XL</v>
          </cell>
          <cell r="B803" t="str">
            <v>B54</v>
          </cell>
          <cell r="C803" t="str">
            <v>เยื่อไผ่ แขนสั้นขายาว ดอกไม้แดงเล็ก XL</v>
          </cell>
          <cell r="E803">
            <v>0</v>
          </cell>
          <cell r="F803">
            <v>890</v>
          </cell>
        </row>
        <row r="804">
          <cell r="A804" t="str">
            <v>BB0055-L</v>
          </cell>
          <cell r="B804" t="str">
            <v>B55</v>
          </cell>
          <cell r="C804" t="str">
            <v>เยื่อไผ่ แขนสั้นขายาว ดอกไม้แดงพื้นครีม L OverSize</v>
          </cell>
          <cell r="E804">
            <v>0</v>
          </cell>
          <cell r="F804">
            <v>890</v>
          </cell>
        </row>
        <row r="805">
          <cell r="A805" t="str">
            <v>BB0055-M</v>
          </cell>
          <cell r="B805" t="str">
            <v>B55</v>
          </cell>
          <cell r="C805" t="str">
            <v>เยื่อไผ่ แขนสั้นขายาว ดอกไม้แดงพื้นครีม M OverSize</v>
          </cell>
          <cell r="E805">
            <v>0</v>
          </cell>
          <cell r="F805">
            <v>890</v>
          </cell>
        </row>
        <row r="806">
          <cell r="A806" t="str">
            <v>BB0055-S</v>
          </cell>
          <cell r="B806" t="str">
            <v>B55</v>
          </cell>
          <cell r="C806" t="str">
            <v>เยื่อไผ่ แขนสั้นขายาว ดอกไม้แดงพื้นครีม S OverSize</v>
          </cell>
          <cell r="E806">
            <v>0</v>
          </cell>
          <cell r="F806">
            <v>890</v>
          </cell>
        </row>
        <row r="807">
          <cell r="A807" t="str">
            <v>BB0056-L</v>
          </cell>
          <cell r="B807" t="str">
            <v>B56</v>
          </cell>
          <cell r="C807" t="str">
            <v>เยื่อไผ่ แขนสั้นขายาว  ดอกไม้แดง พื้นน้ำเงิน L OverSize</v>
          </cell>
          <cell r="E807">
            <v>0</v>
          </cell>
          <cell r="F807">
            <v>890</v>
          </cell>
        </row>
        <row r="808">
          <cell r="A808" t="str">
            <v>BB0056-M</v>
          </cell>
          <cell r="B808" t="str">
            <v>B56</v>
          </cell>
          <cell r="C808" t="str">
            <v>เยื่อไผ่ แขนสั้นขายาว  ดอกไม้แดง พื้นน้ำเงิน M OverSize</v>
          </cell>
          <cell r="E808">
            <v>0</v>
          </cell>
          <cell r="F808">
            <v>890</v>
          </cell>
        </row>
        <row r="809">
          <cell r="A809" t="str">
            <v>BB0056-S</v>
          </cell>
          <cell r="B809" t="str">
            <v>B56</v>
          </cell>
          <cell r="C809" t="str">
            <v>เยื่อไผ่ แขนสั้นขายาว  ดอกไม้แดง พื้นน้ำเงิน S OverSize</v>
          </cell>
          <cell r="E809">
            <v>0</v>
          </cell>
          <cell r="F809">
            <v>890</v>
          </cell>
        </row>
        <row r="810">
          <cell r="A810" t="str">
            <v>BB0064-L</v>
          </cell>
          <cell r="B810" t="str">
            <v>B64</v>
          </cell>
          <cell r="C810" t="str">
            <v>เยื่อไผ่ แขนสั้นขายาว พื้นกรม ดอกชมพูใหญ่ L</v>
          </cell>
          <cell r="E810">
            <v>0</v>
          </cell>
          <cell r="F810">
            <v>890</v>
          </cell>
        </row>
        <row r="811">
          <cell r="A811" t="str">
            <v>BB0064-M</v>
          </cell>
          <cell r="B811" t="str">
            <v>B64</v>
          </cell>
          <cell r="C811" t="str">
            <v>เยื่อไผ่ แขนสั้นขายาว พื้นกรม ดอกชมพูใหญ่ M</v>
          </cell>
          <cell r="E811">
            <v>0</v>
          </cell>
          <cell r="F811">
            <v>890</v>
          </cell>
        </row>
        <row r="812">
          <cell r="A812" t="str">
            <v>BB0064-XL</v>
          </cell>
          <cell r="B812" t="str">
            <v>B64</v>
          </cell>
          <cell r="C812" t="str">
            <v>เยื่อไผ่ แขนสั้นขายาว พื้นกรม ดอกชมพูใหญ่ XL</v>
          </cell>
          <cell r="E812">
            <v>0</v>
          </cell>
          <cell r="F812">
            <v>890</v>
          </cell>
        </row>
        <row r="813">
          <cell r="A813" t="str">
            <v>BB0073-L</v>
          </cell>
          <cell r="B813" t="str">
            <v>B73</v>
          </cell>
          <cell r="C813" t="str">
            <v>เยื่อไผ่ แขนสั้นขายาว ดอกไม้น้ำตาล L</v>
          </cell>
          <cell r="E813">
            <v>0</v>
          </cell>
          <cell r="F813">
            <v>890</v>
          </cell>
        </row>
        <row r="814">
          <cell r="A814" t="str">
            <v>BB0073-M</v>
          </cell>
          <cell r="B814" t="str">
            <v>B73</v>
          </cell>
          <cell r="C814" t="str">
            <v>เยื่อไผ่ แขนสั้นขายาว ดอกไม้น้ำตาล M</v>
          </cell>
          <cell r="E814">
            <v>0</v>
          </cell>
          <cell r="F814">
            <v>890</v>
          </cell>
        </row>
        <row r="815">
          <cell r="A815" t="str">
            <v>BB0073-XL</v>
          </cell>
          <cell r="B815" t="str">
            <v>B73</v>
          </cell>
          <cell r="C815" t="str">
            <v>เยื่อไผ่ แขนสั้นขายาว ดอกไม้น้ำตาล XL</v>
          </cell>
          <cell r="E815">
            <v>0</v>
          </cell>
          <cell r="F815">
            <v>890</v>
          </cell>
        </row>
        <row r="816">
          <cell r="A816" t="str">
            <v>BB0074-L</v>
          </cell>
          <cell r="B816" t="str">
            <v>B74</v>
          </cell>
          <cell r="C816" t="str">
            <v>เยื่อไผ่ แขนสั้นขายาว ดอกไม้น้ำตาลพื้นชมพู L</v>
          </cell>
          <cell r="E816">
            <v>0</v>
          </cell>
          <cell r="F816">
            <v>890</v>
          </cell>
        </row>
        <row r="817">
          <cell r="A817" t="str">
            <v>BB0075-L</v>
          </cell>
          <cell r="B817" t="str">
            <v>B75</v>
          </cell>
          <cell r="C817" t="str">
            <v>เยื่อไผ่ แขนสั้นขายาว เหลืองลายดอก L</v>
          </cell>
          <cell r="E817">
            <v>0</v>
          </cell>
          <cell r="F817">
            <v>890</v>
          </cell>
        </row>
        <row r="818">
          <cell r="A818" t="str">
            <v>BB0075-M</v>
          </cell>
          <cell r="B818" t="str">
            <v>JB75</v>
          </cell>
          <cell r="C818" t="str">
            <v>เยื่อไผ่ แขนสั้นขายาว เหลืองลายดอก M ตัวโชว์</v>
          </cell>
          <cell r="E818">
            <v>0</v>
          </cell>
          <cell r="F818">
            <v>890</v>
          </cell>
        </row>
        <row r="819">
          <cell r="A819" t="str">
            <v>BB0075-XL</v>
          </cell>
          <cell r="B819" t="str">
            <v>B75</v>
          </cell>
          <cell r="C819" t="str">
            <v>เยื่อไผ่ แขนสั้นขายาว เหลืองลายดอก XL</v>
          </cell>
          <cell r="E819">
            <v>0</v>
          </cell>
          <cell r="F819">
            <v>890</v>
          </cell>
        </row>
        <row r="820">
          <cell r="A820" t="str">
            <v>BB0077-L</v>
          </cell>
          <cell r="B820" t="str">
            <v>B77</v>
          </cell>
          <cell r="C820" t="str">
            <v>เยื่อไผ่ แขนสั้นขายาว ดอกไม้ชม พื้นเหลือง L</v>
          </cell>
          <cell r="E820">
            <v>0</v>
          </cell>
          <cell r="F820">
            <v>890</v>
          </cell>
        </row>
        <row r="821">
          <cell r="A821" t="str">
            <v>BB0077-M</v>
          </cell>
          <cell r="B821" t="str">
            <v>B77</v>
          </cell>
          <cell r="C821" t="str">
            <v>เยื่อไผ่ แขนสั้นขายาว ดอกไม้ชม พื้นเหลือง M</v>
          </cell>
          <cell r="E821">
            <v>0</v>
          </cell>
          <cell r="F821">
            <v>590</v>
          </cell>
        </row>
        <row r="822">
          <cell r="A822" t="str">
            <v>BB0077-S</v>
          </cell>
          <cell r="B822" t="str">
            <v>QB77</v>
          </cell>
          <cell r="C822" t="str">
            <v>เยื่อไผ่ แขนสั้นขายาว ดอกไม้ชม พื้นเหลือง S QC</v>
          </cell>
          <cell r="E822">
            <v>0</v>
          </cell>
          <cell r="F822">
            <v>890</v>
          </cell>
        </row>
        <row r="823">
          <cell r="A823" t="str">
            <v>BB0077-XL</v>
          </cell>
          <cell r="B823" t="str">
            <v>QB77</v>
          </cell>
          <cell r="C823" t="str">
            <v>เยื่อไผ่ แขนสั้นขายาว ดอกไม้ชม พื้นเหลือง XL QC</v>
          </cell>
          <cell r="E823">
            <v>0</v>
          </cell>
          <cell r="F823">
            <v>890</v>
          </cell>
        </row>
        <row r="824">
          <cell r="A824" t="str">
            <v>BB0090-L</v>
          </cell>
          <cell r="B824" t="str">
            <v>B90</v>
          </cell>
          <cell r="C824" t="str">
            <v>เยื่อไผ่ แขนสั้นขายาว SecreSt L</v>
          </cell>
          <cell r="E824">
            <v>0</v>
          </cell>
          <cell r="F824">
            <v>890</v>
          </cell>
        </row>
        <row r="825">
          <cell r="A825" t="str">
            <v>BB0090-M</v>
          </cell>
          <cell r="B825" t="str">
            <v>B90</v>
          </cell>
          <cell r="C825" t="str">
            <v>เยื่อไผ่ แขนสั้นขายาว SecreSt M</v>
          </cell>
          <cell r="E825">
            <v>0</v>
          </cell>
          <cell r="F825">
            <v>890</v>
          </cell>
        </row>
        <row r="826">
          <cell r="A826" t="str">
            <v>BB0090-S</v>
          </cell>
          <cell r="B826" t="str">
            <v>B90</v>
          </cell>
          <cell r="C826" t="str">
            <v>เยื่อไผ่ แขนสั้นขายาว SecreSt S</v>
          </cell>
          <cell r="E826">
            <v>0</v>
          </cell>
          <cell r="F826">
            <v>890</v>
          </cell>
        </row>
        <row r="827">
          <cell r="A827" t="str">
            <v>BB0092-L</v>
          </cell>
          <cell r="B827" t="str">
            <v>B92</v>
          </cell>
          <cell r="C827" t="str">
            <v>เยื่อไผ่ แขนสั้นขายาว ดอกชบา L</v>
          </cell>
          <cell r="E827">
            <v>0</v>
          </cell>
          <cell r="F827">
            <v>890</v>
          </cell>
        </row>
        <row r="828">
          <cell r="A828" t="str">
            <v>BB0092-M</v>
          </cell>
          <cell r="B828" t="str">
            <v>B92</v>
          </cell>
          <cell r="C828" t="str">
            <v>เยื่อไผ่ แขนสั้นขายาว ดอกชบา M</v>
          </cell>
          <cell r="E828">
            <v>0</v>
          </cell>
          <cell r="F828">
            <v>890</v>
          </cell>
        </row>
        <row r="829">
          <cell r="A829" t="str">
            <v>BB0092-XL</v>
          </cell>
          <cell r="B829" t="str">
            <v>B92</v>
          </cell>
          <cell r="C829" t="str">
            <v>เยื่อไผ่ แขนสั้นขายาว ดอกชบา XL</v>
          </cell>
          <cell r="E829">
            <v>0</v>
          </cell>
          <cell r="F829">
            <v>890</v>
          </cell>
        </row>
        <row r="830">
          <cell r="A830" t="str">
            <v>BB0093-L</v>
          </cell>
          <cell r="B830" t="str">
            <v>B93</v>
          </cell>
          <cell r="C830" t="str">
            <v>เยื่อไผ่ แขนสั้นขายาว ชบาขาว พื้นฟ้า L</v>
          </cell>
          <cell r="E830">
            <v>0</v>
          </cell>
          <cell r="F830">
            <v>890</v>
          </cell>
        </row>
        <row r="831">
          <cell r="A831" t="str">
            <v>BB0093-XL</v>
          </cell>
          <cell r="B831" t="str">
            <v>B93</v>
          </cell>
          <cell r="C831" t="str">
            <v>เยื่อไผ่ แขนสั้นขายาว ชบาขาว พื้นฟ้า XL</v>
          </cell>
          <cell r="E831">
            <v>0</v>
          </cell>
          <cell r="F831">
            <v>890</v>
          </cell>
        </row>
        <row r="832">
          <cell r="A832" t="str">
            <v>BB0094-L</v>
          </cell>
          <cell r="B832" t="str">
            <v>B94</v>
          </cell>
          <cell r="C832" t="str">
            <v>เยื่อไผ่ แขนสั้นขายาว ชบาชมพูใหญ่พื้นขาว L</v>
          </cell>
          <cell r="E832">
            <v>0</v>
          </cell>
          <cell r="F832">
            <v>890</v>
          </cell>
        </row>
        <row r="833">
          <cell r="A833" t="str">
            <v>BB0094-M</v>
          </cell>
          <cell r="B833" t="str">
            <v>B94</v>
          </cell>
          <cell r="C833" t="str">
            <v>เยื่อไผ่ แขนสั้นขายาว ชบาชมพูใหญ่พื้นขาว M</v>
          </cell>
          <cell r="E833">
            <v>0</v>
          </cell>
          <cell r="F833">
            <v>890</v>
          </cell>
        </row>
        <row r="834">
          <cell r="A834" t="str">
            <v>BB0098-L</v>
          </cell>
          <cell r="B834" t="str">
            <v>B98</v>
          </cell>
          <cell r="C834" t="str">
            <v>เยื่อไผ่ แขนสั้นขายาว โบตั๋น NEW L</v>
          </cell>
          <cell r="E834">
            <v>0</v>
          </cell>
          <cell r="F834">
            <v>890</v>
          </cell>
        </row>
        <row r="835">
          <cell r="A835" t="str">
            <v>BB0098-M</v>
          </cell>
          <cell r="B835" t="str">
            <v>B98</v>
          </cell>
          <cell r="C835" t="str">
            <v>เยื่อไผ่ แขนสั้นขายาว โบตั๋นNEW-M</v>
          </cell>
          <cell r="E835">
            <v>0</v>
          </cell>
          <cell r="F835">
            <v>890</v>
          </cell>
        </row>
        <row r="836">
          <cell r="A836" t="str">
            <v>BB0098-S</v>
          </cell>
          <cell r="B836" t="str">
            <v>B98</v>
          </cell>
          <cell r="C836" t="str">
            <v>เยื่อไผ่ แขนสั้นขายาว โบตั๋น NEW S</v>
          </cell>
          <cell r="E836">
            <v>0</v>
          </cell>
          <cell r="F836">
            <v>890</v>
          </cell>
        </row>
        <row r="837">
          <cell r="A837" t="str">
            <v>BB0098-XL</v>
          </cell>
          <cell r="B837" t="str">
            <v>B98</v>
          </cell>
          <cell r="C837" t="str">
            <v>เยื่อไผ่ แขนสั้นขายาว โบตั๋น NEW XL</v>
          </cell>
          <cell r="E837">
            <v>0</v>
          </cell>
          <cell r="F837">
            <v>890</v>
          </cell>
        </row>
        <row r="838">
          <cell r="A838" t="str">
            <v>BB0099-L</v>
          </cell>
          <cell r="B838" t="str">
            <v>B99</v>
          </cell>
          <cell r="C838" t="str">
            <v>เยื่อไผ่ แขนสั้นขายาว โบตั๋น ฟ้า L</v>
          </cell>
          <cell r="E838">
            <v>0</v>
          </cell>
          <cell r="F838">
            <v>890</v>
          </cell>
        </row>
        <row r="839">
          <cell r="A839" t="str">
            <v>BB0099-M</v>
          </cell>
          <cell r="B839" t="str">
            <v>B99</v>
          </cell>
          <cell r="C839" t="str">
            <v>เยื่อไผ่ แขนสั้นขายาว โบตั๋น ฟ้า M</v>
          </cell>
          <cell r="E839">
            <v>0</v>
          </cell>
          <cell r="F839">
            <v>890</v>
          </cell>
        </row>
        <row r="840">
          <cell r="A840" t="str">
            <v>BB0099-XL</v>
          </cell>
          <cell r="B840" t="str">
            <v>B99</v>
          </cell>
          <cell r="C840" t="str">
            <v>เยื่อไผ่ แขนสั้นขายาว โบตั๋น ฟ้า XL</v>
          </cell>
          <cell r="E840">
            <v>0</v>
          </cell>
          <cell r="F840">
            <v>890</v>
          </cell>
        </row>
        <row r="841">
          <cell r="A841" t="str">
            <v>BB0100-L</v>
          </cell>
          <cell r="B841" t="str">
            <v>B100</v>
          </cell>
          <cell r="C841" t="str">
            <v>เยื่อไผ่ แขนสั้นขายาว โบตั๋นมิ้น L</v>
          </cell>
          <cell r="E841">
            <v>0</v>
          </cell>
          <cell r="F841">
            <v>890</v>
          </cell>
        </row>
        <row r="842">
          <cell r="A842" t="str">
            <v>BB0100-M</v>
          </cell>
          <cell r="B842" t="str">
            <v>B100</v>
          </cell>
          <cell r="C842" t="str">
            <v>เยื่อไผ่ แขนสั้นขายาว โบตั๋นมิ้น M</v>
          </cell>
          <cell r="E842">
            <v>0</v>
          </cell>
          <cell r="F842">
            <v>890</v>
          </cell>
        </row>
        <row r="843">
          <cell r="A843" t="str">
            <v>BB0100-XL</v>
          </cell>
          <cell r="B843" t="str">
            <v>B100</v>
          </cell>
          <cell r="C843" t="str">
            <v>เยื่อไผ่ แขนสั้นขายาว โบตั๋นมิ้น XL</v>
          </cell>
          <cell r="E843">
            <v>0</v>
          </cell>
          <cell r="F843">
            <v>890</v>
          </cell>
        </row>
        <row r="844">
          <cell r="A844" t="str">
            <v>BB0101-L</v>
          </cell>
          <cell r="B844" t="str">
            <v>B101</v>
          </cell>
          <cell r="C844" t="str">
            <v>เยื่อไผ่ แขนสั้นขายาว โบตั๋นเหลือง L</v>
          </cell>
          <cell r="E844">
            <v>0</v>
          </cell>
          <cell r="F844">
            <v>890</v>
          </cell>
        </row>
        <row r="845">
          <cell r="A845" t="str">
            <v>BB0101-M</v>
          </cell>
          <cell r="B845" t="str">
            <v>B101</v>
          </cell>
          <cell r="C845" t="str">
            <v>เยื่อไผ่ แขนสั้นขายาว โบตั๋นเหลือง M</v>
          </cell>
          <cell r="E845">
            <v>0</v>
          </cell>
          <cell r="F845">
            <v>890</v>
          </cell>
        </row>
        <row r="846">
          <cell r="A846" t="str">
            <v>BB0101-XL</v>
          </cell>
          <cell r="B846" t="str">
            <v>B101</v>
          </cell>
          <cell r="C846" t="str">
            <v>เยื่อไผ่ แขนสั้นขายาว โบตั๋นเหลือง XL</v>
          </cell>
          <cell r="E846">
            <v>0</v>
          </cell>
          <cell r="F846">
            <v>890</v>
          </cell>
        </row>
        <row r="847">
          <cell r="A847" t="str">
            <v>BB0102-L</v>
          </cell>
          <cell r="B847" t="str">
            <v>B102</v>
          </cell>
          <cell r="C847" t="str">
            <v>เยื่อไผ่ แขนสั้นขายาว โบตั๋นชมพู L</v>
          </cell>
          <cell r="E847">
            <v>0</v>
          </cell>
          <cell r="F847">
            <v>890</v>
          </cell>
        </row>
        <row r="848">
          <cell r="A848" t="str">
            <v>BB0102-M</v>
          </cell>
          <cell r="B848" t="str">
            <v>B102</v>
          </cell>
          <cell r="C848" t="str">
            <v>เยื่อไผ่ แขนสั้นขายาว โบตั๋นชมพู M</v>
          </cell>
          <cell r="E848">
            <v>0</v>
          </cell>
          <cell r="F848">
            <v>890</v>
          </cell>
        </row>
        <row r="849">
          <cell r="A849" t="str">
            <v>BB0102-XL</v>
          </cell>
          <cell r="B849" t="str">
            <v>B102</v>
          </cell>
          <cell r="C849" t="str">
            <v>เยื่อไผ่ แขนสั้นขายาว โบตั๋นชมพู XL</v>
          </cell>
          <cell r="E849">
            <v>0</v>
          </cell>
          <cell r="F849">
            <v>890</v>
          </cell>
        </row>
        <row r="850">
          <cell r="A850" t="str">
            <v>BB0103-L</v>
          </cell>
          <cell r="B850" t="str">
            <v>B103</v>
          </cell>
          <cell r="C850" t="str">
            <v>เยื่อไผ่ แขนสั้นขายาว ดอกทิวลิป พื้นฟ้า L</v>
          </cell>
          <cell r="E850">
            <v>0</v>
          </cell>
          <cell r="F850">
            <v>890</v>
          </cell>
        </row>
        <row r="851">
          <cell r="A851" t="str">
            <v>BB0103-M</v>
          </cell>
          <cell r="B851" t="str">
            <v>B103</v>
          </cell>
          <cell r="C851" t="str">
            <v>เยื่อไผ่ แขนสั้นขายาว ดอกทิวลิป พื้นฟ้า M</v>
          </cell>
          <cell r="E851">
            <v>0</v>
          </cell>
          <cell r="F851">
            <v>890</v>
          </cell>
        </row>
        <row r="852">
          <cell r="A852" t="str">
            <v>BB0103-S</v>
          </cell>
          <cell r="B852" t="str">
            <v>B103</v>
          </cell>
          <cell r="C852" t="str">
            <v>เยื่อไผ่ แขนสั้นขายาว ดอกทิวลิป พื้นฟ้า S</v>
          </cell>
          <cell r="E852">
            <v>0</v>
          </cell>
          <cell r="F852">
            <v>890</v>
          </cell>
        </row>
        <row r="853">
          <cell r="A853" t="str">
            <v>BB0103-XL</v>
          </cell>
          <cell r="B853" t="str">
            <v>B103</v>
          </cell>
          <cell r="C853" t="str">
            <v>เยื่อไผ่ แขนสั้นขายาว ดอกทิวลิป พื้นฟ้า XL</v>
          </cell>
          <cell r="E853">
            <v>0</v>
          </cell>
          <cell r="F853">
            <v>890</v>
          </cell>
        </row>
        <row r="854">
          <cell r="A854" t="str">
            <v>BB0106-L</v>
          </cell>
          <cell r="B854" t="str">
            <v>B106</v>
          </cell>
          <cell r="C854" t="str">
            <v>เยื่อไผ่ แขนสั้นขายาว TropicaL พีช L</v>
          </cell>
          <cell r="E854">
            <v>0</v>
          </cell>
          <cell r="F854">
            <v>890</v>
          </cell>
        </row>
        <row r="855">
          <cell r="A855" t="str">
            <v>BB0106-M</v>
          </cell>
          <cell r="B855" t="str">
            <v>JB106</v>
          </cell>
          <cell r="C855" t="str">
            <v>เยื่อไผ่ แขนสั้นขายาว TropicaL พีช M ตัวโชว์</v>
          </cell>
          <cell r="E855">
            <v>0</v>
          </cell>
          <cell r="F855">
            <v>890</v>
          </cell>
        </row>
        <row r="856">
          <cell r="A856" t="str">
            <v>BB0106-XL</v>
          </cell>
          <cell r="B856" t="str">
            <v>B106</v>
          </cell>
          <cell r="C856" t="str">
            <v>เยื่อไผ่ แขนสั้นขายาว TropicaL พีช XL</v>
          </cell>
          <cell r="E856">
            <v>0</v>
          </cell>
          <cell r="F856">
            <v>890</v>
          </cell>
        </row>
        <row r="857">
          <cell r="A857" t="str">
            <v>BB0107-L</v>
          </cell>
          <cell r="B857" t="str">
            <v>B107</v>
          </cell>
          <cell r="C857" t="str">
            <v>เยื่อไผ่ แขนสั้นขายาว พีชใหญ่ พื้นชมพู L OverSize</v>
          </cell>
          <cell r="E857">
            <v>0</v>
          </cell>
          <cell r="F857">
            <v>890</v>
          </cell>
        </row>
        <row r="858">
          <cell r="A858" t="str">
            <v>BB0107-M</v>
          </cell>
          <cell r="B858" t="str">
            <v>B107</v>
          </cell>
          <cell r="C858" t="str">
            <v>เยื่อไผ่ แขนสั้นขายาว พีชใหญ่ พื้นชมพู M OverSize</v>
          </cell>
          <cell r="E858">
            <v>0</v>
          </cell>
          <cell r="F858">
            <v>890</v>
          </cell>
        </row>
        <row r="859">
          <cell r="A859" t="str">
            <v>BB0107-S</v>
          </cell>
          <cell r="B859" t="str">
            <v>B107</v>
          </cell>
          <cell r="C859" t="str">
            <v>เยื่อไผ่ แขนสั้นขายาว พีชใหญ่ พื้นชมพู S OverSize</v>
          </cell>
          <cell r="E859">
            <v>0</v>
          </cell>
          <cell r="F859">
            <v>890</v>
          </cell>
        </row>
        <row r="860">
          <cell r="A860" t="str">
            <v>BB0117-L</v>
          </cell>
          <cell r="B860" t="str">
            <v>B117</v>
          </cell>
          <cell r="C860" t="str">
            <v>เยื่อไผ่ แขนสั้นขายาว ลายทางพาสเทล L</v>
          </cell>
          <cell r="E860">
            <v>0</v>
          </cell>
          <cell r="F860">
            <v>890</v>
          </cell>
        </row>
        <row r="861">
          <cell r="A861" t="str">
            <v>BB0117-M</v>
          </cell>
          <cell r="B861" t="str">
            <v>B117</v>
          </cell>
          <cell r="C861" t="str">
            <v>เยื่อไผ่ แขนสั้นขายาว ลายทางพาสเทล M</v>
          </cell>
          <cell r="E861">
            <v>0</v>
          </cell>
          <cell r="F861">
            <v>890</v>
          </cell>
        </row>
        <row r="862">
          <cell r="A862" t="str">
            <v>BB0117-S</v>
          </cell>
          <cell r="B862" t="str">
            <v>B117</v>
          </cell>
          <cell r="C862" t="str">
            <v>เยื่อไผ่ แขนสั้นขายาว ลายทางพาสเทล S</v>
          </cell>
          <cell r="E862">
            <v>0</v>
          </cell>
          <cell r="F862">
            <v>890</v>
          </cell>
        </row>
        <row r="863">
          <cell r="A863" t="str">
            <v>BB0117-XL</v>
          </cell>
          <cell r="B863" t="str">
            <v>B117</v>
          </cell>
          <cell r="C863" t="str">
            <v>เยื่อไผ่ แขนสั้นขายาว ลายทางพาสเทล XL</v>
          </cell>
          <cell r="E863">
            <v>0</v>
          </cell>
          <cell r="F863">
            <v>890</v>
          </cell>
        </row>
        <row r="864">
          <cell r="A864" t="str">
            <v>BB0118-L</v>
          </cell>
          <cell r="B864" t="str">
            <v>QB118</v>
          </cell>
          <cell r="C864" t="str">
            <v>เยื่อไผ่ แขนสั้นขายาว ลายทางเขียว L QC</v>
          </cell>
          <cell r="E864">
            <v>0</v>
          </cell>
          <cell r="F864">
            <v>890</v>
          </cell>
        </row>
        <row r="865">
          <cell r="A865" t="str">
            <v>BB0118-M</v>
          </cell>
          <cell r="B865" t="str">
            <v>BB118</v>
          </cell>
          <cell r="C865" t="str">
            <v>เยื่อไผ่ แขนสั้นขายาว ลายทางเขียว M</v>
          </cell>
          <cell r="E865">
            <v>0</v>
          </cell>
          <cell r="F865">
            <v>890</v>
          </cell>
        </row>
        <row r="866">
          <cell r="A866" t="str">
            <v>BB0118-S</v>
          </cell>
          <cell r="B866" t="str">
            <v>B118</v>
          </cell>
          <cell r="C866" t="str">
            <v>เยื่อไผ่ แขนสั้นขายาว ลายทางเขียว S</v>
          </cell>
          <cell r="E866">
            <v>0</v>
          </cell>
          <cell r="F866">
            <v>890</v>
          </cell>
        </row>
        <row r="867">
          <cell r="A867" t="str">
            <v>BB0118-XL</v>
          </cell>
          <cell r="B867" t="str">
            <v>B118</v>
          </cell>
          <cell r="C867" t="str">
            <v>เยื่อไผ่ แขนสั้นขายาว ลายทางเขียว XL</v>
          </cell>
          <cell r="E867">
            <v>0</v>
          </cell>
          <cell r="F867">
            <v>890</v>
          </cell>
        </row>
        <row r="868">
          <cell r="A868" t="str">
            <v>BB0119-2XL</v>
          </cell>
          <cell r="B868" t="str">
            <v>JB119</v>
          </cell>
          <cell r="C868" t="str">
            <v>เยื่อไผ่ แขนสั้นขายาว ตารางดำขาว 2XL ตัวโชว์</v>
          </cell>
          <cell r="E868">
            <v>0</v>
          </cell>
          <cell r="F868">
            <v>890</v>
          </cell>
        </row>
        <row r="869">
          <cell r="A869" t="str">
            <v>BB0119-L</v>
          </cell>
          <cell r="B869" t="str">
            <v>JB119</v>
          </cell>
          <cell r="C869" t="str">
            <v>เยื่อไผ่ แขนสั้นขายาว ตารางดำขาว L ตัวโชว์</v>
          </cell>
          <cell r="E869">
            <v>0</v>
          </cell>
          <cell r="F869">
            <v>890</v>
          </cell>
        </row>
        <row r="870">
          <cell r="A870" t="str">
            <v>BB0119-M</v>
          </cell>
          <cell r="B870" t="str">
            <v>JB119</v>
          </cell>
          <cell r="C870" t="str">
            <v>เยื่อไผ่ แขนสั้นขายาว ตารางดำขาว M ตัวโชว์</v>
          </cell>
          <cell r="E870">
            <v>0</v>
          </cell>
          <cell r="F870">
            <v>890</v>
          </cell>
        </row>
        <row r="871">
          <cell r="A871" t="str">
            <v>BB0119-XL</v>
          </cell>
          <cell r="B871" t="str">
            <v>JB119</v>
          </cell>
          <cell r="C871" t="str">
            <v>เยื่อไผ่ แขนสั้นขายาว ตารางดำขาว XL ตัวโชว์</v>
          </cell>
          <cell r="E871">
            <v>0</v>
          </cell>
          <cell r="F871">
            <v>890</v>
          </cell>
        </row>
        <row r="872">
          <cell r="A872" t="str">
            <v>BB0120-M</v>
          </cell>
          <cell r="B872" t="str">
            <v>B120</v>
          </cell>
          <cell r="C872" t="str">
            <v>เยื่อไผ่ แขนสั้นขายาว ลายจุดเล็ก M</v>
          </cell>
          <cell r="E872">
            <v>0</v>
          </cell>
          <cell r="F872">
            <v>890</v>
          </cell>
        </row>
        <row r="873">
          <cell r="A873" t="str">
            <v>BB0120-S</v>
          </cell>
          <cell r="B873" t="str">
            <v>B120</v>
          </cell>
          <cell r="C873" t="str">
            <v>เยื่อไผ่ แขนสั้นขายาว ลายจุดเล็ก S</v>
          </cell>
          <cell r="E873">
            <v>0</v>
          </cell>
          <cell r="F873">
            <v>890</v>
          </cell>
        </row>
        <row r="874">
          <cell r="A874" t="str">
            <v>BB0121-L</v>
          </cell>
          <cell r="B874" t="str">
            <v>B121</v>
          </cell>
          <cell r="C874" t="str">
            <v>เยื่อไผ่ แขนสั้นขายาว TropicaL ลายจุด L</v>
          </cell>
          <cell r="E874">
            <v>0</v>
          </cell>
          <cell r="F874">
            <v>890</v>
          </cell>
        </row>
        <row r="875">
          <cell r="A875" t="str">
            <v>BB0121-M</v>
          </cell>
          <cell r="B875" t="str">
            <v>B121</v>
          </cell>
          <cell r="C875" t="str">
            <v>เยื่อไผ่ แขนสั้นขายาว TropicaL ลายจุด M</v>
          </cell>
          <cell r="E875">
            <v>0</v>
          </cell>
          <cell r="F875">
            <v>890</v>
          </cell>
        </row>
        <row r="876">
          <cell r="A876" t="str">
            <v>BB0121-S</v>
          </cell>
          <cell r="B876" t="str">
            <v>B121</v>
          </cell>
          <cell r="C876" t="str">
            <v>เยื่อไผ่ แขนสั้นขายาว TropicaL ลายจุด S</v>
          </cell>
          <cell r="E876">
            <v>0</v>
          </cell>
          <cell r="F876">
            <v>890</v>
          </cell>
        </row>
        <row r="877">
          <cell r="A877" t="str">
            <v>BB0121-XL</v>
          </cell>
          <cell r="B877" t="str">
            <v>B121</v>
          </cell>
          <cell r="C877" t="str">
            <v>เยื่อไผ่ แขนสั้นขายาว TropicaL ลายจุด XL</v>
          </cell>
          <cell r="E877">
            <v>0</v>
          </cell>
          <cell r="F877">
            <v>890</v>
          </cell>
        </row>
        <row r="878">
          <cell r="A878" t="str">
            <v>BB0127-L</v>
          </cell>
          <cell r="B878" t="str">
            <v>B127</v>
          </cell>
          <cell r="C878" t="str">
            <v>เยื่อไผ่ แขนสั้นขายาว เสื้อขาวกางเกงขาวจุดฟ้า L OverSize</v>
          </cell>
          <cell r="E878">
            <v>0</v>
          </cell>
          <cell r="F878">
            <v>890</v>
          </cell>
        </row>
        <row r="879">
          <cell r="A879" t="str">
            <v>BB0127-M</v>
          </cell>
          <cell r="B879" t="str">
            <v>B127</v>
          </cell>
          <cell r="C879" t="str">
            <v>เยื่อไผ่ แขนสั้นขายาว เสื้อขาว กางเกงขาวจุดฟ้า M OverSize</v>
          </cell>
          <cell r="E879">
            <v>0</v>
          </cell>
          <cell r="F879">
            <v>890</v>
          </cell>
        </row>
        <row r="880">
          <cell r="A880" t="str">
            <v>BB0127-S</v>
          </cell>
          <cell r="B880" t="str">
            <v>B127</v>
          </cell>
          <cell r="C880" t="str">
            <v>เยื่อไผ่ แขนสั้นขายาว เสื้อขาว กางเกงขาวจุดฟ้า S OverSize</v>
          </cell>
          <cell r="E880">
            <v>0</v>
          </cell>
          <cell r="F880">
            <v>890</v>
          </cell>
        </row>
        <row r="881">
          <cell r="A881" t="str">
            <v>BB0129-L</v>
          </cell>
          <cell r="B881" t="str">
            <v>B129</v>
          </cell>
          <cell r="C881" t="str">
            <v>เยื่อไผ่ แขนสั้นขายาว นู้ด จุดน้ำเงินเหลือ L</v>
          </cell>
          <cell r="E881">
            <v>0</v>
          </cell>
          <cell r="F881">
            <v>890</v>
          </cell>
        </row>
        <row r="882">
          <cell r="A882" t="str">
            <v>BB0129-M</v>
          </cell>
          <cell r="B882" t="str">
            <v>B129</v>
          </cell>
          <cell r="C882" t="str">
            <v>เยื่อไผ่ แขนสั้นขายาว นู้ด จุดน้ำเงินเหลือ M</v>
          </cell>
          <cell r="E882">
            <v>0</v>
          </cell>
          <cell r="F882">
            <v>890</v>
          </cell>
        </row>
        <row r="883">
          <cell r="A883" t="str">
            <v>BB0129-XL</v>
          </cell>
          <cell r="B883" t="str">
            <v>B129</v>
          </cell>
          <cell r="C883" t="str">
            <v>เยื่อไผ่ แขนสั้นขายาว นู้ด จุดน้ำเงินเหลือ XL</v>
          </cell>
          <cell r="E883">
            <v>0</v>
          </cell>
          <cell r="F883">
            <v>890</v>
          </cell>
        </row>
        <row r="884">
          <cell r="A884" t="str">
            <v>BB0130-L</v>
          </cell>
          <cell r="B884" t="str">
            <v>B130</v>
          </cell>
          <cell r="C884" t="str">
            <v>เยื่อไผ่ แขนสั้นขายาว Map L</v>
          </cell>
          <cell r="E884">
            <v>0</v>
          </cell>
          <cell r="F884">
            <v>890</v>
          </cell>
        </row>
        <row r="885">
          <cell r="A885" t="str">
            <v>BB0130-M</v>
          </cell>
          <cell r="B885" t="str">
            <v>B130</v>
          </cell>
          <cell r="C885" t="str">
            <v>เยื่อไผ่ แขนสั้นขายาว Map M</v>
          </cell>
          <cell r="E885">
            <v>0</v>
          </cell>
          <cell r="F885">
            <v>890</v>
          </cell>
        </row>
        <row r="886">
          <cell r="A886" t="str">
            <v>BB0130-S</v>
          </cell>
          <cell r="B886" t="str">
            <v>B130</v>
          </cell>
          <cell r="C886" t="str">
            <v>เยื่อไผ่ แขนสั้นขายาว Map S</v>
          </cell>
          <cell r="E886">
            <v>0</v>
          </cell>
          <cell r="F886">
            <v>890</v>
          </cell>
        </row>
        <row r="887">
          <cell r="A887" t="str">
            <v>BB0133-L</v>
          </cell>
          <cell r="B887" t="str">
            <v>B133</v>
          </cell>
          <cell r="C887" t="str">
            <v>เยื่อไผ่ แขนสั้นขายาว ดาว สีฟ้า L</v>
          </cell>
          <cell r="E887">
            <v>0</v>
          </cell>
          <cell r="F887">
            <v>890</v>
          </cell>
        </row>
        <row r="888">
          <cell r="A888" t="str">
            <v>BB0133-M</v>
          </cell>
          <cell r="B888" t="str">
            <v>B133</v>
          </cell>
          <cell r="C888" t="str">
            <v>เยื่อไผ่ แขนสั้นขายาว ดาว สีฟ้า M</v>
          </cell>
          <cell r="E888">
            <v>0</v>
          </cell>
          <cell r="F888">
            <v>890</v>
          </cell>
        </row>
        <row r="889">
          <cell r="A889" t="str">
            <v>BB0133-S</v>
          </cell>
          <cell r="B889" t="str">
            <v>B133</v>
          </cell>
          <cell r="C889" t="str">
            <v>เยื่อไผ่ แขนสั้นขายาว ดาว สีฟ้า S</v>
          </cell>
          <cell r="E889">
            <v>0</v>
          </cell>
          <cell r="F889">
            <v>890</v>
          </cell>
        </row>
        <row r="890">
          <cell r="A890" t="str">
            <v>BB0133-XL</v>
          </cell>
          <cell r="B890" t="str">
            <v>B133</v>
          </cell>
          <cell r="C890" t="str">
            <v>เยื่อไผ่ แขนสั้นขายาว ดาว สีฟ้า XL</v>
          </cell>
          <cell r="E890">
            <v>0</v>
          </cell>
          <cell r="F890">
            <v>890</v>
          </cell>
        </row>
        <row r="891">
          <cell r="A891" t="str">
            <v>BB0134-L</v>
          </cell>
          <cell r="B891" t="str">
            <v>B134</v>
          </cell>
          <cell r="C891" t="str">
            <v>เยื่อไผ่ แขนสั้นขายาว หมีการ์ตูน ชมพู L</v>
          </cell>
          <cell r="E891">
            <v>0</v>
          </cell>
          <cell r="F891">
            <v>890</v>
          </cell>
        </row>
        <row r="892">
          <cell r="A892" t="str">
            <v>BB0134-M</v>
          </cell>
          <cell r="B892" t="str">
            <v>JB134</v>
          </cell>
          <cell r="C892" t="str">
            <v>เยื่อไผ่ แขนสั้นขายาว หมีการ์ตูน ชมพู M ตัวโชว์</v>
          </cell>
          <cell r="E892">
            <v>0</v>
          </cell>
          <cell r="F892">
            <v>890</v>
          </cell>
        </row>
        <row r="893">
          <cell r="A893" t="str">
            <v>BB0134-XL</v>
          </cell>
          <cell r="B893" t="str">
            <v>B134</v>
          </cell>
          <cell r="C893" t="str">
            <v>เยื่อไผ่ แขนสั้นขายาว หมีการ์ตูน ชมพู XL</v>
          </cell>
          <cell r="E893">
            <v>0</v>
          </cell>
          <cell r="F893">
            <v>890</v>
          </cell>
        </row>
        <row r="894">
          <cell r="A894" t="str">
            <v>BB0135-L</v>
          </cell>
          <cell r="B894" t="str">
            <v>B135</v>
          </cell>
          <cell r="C894" t="str">
            <v>เยื่อไผ่แขนสั้นขายาว ลายอาร์ทพาสเทล L</v>
          </cell>
          <cell r="E894">
            <v>0</v>
          </cell>
          <cell r="F894">
            <v>890</v>
          </cell>
        </row>
        <row r="895">
          <cell r="A895" t="str">
            <v>BB0135-M</v>
          </cell>
          <cell r="B895" t="str">
            <v>B135</v>
          </cell>
          <cell r="C895" t="str">
            <v>เยื่อไผ่ แขนสั้นขายาว ลายอาร์ทพาสเทล M</v>
          </cell>
          <cell r="E895">
            <v>0</v>
          </cell>
          <cell r="F895">
            <v>890</v>
          </cell>
        </row>
        <row r="896">
          <cell r="A896" t="str">
            <v>BB0135-S</v>
          </cell>
          <cell r="B896" t="str">
            <v>B135</v>
          </cell>
          <cell r="C896" t="str">
            <v>เยื่อไผ่แขนสั้นขายาว ลายอาร์ทพาสเทล S</v>
          </cell>
          <cell r="E896">
            <v>0</v>
          </cell>
          <cell r="F896">
            <v>890</v>
          </cell>
        </row>
        <row r="897">
          <cell r="A897" t="str">
            <v>BB0135-XL</v>
          </cell>
          <cell r="B897" t="str">
            <v>B135</v>
          </cell>
          <cell r="C897" t="str">
            <v>เยื่อไผ่แขนสั้นขายาว ลายอาร์ทพาสเทล XL</v>
          </cell>
          <cell r="E897">
            <v>0</v>
          </cell>
          <cell r="F897">
            <v>890</v>
          </cell>
        </row>
        <row r="898">
          <cell r="A898" t="str">
            <v>BB0136-L</v>
          </cell>
          <cell r="B898" t="str">
            <v>B136</v>
          </cell>
          <cell r="C898" t="str">
            <v>เยื่อไผ่ แขนสั้นขายาว การ์ตูนผู้หญิงผมส้ม พื้นชมพู L OverSize</v>
          </cell>
          <cell r="E898">
            <v>0</v>
          </cell>
          <cell r="F898">
            <v>890</v>
          </cell>
        </row>
        <row r="899">
          <cell r="A899" t="str">
            <v>BB0136-M</v>
          </cell>
          <cell r="B899" t="str">
            <v>B136</v>
          </cell>
          <cell r="C899" t="str">
            <v>เยื่อไผ่ แขนสั้นขายาว การ์ตูนผู้หญิงผมส้ม พื้นชมพู M OverSize</v>
          </cell>
          <cell r="E899">
            <v>0</v>
          </cell>
          <cell r="F899">
            <v>890</v>
          </cell>
        </row>
        <row r="900">
          <cell r="A900" t="str">
            <v>BB0136-S</v>
          </cell>
          <cell r="B900" t="str">
            <v>B136</v>
          </cell>
          <cell r="C900" t="str">
            <v>เยื่อไผ่ แขนสั้นขายาว การ์ตูนผู้หญิงผมส้ม พื้นชมพู S OverSize</v>
          </cell>
          <cell r="E900">
            <v>0</v>
          </cell>
          <cell r="F900">
            <v>890</v>
          </cell>
        </row>
        <row r="901">
          <cell r="A901" t="str">
            <v>BB0141-L</v>
          </cell>
          <cell r="B901" t="str">
            <v>B141</v>
          </cell>
          <cell r="C901" t="str">
            <v>เยื่อไผ่ แขนสั้นขายาว คอวี ฮาวายเหลือง L</v>
          </cell>
          <cell r="E901">
            <v>0</v>
          </cell>
          <cell r="F901">
            <v>890</v>
          </cell>
        </row>
        <row r="902">
          <cell r="A902" t="str">
            <v>BB0141-M</v>
          </cell>
          <cell r="B902" t="str">
            <v>B141</v>
          </cell>
          <cell r="C902" t="str">
            <v>เยื่อไผ่ แขนสั้นขายาว คอวี ฮาวายเหลือง M</v>
          </cell>
          <cell r="E902">
            <v>0</v>
          </cell>
          <cell r="F902">
            <v>890</v>
          </cell>
        </row>
        <row r="903">
          <cell r="A903" t="str">
            <v>BB0141-S</v>
          </cell>
          <cell r="B903" t="str">
            <v>B141</v>
          </cell>
          <cell r="C903" t="str">
            <v>เยื่อไผ่ แขนสั้นขายาว คอวี ฮาวายเหลือง S</v>
          </cell>
          <cell r="E903">
            <v>0</v>
          </cell>
          <cell r="F903">
            <v>890</v>
          </cell>
        </row>
        <row r="904">
          <cell r="A904" t="str">
            <v>BB0143-L</v>
          </cell>
          <cell r="B904" t="str">
            <v>B143</v>
          </cell>
          <cell r="C904" t="str">
            <v>เยื่อไผ่ แขนสั้นขายาว คอวีดอกไม้ สีโอรส L</v>
          </cell>
          <cell r="E904">
            <v>0</v>
          </cell>
          <cell r="F904">
            <v>890</v>
          </cell>
        </row>
        <row r="905">
          <cell r="A905" t="str">
            <v>BB0143-M</v>
          </cell>
          <cell r="B905" t="str">
            <v>B143</v>
          </cell>
          <cell r="C905" t="str">
            <v>เยื่อไผ่ แขนสั้นขายาว คอวี ดอกไม้ สีโอรส M</v>
          </cell>
          <cell r="E905">
            <v>0</v>
          </cell>
          <cell r="F905">
            <v>890</v>
          </cell>
        </row>
        <row r="906">
          <cell r="A906" t="str">
            <v>BB0143-S</v>
          </cell>
          <cell r="B906" t="str">
            <v>B143</v>
          </cell>
          <cell r="C906" t="str">
            <v>เยื่อไผ่ แขนสั้นขายาว คอวี ดอกไม้ สีโอรส S</v>
          </cell>
          <cell r="E906">
            <v>0</v>
          </cell>
          <cell r="F906">
            <v>890</v>
          </cell>
        </row>
        <row r="907">
          <cell r="A907" t="str">
            <v>BB0144-L</v>
          </cell>
          <cell r="B907" t="str">
            <v>B144</v>
          </cell>
          <cell r="C907" t="str">
            <v>เยื่อไผ่ แขนสั้นขายาว คอวี แขนระบายสีเหลือง ดอกไม้ L</v>
          </cell>
          <cell r="E907">
            <v>0</v>
          </cell>
          <cell r="F907">
            <v>890</v>
          </cell>
        </row>
        <row r="908">
          <cell r="A908" t="str">
            <v>BB0144-M</v>
          </cell>
          <cell r="B908" t="str">
            <v>B144</v>
          </cell>
          <cell r="C908" t="str">
            <v>เยื่อไผ่ แขนสั้นขายาว คอวี แขนระบายสีเหลือง ดอกไม้ M</v>
          </cell>
          <cell r="E908">
            <v>0</v>
          </cell>
          <cell r="F908">
            <v>890</v>
          </cell>
        </row>
        <row r="909">
          <cell r="A909" t="str">
            <v>BB0144-S</v>
          </cell>
          <cell r="B909" t="str">
            <v>B144</v>
          </cell>
          <cell r="C909" t="str">
            <v>เยื่อไผ่ แขนสั้นขายาว คอวี แขนระบายสีเหลือง ดอกไม้ S</v>
          </cell>
          <cell r="E909">
            <v>0</v>
          </cell>
          <cell r="F909">
            <v>890</v>
          </cell>
        </row>
        <row r="910">
          <cell r="A910" t="str">
            <v>BB0157-L</v>
          </cell>
          <cell r="B910" t="str">
            <v>B157</v>
          </cell>
          <cell r="C910" t="str">
            <v>เยื่อไผ่ แขนสั้นขายาว ลายจุด คอบัว L</v>
          </cell>
          <cell r="E910">
            <v>0</v>
          </cell>
          <cell r="F910">
            <v>890</v>
          </cell>
        </row>
        <row r="911">
          <cell r="A911" t="str">
            <v>BB0157-M</v>
          </cell>
          <cell r="B911" t="str">
            <v>B157</v>
          </cell>
          <cell r="C911" t="str">
            <v>เยื่อไผ่ แขนสั้นขายาว ลายจุด คอบัว M</v>
          </cell>
          <cell r="E911">
            <v>0</v>
          </cell>
          <cell r="F911">
            <v>890</v>
          </cell>
        </row>
        <row r="912">
          <cell r="A912" t="str">
            <v>BB0157-S</v>
          </cell>
          <cell r="B912" t="str">
            <v>B157</v>
          </cell>
          <cell r="C912" t="str">
            <v>เยื่อไผ่ แขนสั้นขายาว ลายจุด คอบัว S</v>
          </cell>
          <cell r="E912">
            <v>0</v>
          </cell>
          <cell r="F912">
            <v>890</v>
          </cell>
        </row>
        <row r="913">
          <cell r="A913" t="str">
            <v>BB0157-XL</v>
          </cell>
          <cell r="B913" t="str">
            <v>B157</v>
          </cell>
          <cell r="C913" t="str">
            <v>เยื่อไผ่ แขนสั้นขายาว ลายจุด คอบัว XL</v>
          </cell>
          <cell r="E913">
            <v>0</v>
          </cell>
          <cell r="F913">
            <v>890</v>
          </cell>
        </row>
        <row r="914">
          <cell r="A914" t="str">
            <v>BB0158-L</v>
          </cell>
          <cell r="B914" t="str">
            <v>B158</v>
          </cell>
          <cell r="C914" t="str">
            <v>เยื่อไผ่ แขนสั้นขายาว คอบัว สีโอรส L</v>
          </cell>
          <cell r="E914">
            <v>0</v>
          </cell>
          <cell r="F914">
            <v>890</v>
          </cell>
        </row>
        <row r="915">
          <cell r="A915" t="str">
            <v>BB0158-M</v>
          </cell>
          <cell r="B915" t="str">
            <v>B158</v>
          </cell>
          <cell r="C915" t="str">
            <v>เยื่อไผ่ แขนสั้นขายาว คอบัว สีโอรส M</v>
          </cell>
          <cell r="E915">
            <v>0</v>
          </cell>
          <cell r="F915">
            <v>890</v>
          </cell>
        </row>
        <row r="916">
          <cell r="A916" t="str">
            <v>BB0158-S</v>
          </cell>
          <cell r="B916" t="str">
            <v>B158</v>
          </cell>
          <cell r="C916" t="str">
            <v>เยื่อไผ่ แขนสั้นขายาว คอบัว สีโอรส S</v>
          </cell>
          <cell r="E916">
            <v>0</v>
          </cell>
          <cell r="F916">
            <v>890</v>
          </cell>
        </row>
        <row r="917">
          <cell r="A917" t="str">
            <v>BB0158-XL</v>
          </cell>
          <cell r="B917" t="str">
            <v>B158</v>
          </cell>
          <cell r="C917" t="str">
            <v>เยื่อไผ่ แขนสั้นขายาว คอบัว สีโอรส XL</v>
          </cell>
          <cell r="E917">
            <v>0</v>
          </cell>
          <cell r="F917">
            <v>890</v>
          </cell>
        </row>
        <row r="918">
          <cell r="A918" t="str">
            <v>BB0161-L</v>
          </cell>
          <cell r="B918" t="str">
            <v>B161</v>
          </cell>
          <cell r="C918" t="str">
            <v>เยื่อไผ่ แขนสั้นขายาว คอปก ดอกไม้ สีโอรส L</v>
          </cell>
          <cell r="E918">
            <v>0</v>
          </cell>
          <cell r="F918">
            <v>890</v>
          </cell>
        </row>
        <row r="919">
          <cell r="A919" t="str">
            <v>BB0161-M</v>
          </cell>
          <cell r="B919" t="str">
            <v>B161</v>
          </cell>
          <cell r="C919" t="str">
            <v>เยื่อไผ่ แขนสั้นขายาว คอปก ดอกไม้ สีโอรส M</v>
          </cell>
          <cell r="E919">
            <v>0</v>
          </cell>
          <cell r="F919">
            <v>890</v>
          </cell>
        </row>
        <row r="920">
          <cell r="A920" t="str">
            <v>BB0161-S</v>
          </cell>
          <cell r="B920" t="str">
            <v>B161</v>
          </cell>
          <cell r="C920" t="str">
            <v>เยื่อไผ่ แขนสั้นขายาว คอปก ดอกไม้ สีโอรส S</v>
          </cell>
          <cell r="E920">
            <v>0</v>
          </cell>
          <cell r="F920">
            <v>890</v>
          </cell>
        </row>
        <row r="921">
          <cell r="A921" t="str">
            <v>BB0170-L</v>
          </cell>
          <cell r="B921" t="str">
            <v>B170</v>
          </cell>
          <cell r="C921" t="str">
            <v>เยื่อไผ่ แขนสั้นขายาว เสื้อญี่ปุ่น ผีเสื้อ L</v>
          </cell>
          <cell r="E921">
            <v>0</v>
          </cell>
          <cell r="F921">
            <v>890</v>
          </cell>
        </row>
        <row r="922">
          <cell r="A922" t="str">
            <v>BB0170-M</v>
          </cell>
          <cell r="B922" t="str">
            <v>B170</v>
          </cell>
          <cell r="C922" t="str">
            <v>เยื่อไผ่ แขนสั้นขายาว เสื้อญี่ปุ่น ผีเสื้อ M</v>
          </cell>
          <cell r="E922">
            <v>0</v>
          </cell>
          <cell r="F922">
            <v>890</v>
          </cell>
        </row>
        <row r="923">
          <cell r="A923" t="str">
            <v>BB0170-XL</v>
          </cell>
          <cell r="B923" t="str">
            <v>B170</v>
          </cell>
          <cell r="C923" t="str">
            <v>เยื่อไผ่ แขนสั้นขายาว เสื้อญี่ปุ่น ผีเสื้อ XL</v>
          </cell>
          <cell r="E923">
            <v>0</v>
          </cell>
          <cell r="F923">
            <v>890</v>
          </cell>
        </row>
        <row r="924">
          <cell r="A924" t="str">
            <v>BB0171-L</v>
          </cell>
          <cell r="B924" t="str">
            <v>B171</v>
          </cell>
          <cell r="C924" t="str">
            <v>เยื่อไผ่ แขนสั้นขายาว เสื้อญี่ปุ่น ใบไม้พื้นน้ำตาล L</v>
          </cell>
          <cell r="E924">
            <v>0</v>
          </cell>
          <cell r="F924">
            <v>890</v>
          </cell>
        </row>
        <row r="925">
          <cell r="A925" t="str">
            <v>BB0171-M</v>
          </cell>
          <cell r="B925" t="str">
            <v>B171</v>
          </cell>
          <cell r="C925" t="str">
            <v>เยื่อไผ่ แขนสั้นขายาว เสื้อญี่ปุ่น ใบไม้พื้นน้ำตาล M</v>
          </cell>
          <cell r="E925">
            <v>0</v>
          </cell>
          <cell r="F925">
            <v>890</v>
          </cell>
        </row>
        <row r="926">
          <cell r="A926" t="str">
            <v>BB0171-XL</v>
          </cell>
          <cell r="B926" t="str">
            <v>B171</v>
          </cell>
          <cell r="C926" t="str">
            <v>เยื่อไผ่ แขนสั้นขายาว เสื้อญี่ปุ่น ใบไม้พื้นน้ำตาล XL</v>
          </cell>
          <cell r="E926">
            <v>0</v>
          </cell>
          <cell r="F926">
            <v>890</v>
          </cell>
        </row>
        <row r="927">
          <cell r="A927" t="str">
            <v>BB0172-L</v>
          </cell>
          <cell r="B927" t="str">
            <v>B172</v>
          </cell>
          <cell r="C927" t="str">
            <v>เยื่อไผ่ แขนสั้นขายาว เสื้อญี่ปุ่น ดอกไม้พื้นดำ L</v>
          </cell>
          <cell r="E927">
            <v>0</v>
          </cell>
          <cell r="F927">
            <v>890</v>
          </cell>
        </row>
        <row r="928">
          <cell r="A928" t="str">
            <v>BB0172-M</v>
          </cell>
          <cell r="B928" t="str">
            <v>B172</v>
          </cell>
          <cell r="C928" t="str">
            <v>เยื่อไผ่ แขนสั้นขายาว เสื้อญี่ปุ่น ดอกไม้พื้นดำ M</v>
          </cell>
          <cell r="E928">
            <v>0</v>
          </cell>
          <cell r="F928">
            <v>890</v>
          </cell>
        </row>
        <row r="929">
          <cell r="A929" t="str">
            <v>BB0172-XL</v>
          </cell>
          <cell r="B929" t="str">
            <v>B172</v>
          </cell>
          <cell r="C929" t="str">
            <v>เยื่อไผ่ แขนสั้นขายาว เสื้อญี่ปุ่น ดอกไม้พื้นดำ XL</v>
          </cell>
          <cell r="E929">
            <v>0</v>
          </cell>
          <cell r="F929">
            <v>890</v>
          </cell>
        </row>
        <row r="930">
          <cell r="A930" t="str">
            <v>BB0173-L</v>
          </cell>
          <cell r="B930" t="str">
            <v>B173</v>
          </cell>
          <cell r="C930" t="str">
            <v>เยื่อไผ่ แขนสั้นขายาว เสื้อญี่ปุ่น ดอกไม้น้ำตาล พื้นม่วง L</v>
          </cell>
          <cell r="E930">
            <v>0</v>
          </cell>
          <cell r="F930">
            <v>890</v>
          </cell>
        </row>
        <row r="931">
          <cell r="A931" t="str">
            <v>BB0173-M</v>
          </cell>
          <cell r="B931" t="str">
            <v>B173</v>
          </cell>
          <cell r="C931" t="str">
            <v>เยื่อไผ่ แขนสั้นขายาว เสื้อญี่ปุ่น ดอกไม้น้ำตาล พื้นม่วง M</v>
          </cell>
          <cell r="E931">
            <v>0</v>
          </cell>
          <cell r="F931">
            <v>890</v>
          </cell>
        </row>
        <row r="932">
          <cell r="A932" t="str">
            <v>BB0173-XL</v>
          </cell>
          <cell r="B932" t="str">
            <v>B173</v>
          </cell>
          <cell r="C932" t="str">
            <v>เยื่อไผ่ แขนสั้นขายาว เสื้อญี่ปุ่น ดอกไม้น้ำตาล พื้นม่วง XL</v>
          </cell>
          <cell r="E932">
            <v>0</v>
          </cell>
          <cell r="F932">
            <v>890</v>
          </cell>
        </row>
        <row r="933">
          <cell r="A933" t="str">
            <v>BB0174-L</v>
          </cell>
          <cell r="B933" t="str">
            <v>B174</v>
          </cell>
          <cell r="C933" t="str">
            <v>เยื่อไผ่ แขนสั้นขายาว เสื้อญี่ปุ่น ดอกไม้น้ำตาล พื้นมกรม L</v>
          </cell>
          <cell r="E933">
            <v>0</v>
          </cell>
          <cell r="F933">
            <v>890</v>
          </cell>
        </row>
        <row r="934">
          <cell r="A934" t="str">
            <v>BB0174-M</v>
          </cell>
          <cell r="B934" t="str">
            <v>B174</v>
          </cell>
          <cell r="C934" t="str">
            <v>เยื่อไผ่ แขนสั้นขายาว เสื้อญี่ปุ่น ดอกไม้น้ำตาล พื้นกรม M</v>
          </cell>
          <cell r="E934">
            <v>0</v>
          </cell>
          <cell r="F934">
            <v>890</v>
          </cell>
        </row>
        <row r="935">
          <cell r="A935" t="str">
            <v>BB0174-XL</v>
          </cell>
          <cell r="B935" t="str">
            <v>B174</v>
          </cell>
          <cell r="C935" t="str">
            <v>เยื่อไผ่ แขนสั้นขายาว เสื้อญี่ปุ่น ดอกไม้น้ำตาล พื้นกรม XL</v>
          </cell>
          <cell r="E935">
            <v>0</v>
          </cell>
          <cell r="F935">
            <v>890</v>
          </cell>
        </row>
        <row r="936">
          <cell r="A936" t="str">
            <v>BB0175-L</v>
          </cell>
          <cell r="B936" t="str">
            <v>B175</v>
          </cell>
          <cell r="C936" t="str">
            <v>เยื่อไผ่ แขนสั้นขายาว เสื้อญี่ปุ่น ดอกชบา L</v>
          </cell>
          <cell r="E936">
            <v>0</v>
          </cell>
          <cell r="F936">
            <v>890</v>
          </cell>
        </row>
        <row r="937">
          <cell r="A937" t="str">
            <v>BB0175-M</v>
          </cell>
          <cell r="B937" t="str">
            <v>B175</v>
          </cell>
          <cell r="C937" t="str">
            <v>เยื่อไผ่ แขนสั้นขายาว เสื้อญี่ปุ่น ดอกชบา M</v>
          </cell>
          <cell r="E937">
            <v>0</v>
          </cell>
          <cell r="F937">
            <v>890</v>
          </cell>
        </row>
        <row r="938">
          <cell r="A938" t="str">
            <v>BB0175-XL</v>
          </cell>
          <cell r="B938" t="str">
            <v>B175</v>
          </cell>
          <cell r="C938" t="str">
            <v>เยื่อไผ่ แขนสั้นขายาว เสื้อญี่ปุ่น ดอกชบา XL</v>
          </cell>
          <cell r="E938">
            <v>0</v>
          </cell>
          <cell r="F938">
            <v>890</v>
          </cell>
        </row>
        <row r="939">
          <cell r="A939" t="str">
            <v>BB0176-L</v>
          </cell>
          <cell r="B939" t="str">
            <v>B176</v>
          </cell>
          <cell r="C939" t="str">
            <v>เยื่อไผ่ แขนสั้นขายาว เสื้อญี่ปุ่น สีเขียวน้ำทะเล L</v>
          </cell>
          <cell r="E939">
            <v>0</v>
          </cell>
          <cell r="F939">
            <v>890</v>
          </cell>
        </row>
        <row r="940">
          <cell r="A940" t="str">
            <v>BB0176-M</v>
          </cell>
          <cell r="B940" t="str">
            <v>B176</v>
          </cell>
          <cell r="C940" t="str">
            <v>เยื่อไผ่ แขนสั้นขายาว เสื้อญี่ปุ่น สีเขียวน้ำทะเล M</v>
          </cell>
          <cell r="E940">
            <v>0</v>
          </cell>
          <cell r="F940">
            <v>890</v>
          </cell>
        </row>
        <row r="941">
          <cell r="A941" t="str">
            <v>BB0176-XL</v>
          </cell>
          <cell r="B941" t="str">
            <v>B176</v>
          </cell>
          <cell r="C941" t="str">
            <v>เยื่อไผ่ แขนสั้นขายาว เสื้อญี่ปุ่น สีเขียวน้ำทะเล XL</v>
          </cell>
          <cell r="E941">
            <v>0</v>
          </cell>
          <cell r="F941">
            <v>890</v>
          </cell>
        </row>
        <row r="942">
          <cell r="A942" t="str">
            <v>BB0178-L</v>
          </cell>
          <cell r="B942" t="str">
            <v>B178</v>
          </cell>
          <cell r="C942" t="str">
            <v>เยื่อไผ่ แขนสั้นขายาว จุดชมพู พื้นครีม L</v>
          </cell>
          <cell r="E942">
            <v>0</v>
          </cell>
          <cell r="F942">
            <v>890</v>
          </cell>
        </row>
        <row r="943">
          <cell r="A943" t="str">
            <v>BB0178-M</v>
          </cell>
          <cell r="B943" t="str">
            <v>B178</v>
          </cell>
          <cell r="C943" t="str">
            <v>เยื่อไผ่ แขนสั้นขายาว จุดชมพู พื้นครีม M</v>
          </cell>
          <cell r="E943">
            <v>0</v>
          </cell>
          <cell r="F943">
            <v>890</v>
          </cell>
        </row>
        <row r="944">
          <cell r="A944" t="str">
            <v>BB0178-S</v>
          </cell>
          <cell r="B944" t="str">
            <v>B178</v>
          </cell>
          <cell r="C944" t="str">
            <v>เยื่อไผ่ แขนสั้นขายาว จุดชมพู พื้นครีม S</v>
          </cell>
          <cell r="E944">
            <v>0</v>
          </cell>
          <cell r="F944">
            <v>890</v>
          </cell>
        </row>
        <row r="945">
          <cell r="A945" t="str">
            <v>BB0178-XL</v>
          </cell>
          <cell r="B945" t="str">
            <v>B178</v>
          </cell>
          <cell r="C945" t="str">
            <v>เยื่อไผ่ แขนสั้นขายาว จุดชมพู พื้นครีม XL</v>
          </cell>
          <cell r="E945">
            <v>0</v>
          </cell>
          <cell r="F945">
            <v>890</v>
          </cell>
        </row>
        <row r="946">
          <cell r="A946" t="str">
            <v>BB0179-L</v>
          </cell>
          <cell r="B946" t="str">
            <v>JB179</v>
          </cell>
          <cell r="C946" t="str">
            <v>เยื่อไผ่ แขนสั้นขายาว จุดครีม พื้นโอรส L ตัวโชว์</v>
          </cell>
          <cell r="E946">
            <v>0</v>
          </cell>
          <cell r="F946">
            <v>890</v>
          </cell>
        </row>
        <row r="947">
          <cell r="A947" t="str">
            <v>BB0179-M</v>
          </cell>
          <cell r="B947" t="str">
            <v>JB179</v>
          </cell>
          <cell r="C947" t="str">
            <v>เยื่อไผ่ แขนสั้นขายาว จุดครีม พื้นโอรส M ตัวโชว์</v>
          </cell>
          <cell r="E947">
            <v>0</v>
          </cell>
          <cell r="F947">
            <v>890</v>
          </cell>
        </row>
        <row r="948">
          <cell r="A948" t="str">
            <v>BB0179-S</v>
          </cell>
          <cell r="B948" t="str">
            <v>B179</v>
          </cell>
          <cell r="C948" t="str">
            <v>เยื่อไผ่ แขนสั้นขายาว จุดครีม พื้นโอรส S</v>
          </cell>
          <cell r="E948">
            <v>0</v>
          </cell>
          <cell r="F948">
            <v>890</v>
          </cell>
        </row>
        <row r="949">
          <cell r="A949" t="str">
            <v>BB0179-XL</v>
          </cell>
          <cell r="B949" t="str">
            <v>B179</v>
          </cell>
          <cell r="C949" t="str">
            <v>เยื่อไผ่ แขนสั้นขายาว จุดครีม พื้นโอรส XL</v>
          </cell>
          <cell r="E949">
            <v>0</v>
          </cell>
          <cell r="F949">
            <v>890</v>
          </cell>
        </row>
        <row r="950">
          <cell r="A950" t="str">
            <v>BB0180-L</v>
          </cell>
          <cell r="B950" t="str">
            <v>B180</v>
          </cell>
          <cell r="C950" t="str">
            <v>เยื้อไผ่ แขนสั้นขายาว เหลือง ลายวิว L</v>
          </cell>
          <cell r="E950">
            <v>0</v>
          </cell>
          <cell r="F950">
            <v>890</v>
          </cell>
        </row>
        <row r="951">
          <cell r="A951" t="str">
            <v>BB0180-M</v>
          </cell>
          <cell r="B951" t="str">
            <v>B180</v>
          </cell>
          <cell r="C951" t="str">
            <v>เยื่อไผ่ แขนสั้นขายาว เหลือง ลายวิว M</v>
          </cell>
          <cell r="E951">
            <v>0</v>
          </cell>
          <cell r="F951">
            <v>890</v>
          </cell>
        </row>
        <row r="952">
          <cell r="A952" t="str">
            <v>BB0185-L</v>
          </cell>
          <cell r="B952" t="str">
            <v>B185</v>
          </cell>
          <cell r="C952" t="str">
            <v>เยื้อไผ่ แขนสั้นขายาว ส้มอิฐ ลายวิว L</v>
          </cell>
          <cell r="E952">
            <v>0</v>
          </cell>
          <cell r="F952">
            <v>890</v>
          </cell>
        </row>
        <row r="953">
          <cell r="A953" t="str">
            <v>BB0185-M</v>
          </cell>
          <cell r="B953" t="str">
            <v>B185</v>
          </cell>
          <cell r="C953" t="str">
            <v>เยื้อไผ่ แขนสั้นขายาว ส้มอิฐ ลายวิว M</v>
          </cell>
          <cell r="E953">
            <v>0</v>
          </cell>
          <cell r="F953">
            <v>890</v>
          </cell>
        </row>
        <row r="954">
          <cell r="A954" t="str">
            <v>BB0189-L</v>
          </cell>
          <cell r="B954" t="str">
            <v>QB189</v>
          </cell>
          <cell r="C954" t="str">
            <v>เยื่อไผ่ แขนสั้นขายาว พื้นเขียว ขอบขาว L QC</v>
          </cell>
          <cell r="E954">
            <v>0</v>
          </cell>
          <cell r="F954">
            <v>890</v>
          </cell>
        </row>
        <row r="955">
          <cell r="A955" t="str">
            <v>BB0189-M</v>
          </cell>
          <cell r="B955" t="str">
            <v>B189</v>
          </cell>
          <cell r="C955" t="str">
            <v>เยื่อไผ่ แขนสั้นขายาว พื้นเขียว ขอบขาว M</v>
          </cell>
          <cell r="E955">
            <v>0</v>
          </cell>
          <cell r="F955">
            <v>890</v>
          </cell>
        </row>
        <row r="956">
          <cell r="A956" t="str">
            <v>BB0189-S</v>
          </cell>
          <cell r="B956" t="str">
            <v>B189</v>
          </cell>
          <cell r="C956" t="str">
            <v>เยื่อไผ่ แขนสั้นขายาว พื้นเขียว ขอบขาว S</v>
          </cell>
          <cell r="E956">
            <v>0</v>
          </cell>
          <cell r="F956">
            <v>890</v>
          </cell>
        </row>
        <row r="957">
          <cell r="A957" t="str">
            <v>BB0189-XL</v>
          </cell>
          <cell r="B957" t="str">
            <v>B189</v>
          </cell>
          <cell r="C957" t="str">
            <v>เยื่อไผ่ แขนสั้นขายาว พื้นเขียว ขอบขาว XL</v>
          </cell>
          <cell r="E957">
            <v>0</v>
          </cell>
          <cell r="F957">
            <v>890</v>
          </cell>
        </row>
        <row r="958">
          <cell r="A958" t="str">
            <v>BB0190-L</v>
          </cell>
          <cell r="B958" t="str">
            <v>B190</v>
          </cell>
          <cell r="C958" t="str">
            <v>เยื่อไผ่ แขนสั้นขายาว กราฟฟริก L</v>
          </cell>
          <cell r="E958">
            <v>0</v>
          </cell>
          <cell r="F958">
            <v>890</v>
          </cell>
        </row>
        <row r="959">
          <cell r="A959" t="str">
            <v>BB0190-M</v>
          </cell>
          <cell r="B959" t="str">
            <v>B190</v>
          </cell>
          <cell r="C959" t="str">
            <v>เยื่อไผ่ แขนสั้นขายาว กราฟฟริก M</v>
          </cell>
          <cell r="E959">
            <v>0</v>
          </cell>
          <cell r="F959">
            <v>890</v>
          </cell>
        </row>
        <row r="960">
          <cell r="A960" t="str">
            <v>BB0190-S</v>
          </cell>
          <cell r="B960" t="str">
            <v>B190</v>
          </cell>
          <cell r="C960" t="str">
            <v>เยื่อไผ่ แขนสั้นขายาว กราฟฟริก S</v>
          </cell>
          <cell r="E960">
            <v>0</v>
          </cell>
          <cell r="F960">
            <v>890</v>
          </cell>
        </row>
        <row r="961">
          <cell r="A961" t="str">
            <v>BB0190-XL</v>
          </cell>
          <cell r="B961" t="str">
            <v>B190</v>
          </cell>
          <cell r="C961" t="str">
            <v>เยื่อไผ่ แขนสั้นขายาว กราฟฟริก XL</v>
          </cell>
          <cell r="E961">
            <v>0</v>
          </cell>
          <cell r="F961">
            <v>890</v>
          </cell>
        </row>
        <row r="962">
          <cell r="A962" t="str">
            <v>BB0191-L</v>
          </cell>
          <cell r="B962" t="str">
            <v>B191</v>
          </cell>
          <cell r="C962" t="str">
            <v>เยื่อไผ่ แขนสั้นขายาว โบตั๋น โอรสพื้นเขียว L</v>
          </cell>
          <cell r="E962">
            <v>0</v>
          </cell>
          <cell r="F962">
            <v>890</v>
          </cell>
        </row>
        <row r="963">
          <cell r="A963" t="str">
            <v>BB0191-M</v>
          </cell>
          <cell r="B963" t="str">
            <v>B191</v>
          </cell>
          <cell r="C963" t="str">
            <v>เยื่อไผ่ แขนสั้นขายาว โบตั๋น โอรสพื้นเขียว M</v>
          </cell>
          <cell r="E963">
            <v>0</v>
          </cell>
          <cell r="F963">
            <v>890</v>
          </cell>
        </row>
        <row r="964">
          <cell r="A964" t="str">
            <v>BB0191-S</v>
          </cell>
          <cell r="B964" t="str">
            <v>JB191</v>
          </cell>
          <cell r="C964" t="str">
            <v>เยื่อไผ่ แขนสั้นขายาว โบตั๋น โอรสพื้นเขียว S ตัวโชว์</v>
          </cell>
          <cell r="E964">
            <v>0</v>
          </cell>
          <cell r="F964">
            <v>890</v>
          </cell>
        </row>
        <row r="965">
          <cell r="A965" t="str">
            <v>BB0191-XL</v>
          </cell>
          <cell r="B965" t="str">
            <v>B191</v>
          </cell>
          <cell r="C965" t="str">
            <v>เยื่อไผ่แขนสั้นขายาว โบตั๋น โอรสพื้นเขียว XL</v>
          </cell>
          <cell r="E965">
            <v>0</v>
          </cell>
          <cell r="F965">
            <v>890</v>
          </cell>
        </row>
        <row r="966">
          <cell r="A966" t="str">
            <v>BB0192-L</v>
          </cell>
          <cell r="B966" t="str">
            <v>B192</v>
          </cell>
          <cell r="C966" t="str">
            <v>เยื่อไผ่ แขนสั้นขายาว โบตั๋นส้ม พื้นขาว L</v>
          </cell>
          <cell r="E966">
            <v>0</v>
          </cell>
          <cell r="F966">
            <v>890</v>
          </cell>
        </row>
        <row r="967">
          <cell r="A967" t="str">
            <v>BB0192-M</v>
          </cell>
          <cell r="B967" t="str">
            <v>B192</v>
          </cell>
          <cell r="C967" t="str">
            <v>เยื่อไผ่ แขนสั้นขายาว โบตั๋นส้ม พื้นขาว M</v>
          </cell>
          <cell r="E967">
            <v>0</v>
          </cell>
          <cell r="F967">
            <v>890</v>
          </cell>
        </row>
        <row r="968">
          <cell r="A968" t="str">
            <v>BB0193-L</v>
          </cell>
          <cell r="B968" t="str">
            <v>B193</v>
          </cell>
          <cell r="C968" t="str">
            <v>เยื่อไผ่ แขนสั้นขายาว ชมพู ขอบขาว L</v>
          </cell>
          <cell r="E968">
            <v>0</v>
          </cell>
          <cell r="F968">
            <v>890</v>
          </cell>
        </row>
        <row r="969">
          <cell r="A969" t="str">
            <v>BB0193-M</v>
          </cell>
          <cell r="B969" t="str">
            <v>B193</v>
          </cell>
          <cell r="C969" t="str">
            <v>เยื่อไผ่ แขนสั้นขายาว ชมพู ขอบขาว M</v>
          </cell>
          <cell r="E969">
            <v>0</v>
          </cell>
          <cell r="F969">
            <v>890</v>
          </cell>
        </row>
        <row r="970">
          <cell r="A970" t="str">
            <v>BB0193-S</v>
          </cell>
          <cell r="B970" t="str">
            <v>B193</v>
          </cell>
          <cell r="C970" t="str">
            <v>เยื่อไผ่ แขนสั้นขายาว ชมพู ขอบขาว S</v>
          </cell>
          <cell r="E970">
            <v>0</v>
          </cell>
          <cell r="F970">
            <v>890</v>
          </cell>
        </row>
        <row r="971">
          <cell r="A971" t="str">
            <v>BB0193-XL</v>
          </cell>
          <cell r="B971" t="str">
            <v>B193</v>
          </cell>
          <cell r="C971" t="str">
            <v>เยื่อไผ่ แขนสั้นขายาว ชมพู ขอบขาว XL</v>
          </cell>
          <cell r="E971">
            <v>0</v>
          </cell>
          <cell r="F971">
            <v>890</v>
          </cell>
        </row>
        <row r="972">
          <cell r="A972" t="str">
            <v>BB0219-L</v>
          </cell>
          <cell r="B972" t="str">
            <v>B219</v>
          </cell>
          <cell r="C972" t="str">
            <v>เยื่อไผ่ แขนสั้นขายาว ดอกไม้เหลือง พื้นขาว L</v>
          </cell>
          <cell r="E972">
            <v>0</v>
          </cell>
          <cell r="F972">
            <v>890</v>
          </cell>
        </row>
        <row r="973">
          <cell r="A973" t="str">
            <v>BB0219-M</v>
          </cell>
          <cell r="B973" t="str">
            <v>B219</v>
          </cell>
          <cell r="C973" t="str">
            <v>เยื่อไผ่ แขนสั้นขายาว ดอกไม้เหลือง พื้นขาว M</v>
          </cell>
          <cell r="E973">
            <v>0</v>
          </cell>
          <cell r="F973">
            <v>890</v>
          </cell>
        </row>
        <row r="974">
          <cell r="A974" t="str">
            <v>BB0219-S</v>
          </cell>
          <cell r="B974" t="str">
            <v>B219</v>
          </cell>
          <cell r="C974" t="str">
            <v>เยื่อไผ่ แขนสั้นขายาว ดอกไม้เหลือง พื้นขาว S</v>
          </cell>
          <cell r="E974">
            <v>0</v>
          </cell>
          <cell r="F974">
            <v>590</v>
          </cell>
        </row>
        <row r="975">
          <cell r="A975" t="str">
            <v>BB0220-L</v>
          </cell>
          <cell r="B975" t="str">
            <v>B220</v>
          </cell>
          <cell r="C975" t="str">
            <v>เยื่อไผ่ แขนสั้นขายาว TropicaL พีช คอวี L</v>
          </cell>
          <cell r="E975">
            <v>0</v>
          </cell>
          <cell r="F975">
            <v>890</v>
          </cell>
        </row>
        <row r="976">
          <cell r="A976" t="str">
            <v>BB0220-M</v>
          </cell>
          <cell r="B976" t="str">
            <v>B220</v>
          </cell>
          <cell r="C976" t="str">
            <v>เยื่อไผ่ แขนสั้นขายาว TropicaL พีช คอวี M</v>
          </cell>
          <cell r="E976">
            <v>0</v>
          </cell>
          <cell r="F976">
            <v>890</v>
          </cell>
        </row>
        <row r="977">
          <cell r="A977" t="str">
            <v>BB0221-L</v>
          </cell>
          <cell r="B977" t="str">
            <v>B221</v>
          </cell>
          <cell r="C977" t="str">
            <v>เยื่อไผ่ แขนสั้นขายาว ลายทางพาสเทล คอวี L</v>
          </cell>
          <cell r="E977">
            <v>0</v>
          </cell>
          <cell r="F977">
            <v>890</v>
          </cell>
        </row>
        <row r="978">
          <cell r="A978" t="str">
            <v>BB0221-M</v>
          </cell>
          <cell r="B978" t="str">
            <v>B221</v>
          </cell>
          <cell r="C978" t="str">
            <v>เยื่อไผ่ แขนสั้นขายาว ลายทางพาสเทล คอวี M</v>
          </cell>
          <cell r="E978">
            <v>0</v>
          </cell>
          <cell r="F978">
            <v>890</v>
          </cell>
        </row>
        <row r="979">
          <cell r="A979" t="str">
            <v>BB0222-L</v>
          </cell>
          <cell r="B979" t="str">
            <v>B222</v>
          </cell>
          <cell r="C979" t="str">
            <v>เยื่อไผ่ แขนสั้นขายาว จุดเล็ก พื้นฟ้า L</v>
          </cell>
          <cell r="E979">
            <v>0</v>
          </cell>
          <cell r="F979">
            <v>890</v>
          </cell>
        </row>
        <row r="980">
          <cell r="A980" t="str">
            <v>BB0222-M</v>
          </cell>
          <cell r="B980" t="str">
            <v>B222</v>
          </cell>
          <cell r="C980" t="str">
            <v>เยื่อไผ่ แขนสั้นขายาว จุดเล็ก พื้นฟ้า M</v>
          </cell>
          <cell r="E980">
            <v>0</v>
          </cell>
          <cell r="F980">
            <v>890</v>
          </cell>
        </row>
        <row r="981">
          <cell r="A981" t="str">
            <v>BB0222-S</v>
          </cell>
          <cell r="B981" t="str">
            <v>B222</v>
          </cell>
          <cell r="C981" t="str">
            <v>เยื่อไผ่ แขนสั้นขายาว จุดเล็ก พื้นฟ้า S</v>
          </cell>
          <cell r="E981">
            <v>0</v>
          </cell>
          <cell r="F981">
            <v>890</v>
          </cell>
        </row>
        <row r="982">
          <cell r="A982" t="str">
            <v>BB0222-XL</v>
          </cell>
          <cell r="B982" t="str">
            <v>B222</v>
          </cell>
          <cell r="C982" t="str">
            <v>เยื่อไผ่ แขนสั้นขายาว จุดเล็ก พื้นฟ้า XL</v>
          </cell>
          <cell r="E982">
            <v>0</v>
          </cell>
          <cell r="F982">
            <v>890</v>
          </cell>
        </row>
        <row r="983">
          <cell r="A983" t="str">
            <v>BB0224-M</v>
          </cell>
          <cell r="B983" t="str">
            <v>B224</v>
          </cell>
          <cell r="C983" t="str">
            <v>เยื่อไผ่ แขนสั้นขายาว อูฐ ชมพู M</v>
          </cell>
          <cell r="E983">
            <v>0</v>
          </cell>
          <cell r="F983">
            <v>890</v>
          </cell>
        </row>
        <row r="984">
          <cell r="A984" t="str">
            <v>BB0229-L</v>
          </cell>
          <cell r="B984" t="str">
            <v>B229</v>
          </cell>
          <cell r="C984" t="str">
            <v>เยื่อไผ่ แขนสั้นขายาว ดอกเหลือง พื้นฟ้า L</v>
          </cell>
          <cell r="E984">
            <v>0</v>
          </cell>
          <cell r="F984">
            <v>890</v>
          </cell>
        </row>
        <row r="985">
          <cell r="A985" t="str">
            <v>BB0229-XL</v>
          </cell>
          <cell r="B985" t="str">
            <v>B229</v>
          </cell>
          <cell r="C985" t="str">
            <v>เยื่อไผ่ แขนสั้นขายาว ดอกเหลือง พื้นฟ้า XL</v>
          </cell>
          <cell r="E985">
            <v>0</v>
          </cell>
          <cell r="F985">
            <v>890</v>
          </cell>
        </row>
        <row r="986">
          <cell r="A986" t="str">
            <v>BB0231-L</v>
          </cell>
          <cell r="B986" t="str">
            <v>B231</v>
          </cell>
          <cell r="C986" t="str">
            <v>เยื่อไผ่ แขนสั้นขายาว ดอกไม้เหลือง พรีเมี่ยม L</v>
          </cell>
          <cell r="E986">
            <v>0</v>
          </cell>
          <cell r="F986">
            <v>890</v>
          </cell>
        </row>
        <row r="987">
          <cell r="A987" t="str">
            <v>BB0231-M</v>
          </cell>
          <cell r="B987" t="str">
            <v>B231</v>
          </cell>
          <cell r="C987" t="str">
            <v>เยื่อไผ่ แขนสั้นขายาว ดอกไม้เหลือง พรีเมี่ยม M</v>
          </cell>
          <cell r="E987">
            <v>0</v>
          </cell>
          <cell r="F987">
            <v>890</v>
          </cell>
        </row>
        <row r="988">
          <cell r="A988" t="str">
            <v>BB0231-S</v>
          </cell>
          <cell r="B988" t="str">
            <v>B231</v>
          </cell>
          <cell r="C988" t="str">
            <v>เยื่อไผ่ แขนสั้นขายาว ดอกไม้เหลือง พรีเมี่ยม S</v>
          </cell>
          <cell r="E988">
            <v>0</v>
          </cell>
          <cell r="F988">
            <v>890</v>
          </cell>
        </row>
        <row r="989">
          <cell r="A989" t="str">
            <v>BB0232-L</v>
          </cell>
          <cell r="B989" t="str">
            <v>B232</v>
          </cell>
          <cell r="C989" t="str">
            <v>เยื่อไผ่ แขนสั้นขายาว ดอกไม้แดงเล็ก พื้นขาว L</v>
          </cell>
          <cell r="E989">
            <v>0</v>
          </cell>
          <cell r="F989">
            <v>890</v>
          </cell>
        </row>
        <row r="990">
          <cell r="A990" t="str">
            <v>BB0232-M</v>
          </cell>
          <cell r="B990" t="str">
            <v>B232</v>
          </cell>
          <cell r="C990" t="str">
            <v>เยื่อไผ่ แขนสั้นขายาว ดอกไม้แดงเล็ก พื้นขาว M</v>
          </cell>
          <cell r="E990">
            <v>0</v>
          </cell>
          <cell r="F990">
            <v>890</v>
          </cell>
        </row>
        <row r="991">
          <cell r="A991" t="str">
            <v>BB0232-XL</v>
          </cell>
          <cell r="B991" t="str">
            <v>B232</v>
          </cell>
          <cell r="C991" t="str">
            <v>เยื่อไผ่ แขนสั้นขายาว ดอกไม้แดงเล็ก พื้นขาว XL</v>
          </cell>
          <cell r="E991">
            <v>0</v>
          </cell>
          <cell r="F991">
            <v>890</v>
          </cell>
        </row>
        <row r="992">
          <cell r="A992" t="str">
            <v>BB0233-F</v>
          </cell>
          <cell r="B992" t="str">
            <v>B233</v>
          </cell>
          <cell r="C992" t="str">
            <v>เยื่อไผ่ แขนสั้นขายาว ดอกชบาชมพู พื้นชมพู F</v>
          </cell>
          <cell r="E992">
            <v>0</v>
          </cell>
          <cell r="F992">
            <v>890</v>
          </cell>
        </row>
        <row r="993">
          <cell r="A993" t="str">
            <v>BB0233-L</v>
          </cell>
          <cell r="B993" t="str">
            <v>B233</v>
          </cell>
          <cell r="C993" t="str">
            <v>เยื่อไผ่ แขนสั้นขายาว ดอกชบาชมพู พื้นชมพู L</v>
          </cell>
          <cell r="E993">
            <v>0</v>
          </cell>
          <cell r="F993">
            <v>890</v>
          </cell>
        </row>
        <row r="994">
          <cell r="A994" t="str">
            <v>BB0233-M</v>
          </cell>
          <cell r="B994" t="str">
            <v>B233</v>
          </cell>
          <cell r="C994" t="str">
            <v>เยื่อไผ่ แขนสั้นขายาว ดอกชบาชมพู พื้นชมพู M</v>
          </cell>
          <cell r="E994">
            <v>0</v>
          </cell>
          <cell r="F994">
            <v>890</v>
          </cell>
        </row>
        <row r="995">
          <cell r="A995" t="str">
            <v>BB0235-L</v>
          </cell>
          <cell r="B995" t="str">
            <v>B235</v>
          </cell>
          <cell r="C995" t="str">
            <v>เยื่อไผ่ แขนสั้นขายาว พื้นดำ ลายทางแดงเลือดหมู ผู้หญิง L</v>
          </cell>
          <cell r="E995">
            <v>0</v>
          </cell>
          <cell r="F995">
            <v>890</v>
          </cell>
        </row>
        <row r="996">
          <cell r="A996" t="str">
            <v>BB0235-M</v>
          </cell>
          <cell r="B996" t="str">
            <v>B235</v>
          </cell>
          <cell r="C996" t="str">
            <v>เยื่อไผ่ แขนสั้นขายาว พื้นดำ ลายทางแดงเลือดหมู ผู้หญิง M</v>
          </cell>
          <cell r="E996">
            <v>0</v>
          </cell>
          <cell r="F996">
            <v>890</v>
          </cell>
        </row>
        <row r="997">
          <cell r="A997" t="str">
            <v>BB0235-S</v>
          </cell>
          <cell r="B997" t="str">
            <v>JB235</v>
          </cell>
          <cell r="C997" t="str">
            <v>เยื่อไผ่ แขนสั้นขายาว พื้นดำ ลายทางแดงเลือดหมู ผู้หญิง S ตัวโชว์</v>
          </cell>
          <cell r="E997">
            <v>0</v>
          </cell>
          <cell r="F997">
            <v>890</v>
          </cell>
        </row>
        <row r="998">
          <cell r="A998" t="str">
            <v>BB0235-XL</v>
          </cell>
          <cell r="B998" t="str">
            <v>B235</v>
          </cell>
          <cell r="C998" t="str">
            <v>เยื่อไผ่ แขนสั้นขายาว พื้นดำ ลายทางแดงเลือดหมู ผู้หญิง XL</v>
          </cell>
          <cell r="E998">
            <v>0</v>
          </cell>
          <cell r="F998">
            <v>890</v>
          </cell>
        </row>
        <row r="999">
          <cell r="A999" t="str">
            <v>BB0236-L</v>
          </cell>
          <cell r="B999" t="str">
            <v>B236</v>
          </cell>
          <cell r="C999" t="str">
            <v>เยื่อไผ่ แขนสั้นขายาว ดอกไม้ดำ พื้นเขียว L</v>
          </cell>
          <cell r="E999">
            <v>0</v>
          </cell>
          <cell r="F999">
            <v>890</v>
          </cell>
        </row>
        <row r="1000">
          <cell r="A1000" t="str">
            <v>BB0236-M</v>
          </cell>
          <cell r="B1000" t="str">
            <v>B236</v>
          </cell>
          <cell r="C1000" t="str">
            <v>เยื่อไผ่ แขนสั้นขายาว ดอกไม้ดำ พื้นเขียว M</v>
          </cell>
          <cell r="E1000">
            <v>0</v>
          </cell>
          <cell r="F1000">
            <v>890</v>
          </cell>
        </row>
        <row r="1001">
          <cell r="A1001" t="str">
            <v>BB0236-S</v>
          </cell>
          <cell r="B1001" t="str">
            <v>B236</v>
          </cell>
          <cell r="C1001" t="str">
            <v>เยื่อไผ่ แขนสั้นขายาว ดอกไม้ดำ พื้นเขียว S</v>
          </cell>
          <cell r="E1001">
            <v>0</v>
          </cell>
          <cell r="F1001">
            <v>890</v>
          </cell>
        </row>
        <row r="1002">
          <cell r="A1002" t="str">
            <v>BB0236-XL</v>
          </cell>
          <cell r="B1002" t="str">
            <v>B236</v>
          </cell>
          <cell r="C1002" t="str">
            <v>เยื่อไผ่ แขนสั้นขายาว ดอกไม้ดำ พื้นเขียว XL</v>
          </cell>
          <cell r="E1002">
            <v>0</v>
          </cell>
          <cell r="F1002">
            <v>890</v>
          </cell>
        </row>
        <row r="1003">
          <cell r="A1003" t="str">
            <v>BB0237-L</v>
          </cell>
          <cell r="B1003" t="str">
            <v>B237</v>
          </cell>
          <cell r="C1003" t="str">
            <v>เยื่อไผ่ แขนสั้นขายาว ลายทางน้ำตาล ขอบส้ม L</v>
          </cell>
          <cell r="E1003">
            <v>0</v>
          </cell>
          <cell r="F1003">
            <v>890</v>
          </cell>
        </row>
        <row r="1004">
          <cell r="A1004" t="str">
            <v>BB0237-M</v>
          </cell>
          <cell r="B1004" t="str">
            <v>B237</v>
          </cell>
          <cell r="C1004" t="str">
            <v>เยื่อไผ่ แขนสั้นขายาว ลายทางน้ำตาล ขอบส้ม M</v>
          </cell>
          <cell r="E1004">
            <v>0</v>
          </cell>
          <cell r="F1004">
            <v>890</v>
          </cell>
        </row>
        <row r="1005">
          <cell r="A1005" t="str">
            <v>BB0237-S</v>
          </cell>
          <cell r="B1005" t="str">
            <v>B237</v>
          </cell>
          <cell r="C1005" t="str">
            <v>เยื่อไผ่ แขนสั้นขายาว ลายทางน้ำตาล ขอบส้ม S</v>
          </cell>
          <cell r="E1005">
            <v>0</v>
          </cell>
          <cell r="F1005">
            <v>890</v>
          </cell>
        </row>
        <row r="1006">
          <cell r="A1006" t="str">
            <v>BB0240-L</v>
          </cell>
          <cell r="B1006" t="str">
            <v>B240</v>
          </cell>
          <cell r="C1006" t="str">
            <v>เยื่อไผ่ แขนสั้นขายาว ดอกไม้เล็กส้ม พื้นขาว L</v>
          </cell>
          <cell r="E1006">
            <v>0</v>
          </cell>
          <cell r="F1006">
            <v>890</v>
          </cell>
        </row>
        <row r="1007">
          <cell r="A1007" t="str">
            <v>BB0240-M</v>
          </cell>
          <cell r="B1007" t="str">
            <v>B240</v>
          </cell>
          <cell r="C1007" t="str">
            <v>เยื่อไผ่ แขนสั้นขายาว ดอกไม้เล็กส้ม พื้นขาว M</v>
          </cell>
          <cell r="E1007">
            <v>0</v>
          </cell>
          <cell r="F1007">
            <v>890</v>
          </cell>
        </row>
        <row r="1008">
          <cell r="A1008" t="str">
            <v>BB0240-S</v>
          </cell>
          <cell r="B1008" t="str">
            <v>B240</v>
          </cell>
          <cell r="C1008" t="str">
            <v>เยื่อไผ่ แขนสั้นขายาว ดอกไม้เล็กส้ม พื้นขาว S</v>
          </cell>
          <cell r="E1008">
            <v>0</v>
          </cell>
          <cell r="F1008">
            <v>890</v>
          </cell>
        </row>
        <row r="1009">
          <cell r="A1009" t="str">
            <v>BB0240-XL</v>
          </cell>
          <cell r="B1009" t="str">
            <v>B240</v>
          </cell>
          <cell r="C1009" t="str">
            <v>เยื่อไผ่ แขนสั้นขายาว ดอกไม้เล็กส้ม พื้นขาว XL</v>
          </cell>
          <cell r="E1009">
            <v>0</v>
          </cell>
          <cell r="F1009">
            <v>890</v>
          </cell>
        </row>
        <row r="1010">
          <cell r="A1010" t="str">
            <v>BB0241-XL</v>
          </cell>
          <cell r="B1010" t="str">
            <v>B241</v>
          </cell>
          <cell r="C1010" t="str">
            <v>เยื่อไผ่ แขนสั้นขายาว ใบไม้น้ำตาล XL</v>
          </cell>
          <cell r="E1010">
            <v>0</v>
          </cell>
          <cell r="F1010">
            <v>890</v>
          </cell>
        </row>
        <row r="1011">
          <cell r="A1011" t="str">
            <v>BB0245-L</v>
          </cell>
          <cell r="B1011" t="str">
            <v>B245</v>
          </cell>
          <cell r="C1011" t="str">
            <v>เยื่อไผ่ แขนสั้นขายาว กุหลาบชมพู พื้นฟ้า L</v>
          </cell>
          <cell r="E1011">
            <v>0</v>
          </cell>
          <cell r="F1011">
            <v>890</v>
          </cell>
        </row>
        <row r="1012">
          <cell r="A1012" t="str">
            <v>BB0245-XL</v>
          </cell>
          <cell r="B1012" t="str">
            <v>B245</v>
          </cell>
          <cell r="C1012" t="str">
            <v>เยื่อไผ่ แขนสั้นขายาว กุหลาบชมพู พื้นฟ้า XL</v>
          </cell>
          <cell r="E1012">
            <v>0</v>
          </cell>
          <cell r="F1012">
            <v>890</v>
          </cell>
        </row>
        <row r="1013">
          <cell r="A1013" t="str">
            <v>BB0248-L</v>
          </cell>
          <cell r="B1013" t="str">
            <v>B248</v>
          </cell>
          <cell r="C1013" t="str">
            <v>เยื่อไผ่ แขนสั้นขายาว ดอกไม้เล็ก พื้นชมพู คอกลม L</v>
          </cell>
          <cell r="E1013">
            <v>0</v>
          </cell>
          <cell r="F1013">
            <v>890</v>
          </cell>
        </row>
        <row r="1014">
          <cell r="A1014" t="str">
            <v>BB0248-M</v>
          </cell>
          <cell r="B1014" t="str">
            <v>B248</v>
          </cell>
          <cell r="C1014" t="str">
            <v>เยื่อไผ่ แขนสั้นขายาว ดอกไม้เล็ก พื้นชมพู คอกลม M</v>
          </cell>
          <cell r="E1014">
            <v>0</v>
          </cell>
          <cell r="F1014">
            <v>890</v>
          </cell>
        </row>
        <row r="1015">
          <cell r="A1015" t="str">
            <v>BB0248-S</v>
          </cell>
          <cell r="B1015" t="str">
            <v>B248</v>
          </cell>
          <cell r="C1015" t="str">
            <v>เยื่อไผ่ แขนสั้นขายาว ดอกไม้เล็ก พื้นชมพู คอกลม S</v>
          </cell>
          <cell r="E1015">
            <v>0</v>
          </cell>
          <cell r="F1015">
            <v>890</v>
          </cell>
        </row>
        <row r="1016">
          <cell r="A1016" t="str">
            <v>BB0252-L</v>
          </cell>
          <cell r="B1016" t="str">
            <v>B252</v>
          </cell>
          <cell r="C1016" t="str">
            <v>เยื่อไผ่ แขนสั้นขายาว ดอกไม้แดงเล็ก L</v>
          </cell>
          <cell r="E1016">
            <v>0</v>
          </cell>
          <cell r="F1016">
            <v>890</v>
          </cell>
        </row>
        <row r="1017">
          <cell r="A1017" t="str">
            <v>BB0280-L</v>
          </cell>
          <cell r="B1017" t="str">
            <v>B280</v>
          </cell>
          <cell r="C1017" t="str">
            <v>เยื่อไผ่ แขนสั้นขายาว ดอกไม้เหลือง พื้นขาว คอกลม L</v>
          </cell>
          <cell r="E1017">
            <v>0</v>
          </cell>
          <cell r="F1017">
            <v>890</v>
          </cell>
        </row>
        <row r="1018">
          <cell r="A1018" t="str">
            <v>BB0280-M</v>
          </cell>
          <cell r="B1018" t="str">
            <v>B280</v>
          </cell>
          <cell r="C1018" t="str">
            <v>เยื่อไผ่ แขนสั้นขายาว ดอกไม้เหลือง พื้นขาว คอกลม M</v>
          </cell>
          <cell r="E1018">
            <v>0</v>
          </cell>
          <cell r="F1018">
            <v>890</v>
          </cell>
        </row>
        <row r="1019">
          <cell r="A1019" t="str">
            <v>BB0280-S</v>
          </cell>
          <cell r="B1019" t="str">
            <v>B280</v>
          </cell>
          <cell r="C1019" t="str">
            <v>เยื่อไผ่ แขนสั้นขายาว ดอกไม้เหลือง พื้นขาว คอกลม S</v>
          </cell>
          <cell r="E1019">
            <v>0</v>
          </cell>
          <cell r="F1019">
            <v>890</v>
          </cell>
        </row>
        <row r="1020">
          <cell r="A1020" t="str">
            <v>BB0284-L</v>
          </cell>
          <cell r="B1020" t="str">
            <v>B284</v>
          </cell>
          <cell r="C1020" t="str">
            <v>เยื่อไผ่ แขนสั้นขายาว พิทบูล พื้นดำ L</v>
          </cell>
          <cell r="E1020">
            <v>0</v>
          </cell>
          <cell r="F1020">
            <v>890</v>
          </cell>
        </row>
        <row r="1021">
          <cell r="A1021" t="str">
            <v>BB0284-M</v>
          </cell>
          <cell r="B1021" t="str">
            <v>B284</v>
          </cell>
          <cell r="C1021" t="str">
            <v>เยื่อไผ่ แขนสั้นขายาว พิทบูล พื้นดำ M</v>
          </cell>
          <cell r="E1021">
            <v>0</v>
          </cell>
          <cell r="F1021">
            <v>890</v>
          </cell>
        </row>
        <row r="1022">
          <cell r="A1022" t="str">
            <v>BB0284-S</v>
          </cell>
          <cell r="B1022" t="str">
            <v>B284</v>
          </cell>
          <cell r="C1022" t="str">
            <v>เยื่อไผ่ แขนสั้นขายาว พิทบูล พื้นดำ S</v>
          </cell>
          <cell r="E1022">
            <v>0</v>
          </cell>
          <cell r="F1022">
            <v>890</v>
          </cell>
        </row>
        <row r="1023">
          <cell r="A1023" t="str">
            <v>BB0284-XL</v>
          </cell>
          <cell r="B1023" t="str">
            <v>B284</v>
          </cell>
          <cell r="C1023" t="str">
            <v>เยื่อไผ่ แขนสั้นขายาว พิทบูล พื้นดำ XL</v>
          </cell>
          <cell r="E1023">
            <v>0</v>
          </cell>
          <cell r="F1023">
            <v>890</v>
          </cell>
        </row>
        <row r="1024">
          <cell r="A1024" t="str">
            <v>BB0287-2XL</v>
          </cell>
          <cell r="B1024" t="str">
            <v>B287</v>
          </cell>
          <cell r="C1024" t="str">
            <v>เยื่อไผ่ แขนสั้นขายาว Splash Gray 2XL</v>
          </cell>
          <cell r="E1024">
            <v>0</v>
          </cell>
          <cell r="F1024">
            <v>590</v>
          </cell>
        </row>
        <row r="1025">
          <cell r="A1025" t="str">
            <v>BB0287-L</v>
          </cell>
          <cell r="B1025" t="str">
            <v>B287</v>
          </cell>
          <cell r="C1025" t="str">
            <v>เยื่อไผ่ แขนสั้นขายาว Splash Gray L</v>
          </cell>
          <cell r="E1025">
            <v>0</v>
          </cell>
          <cell r="F1025">
            <v>890</v>
          </cell>
        </row>
        <row r="1026">
          <cell r="A1026" t="str">
            <v>BB0287-M</v>
          </cell>
          <cell r="B1026" t="str">
            <v>B287</v>
          </cell>
          <cell r="C1026" t="str">
            <v>เยื่อไผ่ แขนสั้นขายาว Splash Gray M</v>
          </cell>
          <cell r="E1026">
            <v>0</v>
          </cell>
          <cell r="F1026">
            <v>890</v>
          </cell>
        </row>
        <row r="1027">
          <cell r="A1027" t="str">
            <v>BB0287-XL</v>
          </cell>
          <cell r="B1027" t="str">
            <v>B287</v>
          </cell>
          <cell r="C1027" t="str">
            <v>เยื่อไผ่ แขนสั้นขายาว Splash Gray XL</v>
          </cell>
          <cell r="E1027">
            <v>0</v>
          </cell>
          <cell r="F1027">
            <v>890</v>
          </cell>
        </row>
        <row r="1028">
          <cell r="A1028" t="str">
            <v>BB0288-2XL</v>
          </cell>
          <cell r="B1028" t="str">
            <v>B288</v>
          </cell>
          <cell r="C1028" t="str">
            <v>เยื่อไผ่ แขนสั้นขายาว Ocean colors 2XL</v>
          </cell>
          <cell r="E1028">
            <v>0</v>
          </cell>
          <cell r="F1028">
            <v>890</v>
          </cell>
        </row>
        <row r="1029">
          <cell r="A1029" t="str">
            <v>BB0288-L</v>
          </cell>
          <cell r="B1029" t="str">
            <v>B288</v>
          </cell>
          <cell r="C1029" t="str">
            <v>เยื่อไผ่ แขนสั้นขายาว Ocean colors L</v>
          </cell>
          <cell r="E1029">
            <v>0</v>
          </cell>
          <cell r="F1029">
            <v>890</v>
          </cell>
        </row>
        <row r="1030">
          <cell r="A1030" t="str">
            <v>BB0288-M</v>
          </cell>
          <cell r="B1030" t="str">
            <v>B288</v>
          </cell>
          <cell r="C1030" t="str">
            <v>เยื่อไผ่ แขนสั้นขายาว Ocean colors M</v>
          </cell>
          <cell r="E1030">
            <v>0</v>
          </cell>
          <cell r="F1030">
            <v>890</v>
          </cell>
        </row>
        <row r="1031">
          <cell r="A1031" t="str">
            <v>BB0288-XL</v>
          </cell>
          <cell r="B1031" t="str">
            <v>B288</v>
          </cell>
          <cell r="C1031" t="str">
            <v>เยื่อไผ่ แขนสั้นขายาว Ocean colors XL</v>
          </cell>
          <cell r="E1031">
            <v>0</v>
          </cell>
          <cell r="F1031">
            <v>890</v>
          </cell>
        </row>
        <row r="1032">
          <cell r="A1032" t="str">
            <v>BB0290-2XL</v>
          </cell>
          <cell r="B1032" t="str">
            <v>B290</v>
          </cell>
          <cell r="C1032" t="str">
            <v>เยื่อไผ่ แขนสั้นขายาว Snowwhite เขียว 2XL</v>
          </cell>
          <cell r="E1032">
            <v>0</v>
          </cell>
          <cell r="F1032">
            <v>890</v>
          </cell>
        </row>
        <row r="1033">
          <cell r="A1033" t="str">
            <v>BB0290-L</v>
          </cell>
          <cell r="B1033" t="str">
            <v>B290</v>
          </cell>
          <cell r="C1033" t="str">
            <v>เยื่อไผ่ แขนสั้นขายาว Snowwhite เขียว L</v>
          </cell>
          <cell r="E1033">
            <v>0</v>
          </cell>
          <cell r="F1033">
            <v>890</v>
          </cell>
        </row>
        <row r="1034">
          <cell r="A1034" t="str">
            <v>BB0290-XL</v>
          </cell>
          <cell r="B1034" t="str">
            <v>B290</v>
          </cell>
          <cell r="C1034" t="str">
            <v>เยื่อไผ่ แขนสั้นขายาว Snowwhite เขียว XL</v>
          </cell>
          <cell r="E1034">
            <v>0</v>
          </cell>
          <cell r="F1034">
            <v>890</v>
          </cell>
        </row>
        <row r="1035">
          <cell r="A1035" t="str">
            <v>BB0291-2XL</v>
          </cell>
          <cell r="B1035" t="str">
            <v>B291</v>
          </cell>
          <cell r="C1035" t="str">
            <v>เยื่อไผ่ แขนสั้นขายาว มัดย้อม 2XL</v>
          </cell>
          <cell r="E1035">
            <v>0</v>
          </cell>
          <cell r="F1035">
            <v>590</v>
          </cell>
        </row>
        <row r="1036">
          <cell r="A1036" t="str">
            <v>BB0291-L</v>
          </cell>
          <cell r="B1036" t="str">
            <v>B291</v>
          </cell>
          <cell r="C1036" t="str">
            <v>เยื่อไผ่ แขนสั้นขายาว มัดย้อม L</v>
          </cell>
          <cell r="E1036">
            <v>0</v>
          </cell>
          <cell r="F1036">
            <v>890</v>
          </cell>
        </row>
        <row r="1037">
          <cell r="A1037" t="str">
            <v>BB0291-M</v>
          </cell>
          <cell r="B1037" t="str">
            <v>B291</v>
          </cell>
          <cell r="C1037" t="str">
            <v>เยื่อไผ่ แขนสั้นขายาว มัดย้อม M</v>
          </cell>
          <cell r="E1037">
            <v>0</v>
          </cell>
          <cell r="F1037">
            <v>890</v>
          </cell>
        </row>
        <row r="1038">
          <cell r="A1038" t="str">
            <v>BB0291-XL</v>
          </cell>
          <cell r="B1038" t="str">
            <v>B291</v>
          </cell>
          <cell r="C1038" t="str">
            <v>เยื่อไผ่ แขนสั้นขายาว มัดย้อม XL</v>
          </cell>
          <cell r="E1038">
            <v>0</v>
          </cell>
          <cell r="F1038">
            <v>890</v>
          </cell>
        </row>
        <row r="1039">
          <cell r="A1039" t="str">
            <v>BB0292-L</v>
          </cell>
          <cell r="B1039" t="str">
            <v>B292</v>
          </cell>
          <cell r="C1039" t="str">
            <v>เยื่อไผ่ แขนสั้นขายาว Black flower  L</v>
          </cell>
          <cell r="E1039">
            <v>0</v>
          </cell>
          <cell r="F1039">
            <v>890</v>
          </cell>
        </row>
        <row r="1040">
          <cell r="A1040" t="str">
            <v>BB0292-M</v>
          </cell>
          <cell r="B1040" t="str">
            <v>B292</v>
          </cell>
          <cell r="C1040" t="str">
            <v>เยื่อไผ่ แขนสั้นขายาว Black flower  M</v>
          </cell>
          <cell r="E1040">
            <v>0</v>
          </cell>
          <cell r="F1040">
            <v>890</v>
          </cell>
        </row>
        <row r="1041">
          <cell r="A1041" t="str">
            <v>BB0292-XL</v>
          </cell>
          <cell r="B1041" t="str">
            <v>B292</v>
          </cell>
          <cell r="C1041" t="str">
            <v>เยื่อไผ่ แขนสั้นขายาว Black flower  XL</v>
          </cell>
          <cell r="E1041">
            <v>0</v>
          </cell>
          <cell r="F1041">
            <v>890</v>
          </cell>
        </row>
        <row r="1042">
          <cell r="A1042" t="str">
            <v>BB0293-L</v>
          </cell>
          <cell r="B1042" t="str">
            <v>B293</v>
          </cell>
          <cell r="C1042" t="str">
            <v>เยื่อไผ่ แขนสั้นขายาว Pink flower green L</v>
          </cell>
          <cell r="E1042">
            <v>0</v>
          </cell>
          <cell r="F1042">
            <v>890</v>
          </cell>
        </row>
        <row r="1043">
          <cell r="A1043" t="str">
            <v>BB0293-M</v>
          </cell>
          <cell r="B1043" t="str">
            <v>B293</v>
          </cell>
          <cell r="C1043" t="str">
            <v>เยื่อไผ่ แขนสั้นขายาว Pink flower green M</v>
          </cell>
          <cell r="E1043">
            <v>0</v>
          </cell>
          <cell r="F1043">
            <v>890</v>
          </cell>
        </row>
        <row r="1044">
          <cell r="A1044" t="str">
            <v>BB0293-S</v>
          </cell>
          <cell r="B1044" t="str">
            <v>JB293</v>
          </cell>
          <cell r="C1044" t="str">
            <v>เยื่อไผ่ แขนสั้นขายาว Pink flower green S ตัวโชว์</v>
          </cell>
          <cell r="E1044">
            <v>0</v>
          </cell>
          <cell r="F1044">
            <v>890</v>
          </cell>
        </row>
        <row r="1045">
          <cell r="A1045" t="str">
            <v>BB0293-XL</v>
          </cell>
          <cell r="B1045" t="str">
            <v>B293</v>
          </cell>
          <cell r="C1045" t="str">
            <v>เยื่อไผ่ แขนสั้นขายาว Pink flower green XL</v>
          </cell>
          <cell r="E1045">
            <v>0</v>
          </cell>
          <cell r="F1045">
            <v>890</v>
          </cell>
        </row>
        <row r="1046">
          <cell r="A1046" t="str">
            <v>BB0300-2XL</v>
          </cell>
          <cell r="B1046" t="str">
            <v>B300</v>
          </cell>
          <cell r="C1046" t="str">
            <v>เยื่อไผ่ แขนสั้นขายาว ช้างน้อยพ่นน้ำ พื้นฟ้า 2XL</v>
          </cell>
          <cell r="E1046">
            <v>0</v>
          </cell>
          <cell r="F1046">
            <v>590</v>
          </cell>
        </row>
        <row r="1047">
          <cell r="A1047" t="str">
            <v>BB0300-L</v>
          </cell>
          <cell r="B1047" t="str">
            <v>B300</v>
          </cell>
          <cell r="C1047" t="str">
            <v>เยื่อไผ่ แขนสั้นขายาว ช้างน้อยพ่นน้ำ พื้นฟ้า L</v>
          </cell>
          <cell r="E1047">
            <v>0</v>
          </cell>
          <cell r="F1047">
            <v>890</v>
          </cell>
        </row>
        <row r="1048">
          <cell r="A1048" t="str">
            <v>BB0300-M</v>
          </cell>
          <cell r="B1048" t="str">
            <v>B300</v>
          </cell>
          <cell r="C1048" t="str">
            <v>เยื่อไผ่ แขนสั้นขายาว ช้างน้อยพ่นน้ำ พื้นฟ้า M</v>
          </cell>
          <cell r="E1048">
            <v>0</v>
          </cell>
          <cell r="F1048">
            <v>890</v>
          </cell>
        </row>
        <row r="1049">
          <cell r="A1049" t="str">
            <v>BB0300-XL</v>
          </cell>
          <cell r="B1049" t="str">
            <v>B300</v>
          </cell>
          <cell r="C1049" t="str">
            <v>เยื่อไผ่ แขนสั้นขายาว ช้างน้อยพ่นน้ำ พื้นฟ้า XL</v>
          </cell>
          <cell r="E1049">
            <v>0</v>
          </cell>
          <cell r="F1049">
            <v>890</v>
          </cell>
        </row>
        <row r="1050">
          <cell r="A1050" t="str">
            <v>BB0310-L</v>
          </cell>
          <cell r="B1050" t="str">
            <v>B310</v>
          </cell>
          <cell r="C1050" t="str">
            <v>เยื่อไผ่ แขนสั้นขายาว ดอกไม้ขาว พื้นฟ้า L</v>
          </cell>
          <cell r="E1050">
            <v>0</v>
          </cell>
          <cell r="F1050">
            <v>890</v>
          </cell>
        </row>
        <row r="1051">
          <cell r="A1051" t="str">
            <v>BB0310-M</v>
          </cell>
          <cell r="B1051" t="str">
            <v>B310</v>
          </cell>
          <cell r="C1051" t="str">
            <v>เยื่อไผ่ แขนสั้นขายาว ดอกไม้ขาว พื้นฟ้า M</v>
          </cell>
          <cell r="E1051">
            <v>0</v>
          </cell>
          <cell r="F1051">
            <v>890</v>
          </cell>
        </row>
        <row r="1052">
          <cell r="A1052" t="str">
            <v>BB0310-S</v>
          </cell>
          <cell r="B1052" t="str">
            <v>B310</v>
          </cell>
          <cell r="C1052" t="str">
            <v>เยื่อไผ่ แขนสั้นขายาว ดอกไม้ขาว พื้นฟ้า S</v>
          </cell>
          <cell r="E1052">
            <v>0</v>
          </cell>
          <cell r="F1052">
            <v>890</v>
          </cell>
        </row>
        <row r="1053">
          <cell r="A1053" t="str">
            <v>BB0310-XL</v>
          </cell>
          <cell r="B1053" t="str">
            <v>B310</v>
          </cell>
          <cell r="C1053" t="str">
            <v>เยื่อไผ่ แขนสั้นขายาว ดอกไม้ขาว พื้นฟ้า XL</v>
          </cell>
          <cell r="E1053">
            <v>0</v>
          </cell>
          <cell r="F1053">
            <v>890</v>
          </cell>
        </row>
        <row r="1054">
          <cell r="A1054" t="str">
            <v>BB0311-L</v>
          </cell>
          <cell r="B1054" t="str">
            <v>B311</v>
          </cell>
          <cell r="C1054" t="str">
            <v>เยื่อไผ่ แขนสั้นขายาว ลายทางพลาสเทล ฟ้า L</v>
          </cell>
          <cell r="E1054">
            <v>0</v>
          </cell>
          <cell r="F1054">
            <v>890</v>
          </cell>
        </row>
        <row r="1055">
          <cell r="A1055" t="str">
            <v>BB0311-M</v>
          </cell>
          <cell r="B1055" t="str">
            <v>B311</v>
          </cell>
          <cell r="C1055" t="str">
            <v>เยื่อไผ่ แขนสั้นขายาว ลายทางพลาสเทล ฟ้า M</v>
          </cell>
          <cell r="E1055">
            <v>0</v>
          </cell>
          <cell r="F1055">
            <v>890</v>
          </cell>
        </row>
        <row r="1056">
          <cell r="A1056" t="str">
            <v>BB0311-S</v>
          </cell>
          <cell r="B1056" t="str">
            <v>B311</v>
          </cell>
          <cell r="C1056" t="str">
            <v>เยื่อไผ่ แขนสั้นขายาว ลายทางพลาสเทล ฟ้า S</v>
          </cell>
          <cell r="E1056">
            <v>0</v>
          </cell>
          <cell r="F1056">
            <v>890</v>
          </cell>
        </row>
        <row r="1057">
          <cell r="A1057" t="str">
            <v>BB0311-XL</v>
          </cell>
          <cell r="B1057" t="str">
            <v>B311</v>
          </cell>
          <cell r="C1057" t="str">
            <v>เยื่อไผ่ แขนสั้นขายาว ลายทางพลาสเทล ฟ้า XL</v>
          </cell>
          <cell r="E1057">
            <v>0</v>
          </cell>
          <cell r="F1057">
            <v>890</v>
          </cell>
        </row>
        <row r="1058">
          <cell r="A1058" t="str">
            <v>BB0313-L</v>
          </cell>
          <cell r="B1058" t="str">
            <v>JB313</v>
          </cell>
          <cell r="C1058" t="str">
            <v>เยื่อไผ่ แขนสั้นขายาว แพนด้า เหลือง L ตัวโชว์</v>
          </cell>
          <cell r="E1058">
            <v>0</v>
          </cell>
          <cell r="F1058">
            <v>890</v>
          </cell>
        </row>
        <row r="1059">
          <cell r="A1059" t="str">
            <v>BB0313-M</v>
          </cell>
          <cell r="B1059" t="str">
            <v>JB313</v>
          </cell>
          <cell r="C1059" t="str">
            <v>เยื่อไผ่ แขนสั้นขายาว แพนด้า เหลือง M ตัวโชว์</v>
          </cell>
          <cell r="E1059">
            <v>0</v>
          </cell>
          <cell r="F1059">
            <v>890</v>
          </cell>
        </row>
        <row r="1060">
          <cell r="A1060" t="str">
            <v>BB0313-S</v>
          </cell>
          <cell r="B1060" t="str">
            <v>QB313</v>
          </cell>
          <cell r="C1060" t="str">
            <v>เยื่อไผ่ แขนสั้นขายาว แพนด้า เหลือง S QC</v>
          </cell>
          <cell r="E1060">
            <v>0</v>
          </cell>
          <cell r="F1060">
            <v>890</v>
          </cell>
        </row>
        <row r="1061">
          <cell r="A1061" t="str">
            <v>BB0313-XL</v>
          </cell>
          <cell r="B1061" t="str">
            <v>JB313</v>
          </cell>
          <cell r="C1061" t="str">
            <v>เยื่อไผ่ แขนสั้นขายาว แพนด้า เหลือง XL ตัวโชว์</v>
          </cell>
          <cell r="E1061">
            <v>0</v>
          </cell>
          <cell r="F1061">
            <v>890</v>
          </cell>
        </row>
        <row r="1062">
          <cell r="A1062" t="str">
            <v>BB0314-L</v>
          </cell>
          <cell r="B1062" t="str">
            <v>B314</v>
          </cell>
          <cell r="C1062" t="str">
            <v>เยื่อไผ่ แขนสั้นขายาว Wall Flower L</v>
          </cell>
          <cell r="E1062">
            <v>0</v>
          </cell>
          <cell r="F1062">
            <v>890</v>
          </cell>
        </row>
        <row r="1063">
          <cell r="A1063" t="str">
            <v>BB0314-M</v>
          </cell>
          <cell r="B1063" t="str">
            <v>B314</v>
          </cell>
          <cell r="C1063" t="str">
            <v>เยื่อไผ่ แขนสั้นขายาว Wall Flower M</v>
          </cell>
          <cell r="E1063">
            <v>0</v>
          </cell>
          <cell r="F1063">
            <v>890</v>
          </cell>
        </row>
        <row r="1064">
          <cell r="A1064" t="str">
            <v>BB0314-S</v>
          </cell>
          <cell r="B1064" t="str">
            <v>B314</v>
          </cell>
          <cell r="C1064" t="str">
            <v>เยื่อไผ่ แขนสั้นขายาว Wall Flower S</v>
          </cell>
          <cell r="E1064">
            <v>0</v>
          </cell>
          <cell r="F1064">
            <v>890</v>
          </cell>
        </row>
        <row r="1065">
          <cell r="A1065" t="str">
            <v>BB0314-XL</v>
          </cell>
          <cell r="B1065" t="str">
            <v>B314</v>
          </cell>
          <cell r="C1065" t="str">
            <v>เยื่อไผ่ แขนสั้นขายาว Wall Flower XL</v>
          </cell>
          <cell r="E1065">
            <v>0</v>
          </cell>
          <cell r="F1065">
            <v>890</v>
          </cell>
        </row>
        <row r="1066">
          <cell r="A1066" t="str">
            <v>BB0315-L</v>
          </cell>
          <cell r="B1066" t="str">
            <v>B315</v>
          </cell>
          <cell r="C1066" t="str">
            <v>เยื่อไผ่ แขนสั้นขายาว Daisy pink L</v>
          </cell>
          <cell r="E1066">
            <v>0</v>
          </cell>
          <cell r="F1066">
            <v>890</v>
          </cell>
        </row>
        <row r="1067">
          <cell r="A1067" t="str">
            <v>BB0315-M</v>
          </cell>
          <cell r="B1067" t="str">
            <v>B315</v>
          </cell>
          <cell r="C1067" t="str">
            <v>เยื่อไผ่ แขนสั้นขายาว Daisy pink M</v>
          </cell>
          <cell r="E1067">
            <v>0</v>
          </cell>
          <cell r="F1067">
            <v>890</v>
          </cell>
        </row>
        <row r="1068">
          <cell r="A1068" t="str">
            <v>BB0315-S</v>
          </cell>
          <cell r="B1068" t="str">
            <v>B315</v>
          </cell>
          <cell r="C1068" t="str">
            <v>เยื่อไผ่ แขนสั้นขายาว Daisy pink S</v>
          </cell>
          <cell r="E1068">
            <v>0</v>
          </cell>
          <cell r="F1068">
            <v>890</v>
          </cell>
        </row>
        <row r="1069">
          <cell r="A1069" t="str">
            <v>BB0315-XL</v>
          </cell>
          <cell r="B1069" t="str">
            <v>B315</v>
          </cell>
          <cell r="C1069" t="str">
            <v>เยื่อไผ่ แขนสั้นขายาว Daisy pink XL</v>
          </cell>
          <cell r="E1069">
            <v>0</v>
          </cell>
          <cell r="F1069">
            <v>890</v>
          </cell>
        </row>
        <row r="1070">
          <cell r="A1070" t="str">
            <v>BB0316-L</v>
          </cell>
          <cell r="B1070" t="str">
            <v>B316</v>
          </cell>
          <cell r="C1070" t="str">
            <v>เยื่อไผ่ แขนสั้นขายาว ใบบัว พื้นน้ำตาล L</v>
          </cell>
          <cell r="E1070">
            <v>0</v>
          </cell>
          <cell r="F1070">
            <v>890</v>
          </cell>
        </row>
        <row r="1071">
          <cell r="A1071" t="str">
            <v>BB0316-M</v>
          </cell>
          <cell r="B1071" t="str">
            <v>B316</v>
          </cell>
          <cell r="C1071" t="str">
            <v>เยื่อไผ่ แขนสั้นขายาว ใบบัว พื้นน้ำตาล M</v>
          </cell>
          <cell r="E1071">
            <v>0</v>
          </cell>
          <cell r="F1071">
            <v>890</v>
          </cell>
        </row>
        <row r="1072">
          <cell r="A1072" t="str">
            <v>BB0316-S</v>
          </cell>
          <cell r="B1072" t="str">
            <v>B316</v>
          </cell>
          <cell r="C1072" t="str">
            <v>เยื่อไผ่ แขนสั้นขายาว ใบบัว พื้นน้ำตาล S</v>
          </cell>
          <cell r="E1072">
            <v>0</v>
          </cell>
          <cell r="F1072">
            <v>890</v>
          </cell>
        </row>
        <row r="1073">
          <cell r="A1073" t="str">
            <v>BB0316-XL</v>
          </cell>
          <cell r="B1073" t="str">
            <v>B316</v>
          </cell>
          <cell r="C1073" t="str">
            <v>เยื่อไผ่ แขนสั้นขายาว ใบบัว พื้นน้ำตาล XL</v>
          </cell>
          <cell r="E1073">
            <v>0</v>
          </cell>
          <cell r="F1073">
            <v>890</v>
          </cell>
        </row>
        <row r="1074">
          <cell r="A1074" t="str">
            <v>BB0320-L</v>
          </cell>
          <cell r="B1074" t="str">
            <v>B320</v>
          </cell>
          <cell r="C1074" t="str">
            <v>เยื่อไผ่ แขนสั้นขายาว Jamaican Cherry พื้นชมพู L</v>
          </cell>
          <cell r="E1074">
            <v>0</v>
          </cell>
          <cell r="F1074">
            <v>890</v>
          </cell>
        </row>
        <row r="1075">
          <cell r="A1075" t="str">
            <v>BB0320-M</v>
          </cell>
          <cell r="B1075" t="str">
            <v>BB320</v>
          </cell>
          <cell r="C1075" t="str">
            <v>เยื่อไผ่ แขนสั้นขายาว Jamaican Cherry พื้นชมพู M</v>
          </cell>
          <cell r="E1075">
            <v>0</v>
          </cell>
          <cell r="F1075">
            <v>890</v>
          </cell>
        </row>
        <row r="1076">
          <cell r="A1076" t="str">
            <v>BB0320-S</v>
          </cell>
          <cell r="B1076" t="str">
            <v>B320</v>
          </cell>
          <cell r="C1076" t="str">
            <v>เยื่อไผ่ แขนสั้นขายาว Jamaican Cherry พื้นชมพู S</v>
          </cell>
          <cell r="E1076">
            <v>0</v>
          </cell>
          <cell r="F1076">
            <v>890</v>
          </cell>
        </row>
        <row r="1077">
          <cell r="A1077" t="str">
            <v>BB0320-XL</v>
          </cell>
          <cell r="B1077" t="str">
            <v>B320</v>
          </cell>
          <cell r="C1077" t="str">
            <v>เยื่อไผ่ แขนสั้นขายาว Jamaican Cherry พื้นชมพู XL</v>
          </cell>
          <cell r="E1077">
            <v>0</v>
          </cell>
          <cell r="F1077">
            <v>890</v>
          </cell>
        </row>
        <row r="1078">
          <cell r="A1078" t="str">
            <v>BB0321-L</v>
          </cell>
          <cell r="B1078" t="str">
            <v>B321</v>
          </cell>
          <cell r="C1078" t="str">
            <v>เยื่อไผ่ แขนสั้นขายาว ดอกชบา พื้นเขียว L</v>
          </cell>
          <cell r="E1078">
            <v>0</v>
          </cell>
          <cell r="F1078">
            <v>890</v>
          </cell>
        </row>
        <row r="1079">
          <cell r="A1079" t="str">
            <v>BB0321-M</v>
          </cell>
          <cell r="B1079" t="str">
            <v>B321</v>
          </cell>
          <cell r="C1079" t="str">
            <v>เยื่อไผ่ แขนสั้นขายาว ดอกชบา พื้นเขียว M</v>
          </cell>
          <cell r="E1079">
            <v>0</v>
          </cell>
          <cell r="F1079">
            <v>890</v>
          </cell>
        </row>
        <row r="1080">
          <cell r="A1080" t="str">
            <v>BB0321-S</v>
          </cell>
          <cell r="B1080" t="str">
            <v>B321</v>
          </cell>
          <cell r="C1080" t="str">
            <v>เยื่อไผ่ แขนสั้นขายาว ดอกชบา พื้นเขียว S</v>
          </cell>
          <cell r="E1080">
            <v>0</v>
          </cell>
          <cell r="F1080">
            <v>890</v>
          </cell>
        </row>
        <row r="1081">
          <cell r="A1081" t="str">
            <v>BB0321-XL</v>
          </cell>
          <cell r="B1081" t="str">
            <v>B321</v>
          </cell>
          <cell r="C1081" t="str">
            <v>เยื่อไผ่ แขนสั้นขายาว ดอกชบา พื้นเขียว XL</v>
          </cell>
          <cell r="E1081">
            <v>0</v>
          </cell>
          <cell r="F1081">
            <v>890</v>
          </cell>
        </row>
        <row r="1082">
          <cell r="A1082" t="str">
            <v>BB0322-L</v>
          </cell>
          <cell r="B1082" t="str">
            <v>B322</v>
          </cell>
          <cell r="C1082" t="str">
            <v>เยื่อไผ่ แขนสั้นขายาว ดอกไม้เล็กชมพู คอปก L</v>
          </cell>
          <cell r="E1082">
            <v>0</v>
          </cell>
          <cell r="F1082">
            <v>890</v>
          </cell>
        </row>
        <row r="1083">
          <cell r="A1083" t="str">
            <v>BB0322-M</v>
          </cell>
          <cell r="B1083" t="str">
            <v>B322</v>
          </cell>
          <cell r="C1083" t="str">
            <v>เยื่อไผ่ แขนสั้นขายาว ดอกไม้เล็กชมพู คอปก M</v>
          </cell>
          <cell r="E1083">
            <v>0</v>
          </cell>
          <cell r="F1083">
            <v>890</v>
          </cell>
        </row>
        <row r="1084">
          <cell r="A1084" t="str">
            <v>BB0322-S</v>
          </cell>
          <cell r="B1084" t="str">
            <v>QB322</v>
          </cell>
          <cell r="C1084" t="str">
            <v>เยื่อไผ่ แขนสั้นขายาว ดอกไม้เล็กชมพู คอปก S QC</v>
          </cell>
          <cell r="E1084">
            <v>0</v>
          </cell>
          <cell r="F1084">
            <v>890</v>
          </cell>
        </row>
        <row r="1085">
          <cell r="A1085" t="str">
            <v>BB0322-XL</v>
          </cell>
          <cell r="B1085" t="str">
            <v>B322</v>
          </cell>
          <cell r="C1085" t="str">
            <v>เยื่อไผ่ แขนสั้นขายาว ดอกไม้เล็กชมพู คอปก XL</v>
          </cell>
          <cell r="E1085">
            <v>0</v>
          </cell>
          <cell r="F1085">
            <v>890</v>
          </cell>
        </row>
        <row r="1086">
          <cell r="A1086" t="str">
            <v>BB0323-L</v>
          </cell>
          <cell r="B1086" t="str">
            <v>B323</v>
          </cell>
          <cell r="C1086" t="str">
            <v>เยื่อไผ่ แขนสั้นขายาว Jungle Cruise ดำ L</v>
          </cell>
          <cell r="E1086">
            <v>0</v>
          </cell>
          <cell r="F1086">
            <v>890</v>
          </cell>
        </row>
        <row r="1087">
          <cell r="A1087" t="str">
            <v>BB0323-M</v>
          </cell>
          <cell r="B1087" t="str">
            <v>B323</v>
          </cell>
          <cell r="C1087" t="str">
            <v>เยื่อไผ่ แขนสั้นขายาว Jungle Cruise ดำ M</v>
          </cell>
          <cell r="E1087">
            <v>0</v>
          </cell>
          <cell r="F1087">
            <v>890</v>
          </cell>
        </row>
        <row r="1088">
          <cell r="A1088" t="str">
            <v>BB0323-S</v>
          </cell>
          <cell r="B1088" t="str">
            <v>B323</v>
          </cell>
          <cell r="C1088" t="str">
            <v>เยื่อไผ่ แขนสั้นขายาว Jungle Cruise ดำ S</v>
          </cell>
          <cell r="E1088">
            <v>0</v>
          </cell>
          <cell r="F1088">
            <v>890</v>
          </cell>
        </row>
        <row r="1089">
          <cell r="A1089" t="str">
            <v>BB0323-XL</v>
          </cell>
          <cell r="B1089" t="str">
            <v>B323</v>
          </cell>
          <cell r="C1089" t="str">
            <v>เยื่อไผ่ แขนสั้นขายาว Jungle Cruise ดำ XL</v>
          </cell>
          <cell r="E1089">
            <v>0</v>
          </cell>
          <cell r="F1089">
            <v>890</v>
          </cell>
        </row>
        <row r="1090">
          <cell r="A1090" t="str">
            <v>BB0324-L</v>
          </cell>
          <cell r="B1090" t="str">
            <v>B324</v>
          </cell>
          <cell r="C1090" t="str">
            <v>เยื่อไผ่ แขนสั้นขายาว Jungle Cruise ครีม L</v>
          </cell>
          <cell r="E1090">
            <v>0</v>
          </cell>
          <cell r="F1090">
            <v>890</v>
          </cell>
        </row>
        <row r="1091">
          <cell r="A1091" t="str">
            <v>BB0324-M</v>
          </cell>
          <cell r="B1091" t="str">
            <v>QB324</v>
          </cell>
          <cell r="C1091" t="str">
            <v>เยื่อไผ่ แขนสั้นขายาว Jungle Cruise ครีม M</v>
          </cell>
          <cell r="E1091">
            <v>0</v>
          </cell>
          <cell r="F1091">
            <v>590</v>
          </cell>
        </row>
        <row r="1092">
          <cell r="A1092" t="str">
            <v>BB0324-S</v>
          </cell>
          <cell r="B1092" t="str">
            <v>B324</v>
          </cell>
          <cell r="C1092" t="str">
            <v>เยื่อไผ่ แขนสั้นขายาว Jungle Cruise ครีม S</v>
          </cell>
          <cell r="E1092">
            <v>0</v>
          </cell>
          <cell r="F1092">
            <v>890</v>
          </cell>
        </row>
        <row r="1093">
          <cell r="A1093" t="str">
            <v>BB0324-XL</v>
          </cell>
          <cell r="B1093" t="str">
            <v>QB324</v>
          </cell>
          <cell r="C1093" t="str">
            <v>เยื่อไผ่ แขนสั้นขายาว Jungle Cruise ครีม XL QC</v>
          </cell>
          <cell r="E1093">
            <v>0</v>
          </cell>
          <cell r="F1093">
            <v>890</v>
          </cell>
        </row>
        <row r="1094">
          <cell r="A1094" t="str">
            <v>BB0325-L</v>
          </cell>
          <cell r="B1094" t="str">
            <v>B325</v>
          </cell>
          <cell r="C1094" t="str">
            <v>เยื่อไผ่ แขนสั้นขายาว ดอกไม้สีฟ้า สีเหลือง พื้นขาว L</v>
          </cell>
          <cell r="E1094">
            <v>0</v>
          </cell>
          <cell r="F1094">
            <v>890</v>
          </cell>
        </row>
        <row r="1095">
          <cell r="A1095" t="str">
            <v>BB0325-M</v>
          </cell>
          <cell r="B1095" t="str">
            <v>B325</v>
          </cell>
          <cell r="C1095" t="str">
            <v>เยื่อไผ่ แขนสั้นขายาว ดอกไม้สีฟ้า สีเหลือง พื้นขาว M</v>
          </cell>
          <cell r="E1095">
            <v>0</v>
          </cell>
          <cell r="F1095">
            <v>890</v>
          </cell>
        </row>
        <row r="1096">
          <cell r="A1096" t="str">
            <v>BB0325-S</v>
          </cell>
          <cell r="B1096" t="str">
            <v>B325</v>
          </cell>
          <cell r="C1096" t="str">
            <v>เยื่อไผ่ แขนสั้นขายาว ดอกไม้สีฟ้า สีเหลือง พื้นขาว S</v>
          </cell>
          <cell r="E1096">
            <v>0</v>
          </cell>
          <cell r="F1096">
            <v>890</v>
          </cell>
        </row>
        <row r="1097">
          <cell r="A1097" t="str">
            <v>BB0325-XL</v>
          </cell>
          <cell r="B1097" t="str">
            <v>B325</v>
          </cell>
          <cell r="C1097" t="str">
            <v>เยื่อไผ่ แขนสั้นขายาว ดอกไม้สีฟ้า สีเหลือง พื้นขาว XL</v>
          </cell>
          <cell r="E1097">
            <v>0</v>
          </cell>
          <cell r="F1097">
            <v>890</v>
          </cell>
        </row>
        <row r="1098">
          <cell r="A1098" t="str">
            <v>BB0326-L</v>
          </cell>
          <cell r="B1098" t="str">
            <v>B326</v>
          </cell>
          <cell r="C1098" t="str">
            <v>เยื่อไผ่ แขนสั้นขายาว ดอกไม้น้อย สีชมพู พื้นวนิลา L</v>
          </cell>
          <cell r="E1098">
            <v>0</v>
          </cell>
          <cell r="F1098">
            <v>890</v>
          </cell>
        </row>
        <row r="1099">
          <cell r="A1099" t="str">
            <v>BB0326-M</v>
          </cell>
          <cell r="B1099" t="str">
            <v>B326</v>
          </cell>
          <cell r="C1099" t="str">
            <v>เยื่อไผ่ แขนสั้นขายาว ดอกไม้น้อย สีชมพู พื้นวนิลา M</v>
          </cell>
          <cell r="E1099">
            <v>0</v>
          </cell>
          <cell r="F1099">
            <v>890</v>
          </cell>
        </row>
        <row r="1100">
          <cell r="A1100" t="str">
            <v>BB0326-S</v>
          </cell>
          <cell r="B1100" t="str">
            <v>B326</v>
          </cell>
          <cell r="C1100" t="str">
            <v>เยื่อไผ่ แขนสั้นขายาว ดอกไม้น้อย สีชมพู พื้นวนิลา S</v>
          </cell>
          <cell r="E1100">
            <v>0</v>
          </cell>
          <cell r="F1100">
            <v>890</v>
          </cell>
        </row>
        <row r="1101">
          <cell r="A1101" t="str">
            <v>BB0326-XL</v>
          </cell>
          <cell r="B1101" t="str">
            <v>B326</v>
          </cell>
          <cell r="C1101" t="str">
            <v>เยื่อไผ่ แขนสั้นขายาว ดอกไม้น้อย สีชมพู พื้นวนิลา XL</v>
          </cell>
          <cell r="E1101">
            <v>0</v>
          </cell>
          <cell r="F1101">
            <v>890</v>
          </cell>
        </row>
        <row r="1102">
          <cell r="A1102" t="str">
            <v>BB0327-L</v>
          </cell>
          <cell r="B1102" t="str">
            <v>B327</v>
          </cell>
          <cell r="C1102" t="str">
            <v>เยื่อไผ่ แขนสั้นขายาว ดอกไม้อวกาศ พื้นชมพู L</v>
          </cell>
          <cell r="E1102">
            <v>0</v>
          </cell>
          <cell r="F1102">
            <v>890</v>
          </cell>
        </row>
        <row r="1103">
          <cell r="A1103" t="str">
            <v>BB0327-M</v>
          </cell>
          <cell r="B1103" t="str">
            <v>B327</v>
          </cell>
          <cell r="C1103" t="str">
            <v>เยื่อไผ่ แขนสั้นขายาว ดอกไม้อวกาศ พื้นชมพู M</v>
          </cell>
          <cell r="E1103">
            <v>0</v>
          </cell>
          <cell r="F1103">
            <v>890</v>
          </cell>
        </row>
        <row r="1104">
          <cell r="A1104" t="str">
            <v>BB0327-S</v>
          </cell>
          <cell r="B1104" t="str">
            <v>B327</v>
          </cell>
          <cell r="C1104" t="str">
            <v>เยื่อไผ่ แขนสั้นขายาว ดอกไม้อวกาศ พื้นชมพู S</v>
          </cell>
          <cell r="E1104">
            <v>0</v>
          </cell>
          <cell r="F1104">
            <v>890</v>
          </cell>
        </row>
        <row r="1105">
          <cell r="A1105" t="str">
            <v>BB0327-XL</v>
          </cell>
          <cell r="B1105" t="str">
            <v>B327</v>
          </cell>
          <cell r="C1105" t="str">
            <v>เยื่อไผ่ แขนสั้นขายาว ดอกไม้อวกาศ พื้นชมพู XL</v>
          </cell>
          <cell r="E1105">
            <v>0</v>
          </cell>
          <cell r="F1105">
            <v>890</v>
          </cell>
        </row>
        <row r="1106">
          <cell r="A1106" t="str">
            <v>BB0328-L</v>
          </cell>
          <cell r="B1106" t="str">
            <v>JB328</v>
          </cell>
          <cell r="C1106" t="str">
            <v>เยื่อไผ่ แขนสั้นขายาว ลายทางฟ้า ครีม คอปกดอกไม้ L</v>
          </cell>
          <cell r="E1106">
            <v>0</v>
          </cell>
          <cell r="F1106">
            <v>890</v>
          </cell>
        </row>
        <row r="1107">
          <cell r="A1107" t="str">
            <v>BB0328-M</v>
          </cell>
          <cell r="B1107" t="str">
            <v>B328</v>
          </cell>
          <cell r="C1107" t="str">
            <v>เยื่อไผ่ แขนสั้นขายาว ลายทางฟ้า ครีม คอปกดอกไม้ M</v>
          </cell>
          <cell r="E1107">
            <v>0</v>
          </cell>
          <cell r="F1107">
            <v>890</v>
          </cell>
        </row>
        <row r="1108">
          <cell r="A1108" t="str">
            <v>BB0328-S</v>
          </cell>
          <cell r="B1108" t="str">
            <v>B328</v>
          </cell>
          <cell r="C1108" t="str">
            <v>เยื่อไผ่ แขนสั้นขายาว ลายทางฟ้า ครีม คอปกดอกไม้ S</v>
          </cell>
          <cell r="E1108">
            <v>0</v>
          </cell>
          <cell r="F1108">
            <v>890</v>
          </cell>
        </row>
        <row r="1109">
          <cell r="A1109" t="str">
            <v>BB0328-XL</v>
          </cell>
          <cell r="B1109" t="str">
            <v>JB328</v>
          </cell>
          <cell r="C1109" t="str">
            <v>เยื่อไผ่ แขนสั้นขายาว ลายทางฟ้า ครีม คอปกดอกไม้ XL</v>
          </cell>
          <cell r="E1109">
            <v>0</v>
          </cell>
          <cell r="F1109">
            <v>890</v>
          </cell>
        </row>
        <row r="1110">
          <cell r="A1110" t="str">
            <v>BB0329-L</v>
          </cell>
          <cell r="B1110" t="str">
            <v>B329</v>
          </cell>
          <cell r="C1110" t="str">
            <v>เยื่อไผ่ แขนสั้นขายาว พื้นดำ คอปกขาว กระดุมมุก L</v>
          </cell>
          <cell r="E1110">
            <v>0</v>
          </cell>
          <cell r="F1110">
            <v>890</v>
          </cell>
        </row>
        <row r="1111">
          <cell r="A1111" t="str">
            <v>BB0329-M</v>
          </cell>
          <cell r="B1111" t="str">
            <v>B329</v>
          </cell>
          <cell r="C1111" t="str">
            <v>เยื่อไผ่ แขนสั้นขายาว พื้นดำ คอปกขาว กระดุมมุก M</v>
          </cell>
          <cell r="E1111">
            <v>0</v>
          </cell>
          <cell r="F1111">
            <v>890</v>
          </cell>
        </row>
        <row r="1112">
          <cell r="A1112" t="str">
            <v>BB0329-S</v>
          </cell>
          <cell r="B1112" t="str">
            <v>QB329</v>
          </cell>
          <cell r="C1112" t="str">
            <v>เยื่อไผ่ แขนสั้นขายาว พื้นดำ คอปกขาว กระดุมมุก S QC</v>
          </cell>
          <cell r="E1112">
            <v>0</v>
          </cell>
          <cell r="F1112">
            <v>890</v>
          </cell>
        </row>
        <row r="1113">
          <cell r="A1113" t="str">
            <v>BB0337-L</v>
          </cell>
          <cell r="B1113" t="str">
            <v>B337</v>
          </cell>
          <cell r="C1113" t="str">
            <v>เยื่อไผ่ แขนสั้นขายาว แมวฟ้า กุ๊นขอบ L</v>
          </cell>
          <cell r="E1113">
            <v>0</v>
          </cell>
          <cell r="F1113">
            <v>890</v>
          </cell>
        </row>
        <row r="1114">
          <cell r="A1114" t="str">
            <v>BB0337-M</v>
          </cell>
          <cell r="B1114" t="str">
            <v>B337</v>
          </cell>
          <cell r="C1114" t="str">
            <v>เยื่อไผ่ แขนสั้นขายาว แมวฟ้า กุ๊นขอบ M</v>
          </cell>
          <cell r="E1114">
            <v>0</v>
          </cell>
          <cell r="F1114">
            <v>890</v>
          </cell>
        </row>
        <row r="1115">
          <cell r="A1115" t="str">
            <v>BB0337-S</v>
          </cell>
          <cell r="B1115" t="str">
            <v>B337</v>
          </cell>
          <cell r="C1115" t="str">
            <v>เยื่อไผ่ แขนสั้นขายาว แมวฟ้า กุ๊นขอบ S</v>
          </cell>
          <cell r="E1115">
            <v>0</v>
          </cell>
          <cell r="F1115">
            <v>890</v>
          </cell>
        </row>
        <row r="1116">
          <cell r="A1116" t="str">
            <v>BB0339-L</v>
          </cell>
          <cell r="B1116" t="str">
            <v>B339</v>
          </cell>
          <cell r="C1116" t="str">
            <v>เยื่อไผ่ แขนสั้นขายาว หมีแพนด้า พื้นขาว L</v>
          </cell>
          <cell r="E1116">
            <v>0</v>
          </cell>
          <cell r="F1116">
            <v>890</v>
          </cell>
        </row>
        <row r="1117">
          <cell r="A1117" t="str">
            <v>BB0339-M</v>
          </cell>
          <cell r="B1117" t="str">
            <v>B339</v>
          </cell>
          <cell r="C1117" t="str">
            <v>เยื่อไผ่ แขนสั้นขายาว หมีแพนด้า พื้นขาว M</v>
          </cell>
          <cell r="E1117">
            <v>0</v>
          </cell>
          <cell r="F1117">
            <v>890</v>
          </cell>
        </row>
        <row r="1118">
          <cell r="A1118" t="str">
            <v>BB0339-S</v>
          </cell>
          <cell r="B1118" t="str">
            <v>B339</v>
          </cell>
          <cell r="C1118" t="str">
            <v>เยื่อไผ่ แขนสั้นขายาว หมีแพนด้า พื้นขาว S</v>
          </cell>
          <cell r="E1118">
            <v>0</v>
          </cell>
          <cell r="F1118">
            <v>890</v>
          </cell>
        </row>
        <row r="1119">
          <cell r="A1119" t="str">
            <v>BB0339-XL</v>
          </cell>
          <cell r="B1119" t="str">
            <v>B339</v>
          </cell>
          <cell r="C1119" t="str">
            <v>เยื่อไผ่ แขนสั้นขายาว หมีแพนด้า พื้นขาว XL</v>
          </cell>
          <cell r="E1119">
            <v>0</v>
          </cell>
          <cell r="F1119">
            <v>890</v>
          </cell>
        </row>
        <row r="1120">
          <cell r="A1120" t="str">
            <v>BB0345-L</v>
          </cell>
          <cell r="B1120" t="str">
            <v>B345</v>
          </cell>
          <cell r="C1120" t="str">
            <v>เยื่อไผ่ แขนสั้นขายาว พื้นขาว ลายวาดรูป L</v>
          </cell>
          <cell r="E1120">
            <v>0</v>
          </cell>
          <cell r="F1120">
            <v>890</v>
          </cell>
        </row>
        <row r="1121">
          <cell r="A1121" t="str">
            <v>BB0345-M</v>
          </cell>
          <cell r="B1121" t="str">
            <v>B345</v>
          </cell>
          <cell r="C1121" t="str">
            <v>เยื่อไผ่ แขนสั้นขายาว พื้นขาว ลายวาดรูป M</v>
          </cell>
          <cell r="E1121">
            <v>0</v>
          </cell>
          <cell r="F1121">
            <v>890</v>
          </cell>
        </row>
        <row r="1122">
          <cell r="A1122" t="str">
            <v>BB0345-S</v>
          </cell>
          <cell r="B1122" t="str">
            <v>B345</v>
          </cell>
          <cell r="C1122" t="str">
            <v>เยื่อไผ่ แขนสั้นขายาว พื้นขาว ลายวาดรูป S</v>
          </cell>
          <cell r="E1122">
            <v>0</v>
          </cell>
          <cell r="F1122">
            <v>890</v>
          </cell>
        </row>
        <row r="1123">
          <cell r="A1123" t="str">
            <v>BB0345-XL</v>
          </cell>
          <cell r="B1123" t="str">
            <v>B345</v>
          </cell>
          <cell r="C1123" t="str">
            <v>เยื่อไผ่ แขนสั้นขายาว พื้นขาว ลายวาดรูป XL</v>
          </cell>
          <cell r="E1123">
            <v>0</v>
          </cell>
          <cell r="F1123">
            <v>890</v>
          </cell>
        </row>
        <row r="1124">
          <cell r="A1124" t="str">
            <v>BB0346-L</v>
          </cell>
          <cell r="B1124" t="str">
            <v>B346</v>
          </cell>
          <cell r="C1124" t="str">
            <v>เยื่อไผ่ แขนสั้นขายาว ไทเกอร์ แอนด์ โคอะล่า L</v>
          </cell>
          <cell r="E1124">
            <v>0</v>
          </cell>
          <cell r="F1124">
            <v>890</v>
          </cell>
        </row>
        <row r="1125">
          <cell r="A1125" t="str">
            <v>BB0346-M</v>
          </cell>
          <cell r="B1125" t="str">
            <v>B346</v>
          </cell>
          <cell r="C1125" t="str">
            <v>เยื่อไผ่ แขนสั้นขายาว ไทเกอร์ แอนด์ โคอะล่า M</v>
          </cell>
          <cell r="E1125">
            <v>0</v>
          </cell>
          <cell r="F1125">
            <v>890</v>
          </cell>
        </row>
        <row r="1126">
          <cell r="A1126" t="str">
            <v>BB0346-S</v>
          </cell>
          <cell r="B1126" t="str">
            <v>B346</v>
          </cell>
          <cell r="C1126" t="str">
            <v>เยื่อไผ่ แขนสั้นขายาว ไทเกอร์ แอนด์ โคอะล่า S</v>
          </cell>
          <cell r="E1126">
            <v>0</v>
          </cell>
          <cell r="F1126">
            <v>890</v>
          </cell>
        </row>
        <row r="1127">
          <cell r="A1127" t="str">
            <v>BB0346-XL</v>
          </cell>
          <cell r="B1127" t="str">
            <v>B346</v>
          </cell>
          <cell r="C1127" t="str">
            <v>เยื่อไผ่ แขนสั้นขายาว ไทเกอร์ แอนด์ โคอะล่า XL</v>
          </cell>
          <cell r="E1127">
            <v>0</v>
          </cell>
          <cell r="F1127">
            <v>890</v>
          </cell>
        </row>
        <row r="1128">
          <cell r="A1128" t="str">
            <v>BB0347-L</v>
          </cell>
          <cell r="B1128" t="str">
            <v>B347</v>
          </cell>
          <cell r="C1128" t="str">
            <v>เยื่อไผ่ แขนสั้นขายาว ลายทางม่วง L</v>
          </cell>
          <cell r="E1128">
            <v>0</v>
          </cell>
          <cell r="F1128">
            <v>890</v>
          </cell>
        </row>
        <row r="1129">
          <cell r="A1129" t="str">
            <v>BB0347-M</v>
          </cell>
          <cell r="B1129" t="str">
            <v>B347</v>
          </cell>
          <cell r="C1129" t="str">
            <v>เยื่อไผ่ แขนสั้นขายาว ลายทางม่วง M</v>
          </cell>
          <cell r="E1129">
            <v>0</v>
          </cell>
          <cell r="F1129">
            <v>890</v>
          </cell>
        </row>
        <row r="1130">
          <cell r="A1130" t="str">
            <v>BB0347-S</v>
          </cell>
          <cell r="B1130" t="str">
            <v>B347</v>
          </cell>
          <cell r="C1130" t="str">
            <v>เยื่อไผ่ แขนสั้นขายาว ลายทางม่วง S</v>
          </cell>
          <cell r="E1130">
            <v>0</v>
          </cell>
          <cell r="F1130">
            <v>890</v>
          </cell>
        </row>
        <row r="1131">
          <cell r="A1131" t="str">
            <v>BB0347-XL</v>
          </cell>
          <cell r="B1131" t="str">
            <v>B347</v>
          </cell>
          <cell r="C1131" t="str">
            <v>เยื่อไผ่ แขนสั้นขายาว ลายทางม่วง XL</v>
          </cell>
          <cell r="E1131">
            <v>0</v>
          </cell>
          <cell r="F1131">
            <v>890</v>
          </cell>
        </row>
        <row r="1132">
          <cell r="A1132" t="str">
            <v>BB0350-L</v>
          </cell>
          <cell r="B1132" t="str">
            <v>B350</v>
          </cell>
          <cell r="C1132" t="str">
            <v>เยื่อไผ่ แขนสั้นขายาว พื้นขาว จุดฟ้าคราม L</v>
          </cell>
          <cell r="E1132">
            <v>0</v>
          </cell>
          <cell r="F1132">
            <v>890</v>
          </cell>
        </row>
        <row r="1133">
          <cell r="A1133" t="str">
            <v>BB0350-M</v>
          </cell>
          <cell r="B1133" t="str">
            <v>B350</v>
          </cell>
          <cell r="C1133" t="str">
            <v>เยื่อไผ่ แขนสั้นขายาว พื้นขาว จุดฟ้าคราม M</v>
          </cell>
          <cell r="E1133">
            <v>0</v>
          </cell>
          <cell r="F1133">
            <v>890</v>
          </cell>
        </row>
        <row r="1134">
          <cell r="A1134" t="str">
            <v>BB0350-S</v>
          </cell>
          <cell r="B1134" t="str">
            <v>B350</v>
          </cell>
          <cell r="C1134" t="str">
            <v>เยื่อไผ่ แขนสั้นขายาว พื้นขาว จุดฟ้าคราม S</v>
          </cell>
          <cell r="E1134">
            <v>0</v>
          </cell>
          <cell r="F1134">
            <v>890</v>
          </cell>
        </row>
        <row r="1135">
          <cell r="A1135" t="str">
            <v>BB0350-XL</v>
          </cell>
          <cell r="B1135" t="str">
            <v>B350</v>
          </cell>
          <cell r="C1135" t="str">
            <v>เยื่อไผ่ แขนสั้นขายาว พื้นขาว จุดฟ้าคราม XL</v>
          </cell>
          <cell r="E1135">
            <v>0</v>
          </cell>
          <cell r="F1135">
            <v>890</v>
          </cell>
        </row>
        <row r="1136">
          <cell r="A1136" t="str">
            <v>BB0351-2XL</v>
          </cell>
          <cell r="B1136" t="str">
            <v>B351</v>
          </cell>
          <cell r="C1136" t="str">
            <v>เยื่อไผ่ แขนสั้นขายาว ตารางเหลือง พื้นขาว 2XL</v>
          </cell>
          <cell r="E1136">
            <v>0</v>
          </cell>
          <cell r="F1136">
            <v>890</v>
          </cell>
        </row>
        <row r="1137">
          <cell r="A1137" t="str">
            <v>BB0351-L</v>
          </cell>
          <cell r="B1137" t="str">
            <v>B351</v>
          </cell>
          <cell r="C1137" t="str">
            <v>เยื่อไผ่ แขนสั้นขายาว ตารางเหลือง พื้นขาว L</v>
          </cell>
          <cell r="E1137">
            <v>0</v>
          </cell>
          <cell r="F1137">
            <v>890</v>
          </cell>
        </row>
        <row r="1138">
          <cell r="A1138" t="str">
            <v>BB0351-M</v>
          </cell>
          <cell r="B1138" t="str">
            <v>B351</v>
          </cell>
          <cell r="C1138" t="str">
            <v>เยื่อไผ่ แขนสั้นขายาว ตารางเหลือง พื้นขาว M</v>
          </cell>
          <cell r="E1138">
            <v>0</v>
          </cell>
          <cell r="F1138">
            <v>890</v>
          </cell>
        </row>
        <row r="1139">
          <cell r="A1139" t="str">
            <v>BB0351-XL</v>
          </cell>
          <cell r="B1139" t="str">
            <v>B351</v>
          </cell>
          <cell r="C1139" t="str">
            <v>เยื่อไผ่ แขนสั้นขายาว ตารางเหลือง พื้นขาว XL</v>
          </cell>
          <cell r="E1139">
            <v>0</v>
          </cell>
          <cell r="F1139">
            <v>890</v>
          </cell>
        </row>
        <row r="1140">
          <cell r="A1140" t="str">
            <v>BB0353-2XL</v>
          </cell>
          <cell r="B1140" t="str">
            <v>B353</v>
          </cell>
          <cell r="C1140" t="str">
            <v>เยื่อไผ่ แขนสั้นขายาว Blue Flower 2XL</v>
          </cell>
          <cell r="E1140">
            <v>0</v>
          </cell>
          <cell r="F1140">
            <v>890</v>
          </cell>
        </row>
        <row r="1141">
          <cell r="A1141" t="str">
            <v>BB0353-L</v>
          </cell>
          <cell r="B1141" t="str">
            <v>B353</v>
          </cell>
          <cell r="C1141" t="str">
            <v>เยื่อไผ่ แขนสั้นขายาว Blue Flower L</v>
          </cell>
          <cell r="E1141">
            <v>0</v>
          </cell>
          <cell r="F1141">
            <v>890</v>
          </cell>
        </row>
        <row r="1142">
          <cell r="A1142" t="str">
            <v>BB0353-M</v>
          </cell>
          <cell r="B1142" t="str">
            <v>B353</v>
          </cell>
          <cell r="C1142" t="str">
            <v>เยื่อไผ่ แขนสั้นขายาว Blue Flower M</v>
          </cell>
          <cell r="E1142">
            <v>0</v>
          </cell>
          <cell r="F1142">
            <v>890</v>
          </cell>
        </row>
        <row r="1143">
          <cell r="A1143" t="str">
            <v>BB0353-XL</v>
          </cell>
          <cell r="B1143" t="str">
            <v>B353</v>
          </cell>
          <cell r="C1143" t="str">
            <v>เยื่อไผ่ แขนสั้นขายาว Blue Flower XL</v>
          </cell>
          <cell r="E1143">
            <v>0</v>
          </cell>
          <cell r="F1143">
            <v>890</v>
          </cell>
        </row>
        <row r="1144">
          <cell r="A1144" t="str">
            <v>BB0354-L</v>
          </cell>
          <cell r="B1144" t="str">
            <v>B354</v>
          </cell>
          <cell r="C1144" t="str">
            <v>เยื่อไผ่ แขนสั้นขายาว ตาราง ครีมดำ L</v>
          </cell>
          <cell r="E1144">
            <v>0</v>
          </cell>
          <cell r="F1144">
            <v>890</v>
          </cell>
        </row>
        <row r="1145">
          <cell r="A1145" t="str">
            <v>BB0354-M</v>
          </cell>
          <cell r="B1145" t="str">
            <v>QB354</v>
          </cell>
          <cell r="C1145" t="str">
            <v>เยื่อไผ่ แขนสั้นขายาว ตาราง ครีมดำ M QC</v>
          </cell>
          <cell r="E1145">
            <v>0</v>
          </cell>
          <cell r="F1145">
            <v>890</v>
          </cell>
        </row>
        <row r="1146">
          <cell r="A1146" t="str">
            <v>BB0354-XL</v>
          </cell>
          <cell r="B1146" t="str">
            <v>B354</v>
          </cell>
          <cell r="C1146" t="str">
            <v>เยื่อไผ่ แขนสั้นขายาว ตาราง ครีมดำ XL</v>
          </cell>
          <cell r="E1146">
            <v>0</v>
          </cell>
          <cell r="F1146">
            <v>890</v>
          </cell>
        </row>
        <row r="1147">
          <cell r="A1147" t="str">
            <v>BB0355-2XL</v>
          </cell>
          <cell r="B1147" t="str">
            <v>B355</v>
          </cell>
          <cell r="C1147" t="str">
            <v>เยื่อไผ่ แขนสั้นขายาว ตาราง ครีมเขียว 2XL</v>
          </cell>
          <cell r="E1147">
            <v>0</v>
          </cell>
          <cell r="F1147">
            <v>890</v>
          </cell>
        </row>
        <row r="1148">
          <cell r="A1148" t="str">
            <v>BB0355-L</v>
          </cell>
          <cell r="B1148" t="str">
            <v>B355</v>
          </cell>
          <cell r="C1148" t="str">
            <v>เยื่อไผ่ แขนสั้นขายาว ตาราง ครีมเขียว L</v>
          </cell>
          <cell r="E1148">
            <v>0</v>
          </cell>
          <cell r="F1148">
            <v>890</v>
          </cell>
        </row>
        <row r="1149">
          <cell r="A1149" t="str">
            <v>BB0355-M</v>
          </cell>
          <cell r="B1149" t="str">
            <v>B355</v>
          </cell>
          <cell r="C1149" t="str">
            <v>เยื่อไผ่ แขนสั้นขายาว ตาราง ครีมเขียว M</v>
          </cell>
          <cell r="E1149">
            <v>0</v>
          </cell>
          <cell r="F1149">
            <v>890</v>
          </cell>
        </row>
        <row r="1150">
          <cell r="A1150" t="str">
            <v>BB0355-XL</v>
          </cell>
          <cell r="B1150" t="str">
            <v>B355</v>
          </cell>
          <cell r="C1150" t="str">
            <v>เยื่อไผ่ แขนสั้นขายาว ตาราง ครีมเขียว XL</v>
          </cell>
          <cell r="E1150">
            <v>0</v>
          </cell>
          <cell r="F1150">
            <v>890</v>
          </cell>
        </row>
        <row r="1151">
          <cell r="A1151" t="str">
            <v>BB0362-L</v>
          </cell>
          <cell r="B1151" t="str">
            <v>B362</v>
          </cell>
          <cell r="C1151" t="str">
            <v>เยื่อไผ่ แขนสั้นขายาว ศิลปะ พื้นครีม L</v>
          </cell>
          <cell r="E1151">
            <v>0</v>
          </cell>
          <cell r="F1151">
            <v>890</v>
          </cell>
        </row>
        <row r="1152">
          <cell r="A1152" t="str">
            <v>BB0362-M</v>
          </cell>
          <cell r="B1152" t="str">
            <v>B362</v>
          </cell>
          <cell r="C1152" t="str">
            <v>เยื่อไผ่ แขนสั้นขายาว ศิลปะ พื้นครีม M</v>
          </cell>
          <cell r="E1152">
            <v>0</v>
          </cell>
          <cell r="F1152">
            <v>890</v>
          </cell>
        </row>
        <row r="1153">
          <cell r="A1153" t="str">
            <v>BB0362-S</v>
          </cell>
          <cell r="B1153" t="str">
            <v>B362</v>
          </cell>
          <cell r="C1153" t="str">
            <v>เยื่อไผ่ แขนสั้นขายาว ศิลปะ พื้นครีม S</v>
          </cell>
          <cell r="E1153">
            <v>0</v>
          </cell>
          <cell r="F1153">
            <v>890</v>
          </cell>
        </row>
        <row r="1154">
          <cell r="A1154" t="str">
            <v>BB0377-2XL</v>
          </cell>
          <cell r="B1154" t="str">
            <v>B377</v>
          </cell>
          <cell r="C1154" t="str">
            <v>เยื่อไผ่ แขนสั้นขายาว ชาวบ้าน เสื้อเขียว 2XL</v>
          </cell>
          <cell r="E1154">
            <v>0</v>
          </cell>
          <cell r="F1154">
            <v>890</v>
          </cell>
        </row>
        <row r="1155">
          <cell r="A1155" t="str">
            <v>BB0377-L</v>
          </cell>
          <cell r="B1155" t="str">
            <v>B377</v>
          </cell>
          <cell r="C1155" t="str">
            <v>เยื่อไผ่ แขนสั้นขายาว ชาวบ้าน เสื้อเขียว L</v>
          </cell>
          <cell r="E1155">
            <v>0</v>
          </cell>
          <cell r="F1155">
            <v>890</v>
          </cell>
        </row>
        <row r="1156">
          <cell r="A1156" t="str">
            <v>BB0377-M</v>
          </cell>
          <cell r="B1156" t="str">
            <v>B377</v>
          </cell>
          <cell r="C1156" t="str">
            <v>เยื่อไผ่ แขนสั้นขายาว ชาวบ้าน เสื้อเขียว M</v>
          </cell>
          <cell r="E1156">
            <v>0</v>
          </cell>
          <cell r="F1156">
            <v>590</v>
          </cell>
        </row>
        <row r="1157">
          <cell r="A1157" t="str">
            <v>BB0377-XL</v>
          </cell>
          <cell r="B1157" t="str">
            <v>B377</v>
          </cell>
          <cell r="C1157" t="str">
            <v>เยื่อไผ่ แขนสั้นขายาว ชาวบ้าน เสื้อเขียว XL</v>
          </cell>
          <cell r="E1157">
            <v>0</v>
          </cell>
          <cell r="F1157">
            <v>890</v>
          </cell>
        </row>
        <row r="1158">
          <cell r="A1158" t="str">
            <v>BB0383-2XL</v>
          </cell>
          <cell r="B1158" t="str">
            <v>B383</v>
          </cell>
          <cell r="C1158" t="str">
            <v>เยื่อไผ่ แขนสั้นขายาว Alphabet พื้นครีม 2XL</v>
          </cell>
          <cell r="E1158">
            <v>0</v>
          </cell>
          <cell r="F1158">
            <v>890</v>
          </cell>
        </row>
        <row r="1159">
          <cell r="A1159" t="str">
            <v>BB0383-L</v>
          </cell>
          <cell r="B1159" t="str">
            <v>B383</v>
          </cell>
          <cell r="C1159" t="str">
            <v>เยื่อไผ่ แขนสั้นขายาว Alphabet พื้นครีม L</v>
          </cell>
          <cell r="E1159">
            <v>0</v>
          </cell>
          <cell r="F1159">
            <v>890</v>
          </cell>
        </row>
        <row r="1160">
          <cell r="A1160" t="str">
            <v>BB0383-M</v>
          </cell>
          <cell r="B1160" t="str">
            <v>B383</v>
          </cell>
          <cell r="C1160" t="str">
            <v>เยื่อไผ่ แขนสั้นขายาว Alphabet พื้นครีม M</v>
          </cell>
          <cell r="E1160">
            <v>0</v>
          </cell>
          <cell r="F1160">
            <v>890</v>
          </cell>
        </row>
        <row r="1161">
          <cell r="A1161" t="str">
            <v>BB0383-XL</v>
          </cell>
          <cell r="B1161" t="str">
            <v>B383</v>
          </cell>
          <cell r="C1161" t="str">
            <v>เยื่อไผ่ แขนสั้นขายาว Alphabet พื้นครีม XL</v>
          </cell>
          <cell r="E1161">
            <v>0</v>
          </cell>
          <cell r="F1161">
            <v>890</v>
          </cell>
        </row>
        <row r="1162">
          <cell r="A1162" t="str">
            <v>BB0384-2XL</v>
          </cell>
          <cell r="B1162" t="str">
            <v>B384</v>
          </cell>
          <cell r="C1162" t="str">
            <v>เยื่อไผ่ แขนสั้นขายาว ลายทาง gloomy 2XL</v>
          </cell>
          <cell r="E1162">
            <v>0</v>
          </cell>
          <cell r="F1162">
            <v>890</v>
          </cell>
        </row>
        <row r="1163">
          <cell r="A1163" t="str">
            <v>BB0384-L</v>
          </cell>
          <cell r="B1163" t="str">
            <v>B384</v>
          </cell>
          <cell r="C1163" t="str">
            <v>เยื่อไผ่ แขนสั้นขายาว ลายทาง gloomy L</v>
          </cell>
          <cell r="E1163">
            <v>0</v>
          </cell>
          <cell r="F1163">
            <v>890</v>
          </cell>
        </row>
        <row r="1164">
          <cell r="A1164" t="str">
            <v>BB0384-M</v>
          </cell>
          <cell r="B1164" t="str">
            <v>B384</v>
          </cell>
          <cell r="C1164" t="str">
            <v>เยื่อไผ่ แขนสั้นขายาว ลายทาง gloomy M</v>
          </cell>
          <cell r="E1164">
            <v>0</v>
          </cell>
          <cell r="F1164">
            <v>890</v>
          </cell>
        </row>
        <row r="1165">
          <cell r="A1165" t="str">
            <v>BB0384-XL</v>
          </cell>
          <cell r="B1165" t="str">
            <v>QB384</v>
          </cell>
          <cell r="C1165" t="str">
            <v>เยื่อไผ่ แขนสั้นขายาว ลายทาง gloomy XL QC</v>
          </cell>
          <cell r="E1165">
            <v>0</v>
          </cell>
          <cell r="F1165">
            <v>890</v>
          </cell>
        </row>
        <row r="1166">
          <cell r="A1166" t="str">
            <v>BB0385-2XL</v>
          </cell>
          <cell r="B1166" t="str">
            <v>B385</v>
          </cell>
          <cell r="C1166" t="str">
            <v>เยื่อไผ่ แขนสั้นขายาว ลายทาง blue gloomy 2XL</v>
          </cell>
          <cell r="E1166">
            <v>0</v>
          </cell>
          <cell r="F1166">
            <v>890</v>
          </cell>
        </row>
        <row r="1167">
          <cell r="A1167" t="str">
            <v>BB0385-L</v>
          </cell>
          <cell r="B1167" t="str">
            <v>QB385</v>
          </cell>
          <cell r="C1167" t="str">
            <v>เยื่อไผ่ แขนสั้นขายาว ลายทาง blue gloomy L QC</v>
          </cell>
          <cell r="E1167">
            <v>0</v>
          </cell>
          <cell r="F1167">
            <v>890</v>
          </cell>
        </row>
        <row r="1168">
          <cell r="A1168" t="str">
            <v>BB0385-M</v>
          </cell>
          <cell r="B1168" t="str">
            <v>QB385</v>
          </cell>
          <cell r="C1168" t="str">
            <v>เยื่อไผ่ แขนสั้นขายาว ลายทาง blue gloomy M QC</v>
          </cell>
          <cell r="E1168">
            <v>0</v>
          </cell>
          <cell r="F1168">
            <v>890</v>
          </cell>
        </row>
        <row r="1169">
          <cell r="A1169" t="str">
            <v>BB0385-XL</v>
          </cell>
          <cell r="B1169" t="str">
            <v>B385</v>
          </cell>
          <cell r="C1169" t="str">
            <v>เยื่อไผ่ แขนสั้นขายาว ลายทาง blue gloomy XL</v>
          </cell>
          <cell r="E1169">
            <v>0</v>
          </cell>
          <cell r="F1169">
            <v>890</v>
          </cell>
        </row>
        <row r="1170">
          <cell r="A1170" t="str">
            <v>BB0386-2XL</v>
          </cell>
          <cell r="B1170" t="str">
            <v>B386</v>
          </cell>
          <cell r="C1170" t="str">
            <v>เยื่อไผ่ แขนสั้นขายาว  พื้นฟ้าเทียน ดอกไม้เขียว 2XL</v>
          </cell>
          <cell r="E1170">
            <v>0</v>
          </cell>
          <cell r="F1170">
            <v>890</v>
          </cell>
        </row>
        <row r="1171">
          <cell r="A1171" t="str">
            <v>BB0386-L</v>
          </cell>
          <cell r="B1171" t="str">
            <v>B386</v>
          </cell>
          <cell r="C1171" t="str">
            <v>เยื่อไผ่ แขนสั้นขายาว  พื้นฟ้าเทียน ดอกไม้เขียว L</v>
          </cell>
          <cell r="E1171">
            <v>0</v>
          </cell>
          <cell r="F1171">
            <v>890</v>
          </cell>
        </row>
        <row r="1172">
          <cell r="A1172" t="str">
            <v>BB0386-M</v>
          </cell>
          <cell r="B1172" t="str">
            <v>B386</v>
          </cell>
          <cell r="C1172" t="str">
            <v>เยื่อไผ่ แขนสั้นขายาว  พื้นฟ้าเทียน ดอกไม้เขียว M</v>
          </cell>
          <cell r="E1172">
            <v>0</v>
          </cell>
          <cell r="F1172">
            <v>890</v>
          </cell>
        </row>
        <row r="1173">
          <cell r="A1173" t="str">
            <v>BB0386-XL</v>
          </cell>
          <cell r="B1173" t="str">
            <v>B386</v>
          </cell>
          <cell r="C1173" t="str">
            <v>เยื่อไผ่ แขนสั้นขายาว  พื้นฟ้าเทียน ดอกไม้เขียว XL</v>
          </cell>
          <cell r="E1173">
            <v>0</v>
          </cell>
          <cell r="F1173">
            <v>890</v>
          </cell>
        </row>
        <row r="1174">
          <cell r="A1174" t="str">
            <v>BB0387-2XL</v>
          </cell>
          <cell r="B1174" t="str">
            <v>B387</v>
          </cell>
          <cell r="C1174" t="str">
            <v>เยื่อไผ่ แขนสั้นขายาว rabbit on christmas 2XL</v>
          </cell>
          <cell r="E1174">
            <v>0</v>
          </cell>
          <cell r="F1174">
            <v>890</v>
          </cell>
        </row>
        <row r="1175">
          <cell r="A1175" t="str">
            <v>BB0387-L</v>
          </cell>
          <cell r="B1175" t="str">
            <v>B387</v>
          </cell>
          <cell r="C1175" t="str">
            <v>เยื่อไผ่ แขนสั้นขายาว rabbit on christmas L</v>
          </cell>
          <cell r="E1175">
            <v>0</v>
          </cell>
          <cell r="F1175">
            <v>890</v>
          </cell>
        </row>
        <row r="1176">
          <cell r="A1176" t="str">
            <v>BB0387-M</v>
          </cell>
          <cell r="B1176" t="str">
            <v>B387</v>
          </cell>
          <cell r="C1176" t="str">
            <v>เยื่อไผ่ แขนสั้นขายาว rabbit on christmas M</v>
          </cell>
          <cell r="E1176">
            <v>0</v>
          </cell>
          <cell r="F1176">
            <v>890</v>
          </cell>
        </row>
        <row r="1177">
          <cell r="A1177" t="str">
            <v>BB0387-XL</v>
          </cell>
          <cell r="B1177" t="str">
            <v>B387</v>
          </cell>
          <cell r="C1177" t="str">
            <v>เยื่อไผ่ แขนสั้นขายาว rabbit on christmas XL</v>
          </cell>
          <cell r="E1177">
            <v>0</v>
          </cell>
          <cell r="F1177">
            <v>890</v>
          </cell>
        </row>
        <row r="1178">
          <cell r="A1178" t="str">
            <v>BB0388-2XL</v>
          </cell>
          <cell r="B1178" t="str">
            <v>B388</v>
          </cell>
          <cell r="C1178" t="str">
            <v>เยื่อไผ่ แขนสั้นขายาว เสื้อม่วง กระเป๋าแมวน้ำ 2XL (กปก)</v>
          </cell>
          <cell r="E1178">
            <v>0</v>
          </cell>
          <cell r="F1178">
            <v>890</v>
          </cell>
        </row>
        <row r="1179">
          <cell r="A1179" t="str">
            <v>BB0388-L</v>
          </cell>
          <cell r="B1179" t="str">
            <v>B388</v>
          </cell>
          <cell r="C1179" t="str">
            <v>เยื่อไผ่ แขนสั้นขายาว เสื้อม่วง กระเป๋าแมวน้ำ L (กปก)</v>
          </cell>
          <cell r="E1179">
            <v>0</v>
          </cell>
          <cell r="F1179">
            <v>890</v>
          </cell>
        </row>
        <row r="1180">
          <cell r="A1180" t="str">
            <v>BB0388-M</v>
          </cell>
          <cell r="B1180" t="str">
            <v>B388</v>
          </cell>
          <cell r="C1180" t="str">
            <v>เยื่อไผ่ แขนสั้นขายาว เสื้อม่วง กระเป๋าแมวน้ำ M (กปก)</v>
          </cell>
          <cell r="E1180">
            <v>0</v>
          </cell>
          <cell r="F1180">
            <v>890</v>
          </cell>
        </row>
        <row r="1181">
          <cell r="A1181" t="str">
            <v>BB0388-XL</v>
          </cell>
          <cell r="B1181" t="str">
            <v>B388</v>
          </cell>
          <cell r="C1181" t="str">
            <v>เยื่อไผ่ แขนสั้นขายาว เสื้อม่วง กระเป๋าแมวน้ำ XL (กปก)</v>
          </cell>
          <cell r="E1181">
            <v>0</v>
          </cell>
          <cell r="F1181">
            <v>890</v>
          </cell>
        </row>
        <row r="1182">
          <cell r="A1182" t="str">
            <v>BB0389-L</v>
          </cell>
          <cell r="B1182" t="str">
            <v>B389</v>
          </cell>
          <cell r="C1182" t="str">
            <v>เยื่อไผ่ แขนสั้นขายาว ละครสัตว์ พื้นชมพู L</v>
          </cell>
          <cell r="E1182">
            <v>0</v>
          </cell>
          <cell r="F1182">
            <v>890</v>
          </cell>
        </row>
        <row r="1183">
          <cell r="A1183" t="str">
            <v>BB0389-M</v>
          </cell>
          <cell r="B1183" t="str">
            <v>B389</v>
          </cell>
          <cell r="C1183" t="str">
            <v>เยื่อไผ่ แขนสั้นขายาว ละครสัตว์ พื้นชมพู M</v>
          </cell>
          <cell r="E1183">
            <v>0</v>
          </cell>
          <cell r="F1183">
            <v>890</v>
          </cell>
        </row>
        <row r="1184">
          <cell r="A1184" t="str">
            <v>BB0389-XL</v>
          </cell>
          <cell r="B1184" t="str">
            <v>B389</v>
          </cell>
          <cell r="C1184" t="str">
            <v>เยื่อไผ่ แขนสั้นขายาว ละครสัตว์ พื้นชมพู XL</v>
          </cell>
          <cell r="E1184">
            <v>0</v>
          </cell>
          <cell r="F1184">
            <v>890</v>
          </cell>
        </row>
        <row r="1185">
          <cell r="A1185" t="str">
            <v>BB0390-L</v>
          </cell>
          <cell r="B1185" t="str">
            <v>B390</v>
          </cell>
          <cell r="C1185" t="str">
            <v>เยื่อไผ่ แขนสั้นขายาว Baby Dog พื้นครีม L</v>
          </cell>
          <cell r="E1185">
            <v>0</v>
          </cell>
          <cell r="F1185">
            <v>890</v>
          </cell>
        </row>
        <row r="1186">
          <cell r="A1186" t="str">
            <v>BB0390-M</v>
          </cell>
          <cell r="B1186" t="str">
            <v>B390</v>
          </cell>
          <cell r="C1186" t="str">
            <v>เยื่อไผ่ แขนสั้นขายาว Baby Dog พื้นครีม M</v>
          </cell>
          <cell r="E1186">
            <v>0</v>
          </cell>
          <cell r="F1186">
            <v>890</v>
          </cell>
        </row>
        <row r="1187">
          <cell r="A1187" t="str">
            <v>BB0390-XL</v>
          </cell>
          <cell r="B1187" t="str">
            <v>B390</v>
          </cell>
          <cell r="C1187" t="str">
            <v>เยื่อไผ่ แขนสั้นขายาว Baby Dog พื้นครีม XL</v>
          </cell>
          <cell r="E1187">
            <v>0</v>
          </cell>
          <cell r="F1187">
            <v>890</v>
          </cell>
        </row>
        <row r="1188">
          <cell r="A1188" t="str">
            <v>BB0391-L</v>
          </cell>
          <cell r="B1188" t="str">
            <v>B391</v>
          </cell>
          <cell r="C1188" t="str">
            <v>เยื่อไผ่ แขนสั้นขายาว น้องหมี บัวชมพู L</v>
          </cell>
          <cell r="E1188">
            <v>0</v>
          </cell>
          <cell r="F1188">
            <v>890</v>
          </cell>
        </row>
        <row r="1189">
          <cell r="A1189" t="str">
            <v>BB0391-M</v>
          </cell>
          <cell r="B1189" t="str">
            <v>B391</v>
          </cell>
          <cell r="C1189" t="str">
            <v>เยื่อไผ่ แขนสั้นขายาว น้องหมี บัวชมพู M</v>
          </cell>
          <cell r="E1189">
            <v>0</v>
          </cell>
          <cell r="F1189">
            <v>890</v>
          </cell>
        </row>
        <row r="1190">
          <cell r="A1190" t="str">
            <v>BB0391-XL</v>
          </cell>
          <cell r="B1190" t="str">
            <v>B391</v>
          </cell>
          <cell r="C1190" t="str">
            <v>เยื่อไผ่ แขนสั้นขายาว น้องหมี บัวชมพู XL</v>
          </cell>
          <cell r="E1190">
            <v>0</v>
          </cell>
          <cell r="F1190">
            <v>890</v>
          </cell>
        </row>
        <row r="1191">
          <cell r="A1191" t="str">
            <v>BB0396-L</v>
          </cell>
          <cell r="B1191" t="str">
            <v>B396</v>
          </cell>
          <cell r="C1191" t="str">
            <v>เยื่อไผ่ แขนสั้นขายาว รวมหมา พื้นครีม คอปกม่วง L</v>
          </cell>
          <cell r="E1191">
            <v>0</v>
          </cell>
          <cell r="F1191">
            <v>890</v>
          </cell>
        </row>
        <row r="1192">
          <cell r="A1192" t="str">
            <v>BB0396-M</v>
          </cell>
          <cell r="B1192" t="str">
            <v>B396</v>
          </cell>
          <cell r="C1192" t="str">
            <v>เยื่อไผ่ แขนสั้นขายาว รวมหมา พื้นครีม คอปกม่วง M</v>
          </cell>
          <cell r="E1192">
            <v>0</v>
          </cell>
          <cell r="F1192">
            <v>890</v>
          </cell>
        </row>
        <row r="1193">
          <cell r="A1193" t="str">
            <v>BB0397-L</v>
          </cell>
          <cell r="B1193" t="str">
            <v>B397</v>
          </cell>
          <cell r="C1193" t="str">
            <v>เยื่อไผ่ แขนสั้นขายาว กระต่ายพื้นครีม ขอบเขียว L</v>
          </cell>
          <cell r="E1193">
            <v>0</v>
          </cell>
          <cell r="F1193">
            <v>890</v>
          </cell>
        </row>
        <row r="1194">
          <cell r="A1194" t="str">
            <v>BB0397-M</v>
          </cell>
          <cell r="B1194" t="str">
            <v>QB397</v>
          </cell>
          <cell r="C1194" t="str">
            <v>เยื่อไผ่ แขนสั้นขายาว กระต่ายพื้นครีม ขอบเขียว M QC</v>
          </cell>
          <cell r="E1194">
            <v>0</v>
          </cell>
          <cell r="F1194">
            <v>890</v>
          </cell>
        </row>
        <row r="1195">
          <cell r="A1195" t="str">
            <v>BB0397-XL</v>
          </cell>
          <cell r="B1195" t="str">
            <v>QB397</v>
          </cell>
          <cell r="C1195" t="str">
            <v>เยื่อไผ่ แขนสั้นขายาว กระต่ายพื้นครีม ขอบเขียว XL QC</v>
          </cell>
          <cell r="E1195">
            <v>0</v>
          </cell>
          <cell r="F1195">
            <v>890</v>
          </cell>
        </row>
        <row r="1196">
          <cell r="A1196" t="str">
            <v>BB0398-L</v>
          </cell>
          <cell r="B1196" t="str">
            <v>B398</v>
          </cell>
          <cell r="C1196" t="str">
            <v>เยื่อไผ่ แขนสั้นขายาว Flower Yellow พื้นขาว L</v>
          </cell>
          <cell r="E1196">
            <v>0</v>
          </cell>
          <cell r="F1196">
            <v>890</v>
          </cell>
        </row>
        <row r="1197">
          <cell r="A1197" t="str">
            <v>BB0398-M</v>
          </cell>
          <cell r="B1197" t="str">
            <v>B398</v>
          </cell>
          <cell r="C1197" t="str">
            <v>เยื่อไผ่ แขนสั้นขายาว Flower Yellow พื้นขาว M</v>
          </cell>
          <cell r="E1197">
            <v>0</v>
          </cell>
          <cell r="F1197">
            <v>890</v>
          </cell>
        </row>
        <row r="1198">
          <cell r="A1198" t="str">
            <v>BB0398-XL</v>
          </cell>
          <cell r="B1198" t="str">
            <v>B398</v>
          </cell>
          <cell r="C1198" t="str">
            <v>เยื่อไผ่ แขนสั้นขายาว Flower Yellow พื้นขาว XL</v>
          </cell>
          <cell r="E1198">
            <v>0</v>
          </cell>
          <cell r="F1198">
            <v>890</v>
          </cell>
        </row>
        <row r="1199">
          <cell r="A1199" t="str">
            <v>BB0399-2XL</v>
          </cell>
          <cell r="B1199" t="str">
            <v>B399</v>
          </cell>
          <cell r="C1199" t="str">
            <v>เยื่อไผ่ แขนสั้นขายาว กวางน้อย พื้นครีม 2XL</v>
          </cell>
          <cell r="E1199">
            <v>0</v>
          </cell>
          <cell r="F1199">
            <v>890</v>
          </cell>
        </row>
        <row r="1200">
          <cell r="A1200" t="str">
            <v>BB0399-L</v>
          </cell>
          <cell r="B1200" t="str">
            <v>B399</v>
          </cell>
          <cell r="C1200" t="str">
            <v>เยื่อไผ่ แขนสั้นขายาว กวางน้อย พื้นครีม L</v>
          </cell>
          <cell r="E1200">
            <v>0</v>
          </cell>
          <cell r="F1200">
            <v>890</v>
          </cell>
        </row>
        <row r="1201">
          <cell r="A1201" t="str">
            <v>BB0399-M</v>
          </cell>
          <cell r="B1201" t="str">
            <v>B399</v>
          </cell>
          <cell r="C1201" t="str">
            <v>เยื่อไผ่ แขนสั้นขายาว กวางน้อย พื้นครีม M</v>
          </cell>
          <cell r="E1201">
            <v>0</v>
          </cell>
          <cell r="F1201">
            <v>890</v>
          </cell>
        </row>
        <row r="1202">
          <cell r="A1202" t="str">
            <v>BB0399-XL</v>
          </cell>
          <cell r="B1202" t="str">
            <v>B399</v>
          </cell>
          <cell r="C1202" t="str">
            <v>เยื่อไผ่ แขนสั้นขายาว กวางน้อย พื้นครีม XL</v>
          </cell>
          <cell r="E1202">
            <v>4</v>
          </cell>
          <cell r="F1202">
            <v>890</v>
          </cell>
        </row>
        <row r="1203">
          <cell r="A1203" t="str">
            <v>BB0400-2XL</v>
          </cell>
          <cell r="B1203" t="str">
            <v>QB400</v>
          </cell>
          <cell r="C1203" t="str">
            <v>เยื่อไผ่ แขนสั้นขายาว ดอกไม้ ผู้หญิง พื้นขาว ขอบชมพู 2XL QC</v>
          </cell>
          <cell r="E1203">
            <v>0</v>
          </cell>
          <cell r="F1203">
            <v>890</v>
          </cell>
        </row>
        <row r="1204">
          <cell r="A1204" t="str">
            <v>BB0400-L</v>
          </cell>
          <cell r="B1204" t="str">
            <v>QB400</v>
          </cell>
          <cell r="C1204" t="str">
            <v>เยื่อไผ่ แขนสั้นขายาว ดอกไม้ ผู้หญิง พื้นขาว ขอบชมพู L QC</v>
          </cell>
          <cell r="E1204">
            <v>0</v>
          </cell>
          <cell r="F1204">
            <v>890</v>
          </cell>
        </row>
        <row r="1205">
          <cell r="A1205" t="str">
            <v>BB0400-M</v>
          </cell>
          <cell r="B1205" t="str">
            <v>B400</v>
          </cell>
          <cell r="C1205" t="str">
            <v>เยื่อไผ่ แขนสั้นขายาว ดอกไม้ ผู้หญิง พื้นขาว ขอบชมพู M</v>
          </cell>
          <cell r="E1205">
            <v>0</v>
          </cell>
          <cell r="F1205">
            <v>590</v>
          </cell>
        </row>
        <row r="1206">
          <cell r="A1206" t="str">
            <v>BB0400-XL</v>
          </cell>
          <cell r="B1206" t="str">
            <v>B400</v>
          </cell>
          <cell r="C1206" t="str">
            <v>เยื่อไผ่ แขนสั้นขายาว ดอกไม้ ผู้หญิง พื้นขาว ขอบชมพู XL</v>
          </cell>
          <cell r="E1206">
            <v>0</v>
          </cell>
          <cell r="F1206">
            <v>890</v>
          </cell>
        </row>
        <row r="1207">
          <cell r="A1207" t="str">
            <v>BB0401-2XL</v>
          </cell>
          <cell r="B1207" t="str">
            <v>B401</v>
          </cell>
          <cell r="C1207" t="str">
            <v>เยื่อไผ่ แขนสั้นขายาว กระต่าย พื้นน้ำตาล 2XL</v>
          </cell>
          <cell r="E1207">
            <v>0</v>
          </cell>
          <cell r="F1207">
            <v>890</v>
          </cell>
        </row>
        <row r="1208">
          <cell r="A1208" t="str">
            <v>BB0401-L</v>
          </cell>
          <cell r="B1208" t="str">
            <v>B401</v>
          </cell>
          <cell r="C1208" t="str">
            <v>เยื่อไผ่ แขนสั้นขายาว กระต่าย พื้นน้ำตาล L</v>
          </cell>
          <cell r="E1208">
            <v>0</v>
          </cell>
          <cell r="F1208">
            <v>890</v>
          </cell>
        </row>
        <row r="1209">
          <cell r="A1209" t="str">
            <v>BB0401-M</v>
          </cell>
          <cell r="B1209" t="str">
            <v>B401</v>
          </cell>
          <cell r="C1209" t="str">
            <v>เยื่อไผ่ แขนสั้นขายาว กระต่าย พื้นน้ำตาล M</v>
          </cell>
          <cell r="E1209">
            <v>0</v>
          </cell>
          <cell r="F1209">
            <v>890</v>
          </cell>
        </row>
        <row r="1210">
          <cell r="A1210" t="str">
            <v>BB0401-XL</v>
          </cell>
          <cell r="B1210" t="str">
            <v>B401</v>
          </cell>
          <cell r="C1210" t="str">
            <v>เยื่อไผ่ แขนสั้นขายาว กระต่าย พื้นน้ำตาล XL</v>
          </cell>
          <cell r="E1210">
            <v>0</v>
          </cell>
          <cell r="F1210">
            <v>890</v>
          </cell>
        </row>
        <row r="1211">
          <cell r="A1211" t="str">
            <v>BB0402-2XL</v>
          </cell>
          <cell r="B1211" t="str">
            <v>B402</v>
          </cell>
          <cell r="C1211" t="str">
            <v>เยื่อไผ่ แขนสั้นขายาว รวมสัตว์ พื้นชมพู 2XL</v>
          </cell>
          <cell r="E1211">
            <v>0</v>
          </cell>
          <cell r="F1211">
            <v>890</v>
          </cell>
        </row>
        <row r="1212">
          <cell r="A1212" t="str">
            <v>BB0402-L</v>
          </cell>
          <cell r="B1212" t="str">
            <v>B402</v>
          </cell>
          <cell r="C1212" t="str">
            <v>เยื่อไผ่ แขนสั้นขายาว รวมสัตว์ พื้นชมพู L</v>
          </cell>
          <cell r="E1212">
            <v>0</v>
          </cell>
          <cell r="F1212">
            <v>890</v>
          </cell>
        </row>
        <row r="1213">
          <cell r="A1213" t="str">
            <v>BB0402-M</v>
          </cell>
          <cell r="B1213" t="str">
            <v>B402</v>
          </cell>
          <cell r="C1213" t="str">
            <v>เยื่อไผ่ แขนสั้นขายาว รวมสัตว์ พื้นชมพู M</v>
          </cell>
          <cell r="E1213">
            <v>0</v>
          </cell>
          <cell r="F1213">
            <v>890</v>
          </cell>
        </row>
        <row r="1214">
          <cell r="A1214" t="str">
            <v>BB0402-XL</v>
          </cell>
          <cell r="B1214" t="str">
            <v>B402</v>
          </cell>
          <cell r="C1214" t="str">
            <v>เยื่อไผ่ แขนสั้นขายาว รวมสัตว์ พื้นชมพู XL</v>
          </cell>
          <cell r="E1214">
            <v>3</v>
          </cell>
          <cell r="F1214">
            <v>890</v>
          </cell>
        </row>
        <row r="1215">
          <cell r="A1215" t="str">
            <v>BB0403-2XL</v>
          </cell>
          <cell r="B1215" t="str">
            <v>B403</v>
          </cell>
          <cell r="C1215" t="str">
            <v>เยื่อไผ่ แขนสั้นขายาว Flower Rabbit พื้นครีม 2XL</v>
          </cell>
          <cell r="E1215">
            <v>0</v>
          </cell>
          <cell r="F1215">
            <v>890</v>
          </cell>
        </row>
        <row r="1216">
          <cell r="A1216" t="str">
            <v>BB0403-L</v>
          </cell>
          <cell r="B1216" t="str">
            <v>B403</v>
          </cell>
          <cell r="C1216" t="str">
            <v>เยื่อไผ่ แขนสั้นขายาว Flower Rabbit พื้นครีม L</v>
          </cell>
          <cell r="E1216">
            <v>0</v>
          </cell>
          <cell r="F1216">
            <v>890</v>
          </cell>
        </row>
        <row r="1217">
          <cell r="A1217" t="str">
            <v>BB0403-M</v>
          </cell>
          <cell r="B1217" t="str">
            <v>B403</v>
          </cell>
          <cell r="C1217" t="str">
            <v>เยื่อไผ่ แขนสั้นขายาว Flower Rabbit พื้นครีม M</v>
          </cell>
          <cell r="E1217">
            <v>0</v>
          </cell>
          <cell r="F1217">
            <v>890</v>
          </cell>
        </row>
        <row r="1218">
          <cell r="A1218" t="str">
            <v>BB0403-XL</v>
          </cell>
          <cell r="B1218" t="str">
            <v>B403</v>
          </cell>
          <cell r="C1218" t="str">
            <v>เยื่อไผ่ แขนสั้นขายาว Flower Rabbit พื้นครีม XL</v>
          </cell>
          <cell r="E1218">
            <v>0</v>
          </cell>
          <cell r="F1218">
            <v>890</v>
          </cell>
        </row>
        <row r="1219">
          <cell r="A1219" t="str">
            <v>BB0407-2XL</v>
          </cell>
          <cell r="B1219" t="str">
            <v>B407</v>
          </cell>
          <cell r="C1219" t="str">
            <v>เยื่อไผ่ แขนสั้นขายาว Little Start 2XL</v>
          </cell>
          <cell r="E1219">
            <v>0</v>
          </cell>
          <cell r="F1219">
            <v>890</v>
          </cell>
        </row>
        <row r="1220">
          <cell r="A1220" t="str">
            <v>BB0407-L</v>
          </cell>
          <cell r="B1220" t="str">
            <v>B407</v>
          </cell>
          <cell r="C1220" t="str">
            <v>เยื่อไผ่ แขนสั้นขายาว Little Start L</v>
          </cell>
          <cell r="E1220">
            <v>0</v>
          </cell>
          <cell r="F1220">
            <v>890</v>
          </cell>
        </row>
        <row r="1221">
          <cell r="A1221" t="str">
            <v>BB0407-M</v>
          </cell>
          <cell r="B1221" t="str">
            <v>B407</v>
          </cell>
          <cell r="C1221" t="str">
            <v>เยื่อไผ่ แขนสั้นขายาว Little Start M</v>
          </cell>
          <cell r="E1221">
            <v>0</v>
          </cell>
          <cell r="F1221">
            <v>590</v>
          </cell>
        </row>
        <row r="1222">
          <cell r="A1222" t="str">
            <v>BB0407-XL</v>
          </cell>
          <cell r="B1222" t="str">
            <v>B407</v>
          </cell>
          <cell r="C1222" t="str">
            <v>เยื่อไผ่ แขนสั้นขายาว Little Start XL</v>
          </cell>
          <cell r="E1222">
            <v>0</v>
          </cell>
          <cell r="F1222">
            <v>890</v>
          </cell>
        </row>
        <row r="1223">
          <cell r="A1223" t="str">
            <v>BB0408-2XL</v>
          </cell>
          <cell r="B1223" t="str">
            <v>B408</v>
          </cell>
          <cell r="C1223" t="str">
            <v>เยื่อไผ่ แขนสั้นขายาว รวมสัตว์ พื้นฟ้า 2XL</v>
          </cell>
          <cell r="E1223">
            <v>0</v>
          </cell>
          <cell r="F1223">
            <v>890</v>
          </cell>
        </row>
        <row r="1224">
          <cell r="A1224" t="str">
            <v>BB0408-L</v>
          </cell>
          <cell r="B1224" t="str">
            <v>B408</v>
          </cell>
          <cell r="C1224" t="str">
            <v>เยื่อไผ่ แขนสั้นขายาว รวมสัตว์ พื้นฟ้า L</v>
          </cell>
          <cell r="E1224">
            <v>0</v>
          </cell>
          <cell r="F1224">
            <v>890</v>
          </cell>
        </row>
        <row r="1225">
          <cell r="A1225" t="str">
            <v>BB0408-M</v>
          </cell>
          <cell r="B1225" t="str">
            <v>B408</v>
          </cell>
          <cell r="C1225" t="str">
            <v>เยื่อไผ่ แขนสั้นขายาว รวมสัตว์ พื้นฟ้า M</v>
          </cell>
          <cell r="E1225">
            <v>0</v>
          </cell>
          <cell r="F1225">
            <v>890</v>
          </cell>
        </row>
        <row r="1226">
          <cell r="A1226" t="str">
            <v>BB0408-XL</v>
          </cell>
          <cell r="B1226" t="str">
            <v>B408</v>
          </cell>
          <cell r="C1226" t="str">
            <v>เยื่อไผ่ แขนสั้นขายาว รวมสัตว์ พื้นฟ้า XL</v>
          </cell>
          <cell r="E1226">
            <v>0</v>
          </cell>
          <cell r="F1226">
            <v>890</v>
          </cell>
        </row>
        <row r="1227">
          <cell r="A1227" t="str">
            <v>BB0409-2XL</v>
          </cell>
          <cell r="B1227" t="str">
            <v>B409</v>
          </cell>
          <cell r="C1227" t="str">
            <v>เยื่อไผ่ แขนสั้นขายาว กระต่าย พื้นเขียว 2XL</v>
          </cell>
          <cell r="E1227">
            <v>0</v>
          </cell>
          <cell r="F1227">
            <v>890</v>
          </cell>
        </row>
        <row r="1228">
          <cell r="A1228" t="str">
            <v>BB0409-L</v>
          </cell>
          <cell r="B1228" t="str">
            <v>B409</v>
          </cell>
          <cell r="C1228" t="str">
            <v>เยื่อไผ่ แขนสั้นขายาว กระต่าย พื้นเขียว L</v>
          </cell>
          <cell r="E1228">
            <v>0</v>
          </cell>
          <cell r="F1228">
            <v>890</v>
          </cell>
        </row>
        <row r="1229">
          <cell r="A1229" t="str">
            <v>BB0409-M</v>
          </cell>
          <cell r="B1229" t="str">
            <v>B409</v>
          </cell>
          <cell r="C1229" t="str">
            <v>เยื่อไผ่ แขนสั้นขายาว กระต่าย พื้นเขียว M</v>
          </cell>
          <cell r="E1229">
            <v>0</v>
          </cell>
          <cell r="F1229">
            <v>890</v>
          </cell>
        </row>
        <row r="1230">
          <cell r="A1230" t="str">
            <v>BB0409-XL</v>
          </cell>
          <cell r="B1230" t="str">
            <v>B409</v>
          </cell>
          <cell r="C1230" t="str">
            <v>เยื่อไผ่ แขนสั้นขายาว กระต่าย พื้นเขียว XL</v>
          </cell>
          <cell r="E1230">
            <v>0</v>
          </cell>
          <cell r="F1230">
            <v>890</v>
          </cell>
        </row>
        <row r="1231">
          <cell r="A1231" t="str">
            <v>BB0410-2XL</v>
          </cell>
          <cell r="B1231" t="str">
            <v>B410</v>
          </cell>
          <cell r="C1231" t="str">
            <v>เยื่อไผ่ แขนสั้นขายาว กระต่าย พื้นขาว ขอบเขียว 2XL</v>
          </cell>
          <cell r="E1231">
            <v>0</v>
          </cell>
          <cell r="F1231">
            <v>890</v>
          </cell>
        </row>
        <row r="1232">
          <cell r="A1232" t="str">
            <v>BB0410-L</v>
          </cell>
          <cell r="B1232" t="str">
            <v>B410</v>
          </cell>
          <cell r="C1232" t="str">
            <v>เยื่อไผ่ แขนสั้นขายาว กระต่าย พื้นขาว ขอบเขียว L</v>
          </cell>
          <cell r="E1232">
            <v>0</v>
          </cell>
          <cell r="F1232">
            <v>890</v>
          </cell>
        </row>
        <row r="1233">
          <cell r="A1233" t="str">
            <v>BB0410-M</v>
          </cell>
          <cell r="B1233" t="str">
            <v>B410</v>
          </cell>
          <cell r="C1233" t="str">
            <v>เยื่อไผ่ แขนสั้นขายาว กระต่าย พื้นขาว ขอบเขียว M</v>
          </cell>
          <cell r="E1233">
            <v>0</v>
          </cell>
          <cell r="F1233">
            <v>890</v>
          </cell>
        </row>
        <row r="1234">
          <cell r="A1234" t="str">
            <v>BB0410-XL</v>
          </cell>
          <cell r="B1234" t="str">
            <v>B410</v>
          </cell>
          <cell r="C1234" t="str">
            <v>เยื่อไผ่ แขนสั้นขายาว กระต่าย พื้นขาว ขอบเขียว XL</v>
          </cell>
          <cell r="E1234">
            <v>0</v>
          </cell>
          <cell r="F1234">
            <v>890</v>
          </cell>
        </row>
        <row r="1235">
          <cell r="A1235" t="str">
            <v>BB0411-2XL</v>
          </cell>
          <cell r="B1235" t="str">
            <v>B411</v>
          </cell>
          <cell r="C1235" t="str">
            <v>เยื่อไผ่ แขนสั้นขายาว กระต่าย ขาว พื้นชมพู 2XL</v>
          </cell>
          <cell r="E1235">
            <v>0</v>
          </cell>
          <cell r="F1235">
            <v>890</v>
          </cell>
        </row>
        <row r="1236">
          <cell r="A1236" t="str">
            <v>BB0411-L</v>
          </cell>
          <cell r="B1236" t="str">
            <v>B411</v>
          </cell>
          <cell r="C1236" t="str">
            <v>เยื่อไผ่ แขนสั้นขายาว กระต่าย ขาว พื้นชมพู L</v>
          </cell>
          <cell r="E1236">
            <v>0</v>
          </cell>
          <cell r="F1236">
            <v>890</v>
          </cell>
        </row>
        <row r="1237">
          <cell r="A1237" t="str">
            <v>BB0411-M</v>
          </cell>
          <cell r="B1237" t="str">
            <v>B411</v>
          </cell>
          <cell r="C1237" t="str">
            <v>เยื่อไผ่ แขนสั้นขายาว กระต่าย ขาว พื้นชมพู M</v>
          </cell>
          <cell r="E1237">
            <v>0</v>
          </cell>
          <cell r="F1237">
            <v>590</v>
          </cell>
        </row>
        <row r="1238">
          <cell r="A1238" t="str">
            <v>BB0411-XL</v>
          </cell>
          <cell r="B1238" t="str">
            <v>B411</v>
          </cell>
          <cell r="C1238" t="str">
            <v>เยื่อไผ่ แขนสั้นขายาว กระต่าย ขาว พื้นชมพู XL</v>
          </cell>
          <cell r="E1238">
            <v>0</v>
          </cell>
          <cell r="F1238">
            <v>890</v>
          </cell>
        </row>
        <row r="1239">
          <cell r="A1239" t="str">
            <v>BB0412-2XL</v>
          </cell>
          <cell r="B1239" t="str">
            <v>B412</v>
          </cell>
          <cell r="C1239" t="str">
            <v>เยื่อไผ่ แขนสั้นขายาว แมวยิ้ม 2XL</v>
          </cell>
          <cell r="E1239">
            <v>0</v>
          </cell>
          <cell r="F1239">
            <v>890</v>
          </cell>
        </row>
        <row r="1240">
          <cell r="A1240" t="str">
            <v>BB0412-L</v>
          </cell>
          <cell r="B1240" t="str">
            <v>B412</v>
          </cell>
          <cell r="C1240" t="str">
            <v>เยื่อไผ่ แขนสั้นขายาว แมวยิ้ม L</v>
          </cell>
          <cell r="E1240">
            <v>0</v>
          </cell>
          <cell r="F1240">
            <v>890</v>
          </cell>
        </row>
        <row r="1241">
          <cell r="A1241" t="str">
            <v>BB0412-M</v>
          </cell>
          <cell r="B1241" t="str">
            <v>B412</v>
          </cell>
          <cell r="C1241" t="str">
            <v>เยื่อไผ่ แขนสั้นขายาว แมวยิ้ม M</v>
          </cell>
          <cell r="E1241">
            <v>0</v>
          </cell>
          <cell r="F1241">
            <v>890</v>
          </cell>
        </row>
        <row r="1242">
          <cell r="A1242" t="str">
            <v>BB0412-XL</v>
          </cell>
          <cell r="B1242" t="str">
            <v>B412</v>
          </cell>
          <cell r="C1242" t="str">
            <v>เยื่อไผ่ แขนสั้นขายาว แมวยิ้ม XL</v>
          </cell>
          <cell r="E1242">
            <v>0</v>
          </cell>
          <cell r="F1242">
            <v>890</v>
          </cell>
        </row>
        <row r="1243">
          <cell r="A1243" t="str">
            <v>BB0413-2XL</v>
          </cell>
          <cell r="B1243" t="str">
            <v>B413</v>
          </cell>
          <cell r="C1243" t="str">
            <v>เยื่อไผ่ แขนสั้นขายาว ดอกไม้ ชมพู พื้นขาว 2XL</v>
          </cell>
          <cell r="E1243">
            <v>0</v>
          </cell>
          <cell r="F1243">
            <v>890</v>
          </cell>
        </row>
        <row r="1244">
          <cell r="A1244" t="str">
            <v>BB0413-L</v>
          </cell>
          <cell r="B1244" t="str">
            <v>B413</v>
          </cell>
          <cell r="C1244" t="str">
            <v>เยื่อไผ่ แขนสั้นขายาว ดอกไม้ ชมพู พื้นขาว L</v>
          </cell>
          <cell r="E1244">
            <v>0</v>
          </cell>
          <cell r="F1244">
            <v>890</v>
          </cell>
        </row>
        <row r="1245">
          <cell r="A1245" t="str">
            <v>BB0413-M</v>
          </cell>
          <cell r="B1245" t="str">
            <v>B413</v>
          </cell>
          <cell r="C1245" t="str">
            <v>เยื่อไผ่ แขนสั้นขายาว ดอกไม้ ชมพู พื้นขาว M</v>
          </cell>
          <cell r="E1245">
            <v>0</v>
          </cell>
          <cell r="F1245">
            <v>890</v>
          </cell>
        </row>
        <row r="1246">
          <cell r="A1246" t="str">
            <v>BB0413-XL</v>
          </cell>
          <cell r="B1246" t="str">
            <v>B413</v>
          </cell>
          <cell r="C1246" t="str">
            <v>เยื่อไผ่ แขนสั้นขายาว ดอกไม้ ชมพู พื้นขาว XL</v>
          </cell>
          <cell r="E1246">
            <v>0</v>
          </cell>
          <cell r="F1246">
            <v>890</v>
          </cell>
        </row>
        <row r="1247">
          <cell r="A1247" t="str">
            <v>BB0414-2XL</v>
          </cell>
          <cell r="B1247" t="str">
            <v>B414</v>
          </cell>
          <cell r="C1247" t="str">
            <v>เยื่อไผ่ แขนสั้นขายาว กระต่ายขาว พื้นฟ้าขอบชมพู 2XL</v>
          </cell>
          <cell r="E1247">
            <v>0</v>
          </cell>
          <cell r="F1247">
            <v>890</v>
          </cell>
        </row>
        <row r="1248">
          <cell r="A1248" t="str">
            <v>BB0414-L</v>
          </cell>
          <cell r="B1248" t="str">
            <v>B414</v>
          </cell>
          <cell r="C1248" t="str">
            <v>เยื่อไผ่ แขนสั้นขายาว กระต่ายขาว พื้นฟ้าขอบชมพู L</v>
          </cell>
          <cell r="E1248">
            <v>0</v>
          </cell>
          <cell r="F1248">
            <v>890</v>
          </cell>
        </row>
        <row r="1249">
          <cell r="A1249" t="str">
            <v>BB0414-M</v>
          </cell>
          <cell r="B1249" t="str">
            <v>B414</v>
          </cell>
          <cell r="C1249" t="str">
            <v>เยื่อไผ่ แขนสั้นขายาว กระต่ายขาว พื้นฟ้าขอบชมพู M</v>
          </cell>
          <cell r="E1249">
            <v>0</v>
          </cell>
          <cell r="F1249">
            <v>890</v>
          </cell>
        </row>
        <row r="1250">
          <cell r="A1250" t="str">
            <v>BB0414-XL</v>
          </cell>
          <cell r="B1250" t="str">
            <v>B414</v>
          </cell>
          <cell r="C1250" t="str">
            <v>เยื่อไผ่ แขนสั้นขายาว กระต่ายขาว พื้นฟ้าขอบชมพู XL</v>
          </cell>
          <cell r="E1250">
            <v>0</v>
          </cell>
          <cell r="F1250">
            <v>890</v>
          </cell>
        </row>
        <row r="1251">
          <cell r="A1251" t="str">
            <v>BB0415-2XL</v>
          </cell>
          <cell r="B1251" t="str">
            <v>B415</v>
          </cell>
          <cell r="C1251" t="str">
            <v>เยื่อไผ่ แขนสั้นขายาว หมาน้ำตาล พื้นม่วง 2XL</v>
          </cell>
          <cell r="E1251">
            <v>9</v>
          </cell>
          <cell r="F1251">
            <v>890</v>
          </cell>
        </row>
        <row r="1252">
          <cell r="A1252" t="str">
            <v>BB0415-L</v>
          </cell>
          <cell r="B1252" t="str">
            <v>B415</v>
          </cell>
          <cell r="C1252" t="str">
            <v>เยื่อไผ่ แขนสั้นขายาว หมาน้ำตาล พื้นม่วง L</v>
          </cell>
          <cell r="E1252">
            <v>0</v>
          </cell>
          <cell r="F1252">
            <v>890</v>
          </cell>
        </row>
        <row r="1253">
          <cell r="A1253" t="str">
            <v>BB0415-M</v>
          </cell>
          <cell r="B1253" t="str">
            <v>B415</v>
          </cell>
          <cell r="C1253" t="str">
            <v>เยื่อไผ่ แขนสั้นขายาว หมาน้ำตาล พื้นม่วง M</v>
          </cell>
          <cell r="E1253">
            <v>0</v>
          </cell>
          <cell r="F1253">
            <v>890</v>
          </cell>
        </row>
        <row r="1254">
          <cell r="A1254" t="str">
            <v>BB0415-XL</v>
          </cell>
          <cell r="B1254" t="str">
            <v>B415</v>
          </cell>
          <cell r="C1254" t="str">
            <v>เยื่อไผ่ แขนสั้นขายาว หมาน้ำตาล พื้นม่วง XL</v>
          </cell>
          <cell r="E1254">
            <v>1</v>
          </cell>
          <cell r="F1254">
            <v>890</v>
          </cell>
        </row>
        <row r="1255">
          <cell r="A1255" t="str">
            <v>BB0416-2XL</v>
          </cell>
          <cell r="B1255" t="str">
            <v>B416</v>
          </cell>
          <cell r="C1255" t="str">
            <v>เยื่อไผ่ แขนสั้นขายาว ไข่ดาว 2XL</v>
          </cell>
          <cell r="E1255">
            <v>0</v>
          </cell>
          <cell r="F1255">
            <v>890</v>
          </cell>
        </row>
        <row r="1256">
          <cell r="A1256" t="str">
            <v>BB0416-L</v>
          </cell>
          <cell r="B1256" t="str">
            <v>B416</v>
          </cell>
          <cell r="C1256" t="str">
            <v>เยื่อไผ่ แขนสั้นขายาว ไข่ดาว L</v>
          </cell>
          <cell r="E1256">
            <v>0</v>
          </cell>
          <cell r="F1256">
            <v>890</v>
          </cell>
        </row>
        <row r="1257">
          <cell r="A1257" t="str">
            <v>BB0416-M</v>
          </cell>
          <cell r="B1257" t="str">
            <v>B416</v>
          </cell>
          <cell r="C1257" t="str">
            <v>เยื่อไผ่ แขนสั้นขายาว ไข่ดาว M</v>
          </cell>
          <cell r="E1257">
            <v>0</v>
          </cell>
          <cell r="F1257">
            <v>890</v>
          </cell>
        </row>
        <row r="1258">
          <cell r="A1258" t="str">
            <v>BB0416-XL</v>
          </cell>
          <cell r="B1258" t="str">
            <v>B416</v>
          </cell>
          <cell r="C1258" t="str">
            <v>เยื่อไผ่ แขนสั้นขายาว ไข่ดาว XL</v>
          </cell>
          <cell r="E1258">
            <v>0</v>
          </cell>
          <cell r="F1258">
            <v>890</v>
          </cell>
        </row>
        <row r="1259">
          <cell r="A1259" t="str">
            <v>BB0420-L</v>
          </cell>
          <cell r="B1259" t="str">
            <v>B420</v>
          </cell>
          <cell r="C1259" t="str">
            <v>เยื่อไผ่ แขนสั้นขายาว เสื้อม่วง กางเกงลายทาง ม่วงขาว L</v>
          </cell>
          <cell r="E1259">
            <v>0</v>
          </cell>
          <cell r="F1259">
            <v>590</v>
          </cell>
        </row>
        <row r="1260">
          <cell r="A1260" t="str">
            <v>BB0420-XL</v>
          </cell>
          <cell r="B1260" t="str">
            <v>B420</v>
          </cell>
          <cell r="C1260" t="str">
            <v>เยื่อไผ่ แขนสั้นขายาว เสื้อม่วง กางเกงลายทาง ม่วงขาว XL</v>
          </cell>
          <cell r="E1260">
            <v>0</v>
          </cell>
          <cell r="F1260">
            <v>890</v>
          </cell>
        </row>
        <row r="1261">
          <cell r="A1261" t="str">
            <v>BB0422-L</v>
          </cell>
          <cell r="B1261" t="str">
            <v>B422</v>
          </cell>
          <cell r="C1261" t="str">
            <v>เยื่อไผ่ แขนสั้นขายาว กระต่ายแครอท พื้นม่วง L</v>
          </cell>
          <cell r="E1261">
            <v>0</v>
          </cell>
          <cell r="F1261">
            <v>890</v>
          </cell>
        </row>
        <row r="1262">
          <cell r="A1262" t="str">
            <v>BB0422-M</v>
          </cell>
          <cell r="B1262" t="str">
            <v>B422</v>
          </cell>
          <cell r="C1262" t="str">
            <v>เยื่อไผ่ แขนสั้นขายาว กระต่ายแครอท พื้นม่วง M</v>
          </cell>
          <cell r="E1262">
            <v>0</v>
          </cell>
          <cell r="F1262">
            <v>890</v>
          </cell>
        </row>
        <row r="1263">
          <cell r="A1263" t="str">
            <v>BB0422-XL</v>
          </cell>
          <cell r="B1263" t="str">
            <v>B422</v>
          </cell>
          <cell r="C1263" t="str">
            <v>เยื่อไผ่ แขนสั้นขายาว กระต่ายแครอท พื้นม่วง XL</v>
          </cell>
          <cell r="E1263">
            <v>0</v>
          </cell>
          <cell r="F1263">
            <v>890</v>
          </cell>
        </row>
        <row r="1264">
          <cell r="A1264" t="str">
            <v>BB0423-L</v>
          </cell>
          <cell r="B1264" t="str">
            <v>B423</v>
          </cell>
          <cell r="C1264" t="str">
            <v>เยื่อไผ่ แขนสั้นขายาว กระต่ายแครอท พื้นฟ้า L</v>
          </cell>
          <cell r="E1264">
            <v>0</v>
          </cell>
          <cell r="F1264">
            <v>890</v>
          </cell>
        </row>
        <row r="1265">
          <cell r="A1265" t="str">
            <v>BB0423-M</v>
          </cell>
          <cell r="B1265" t="str">
            <v>B423</v>
          </cell>
          <cell r="C1265" t="str">
            <v>เยื่อไผ่ แขนสั้นขายาว กระต่ายแครอท พื้นฟ้า M</v>
          </cell>
          <cell r="E1265">
            <v>0</v>
          </cell>
          <cell r="F1265">
            <v>890</v>
          </cell>
        </row>
        <row r="1266">
          <cell r="A1266" t="str">
            <v>BB0423-XL</v>
          </cell>
          <cell r="B1266" t="str">
            <v>B423</v>
          </cell>
          <cell r="C1266" t="str">
            <v>เยื่อไผ่ แขนสั้นขายาว กระต่ายแครอท พื้นฟ้า XL</v>
          </cell>
          <cell r="E1266">
            <v>0</v>
          </cell>
          <cell r="F1266">
            <v>890</v>
          </cell>
        </row>
        <row r="1267">
          <cell r="A1267" t="str">
            <v>BB0424-L</v>
          </cell>
          <cell r="B1267" t="str">
            <v>B424</v>
          </cell>
          <cell r="C1267" t="str">
            <v>เยื่อไผ่ แขนสั้นขายาว กระต่ายแครอท พื้นน้ำเงิน L</v>
          </cell>
          <cell r="E1267">
            <v>0</v>
          </cell>
          <cell r="F1267">
            <v>890</v>
          </cell>
        </row>
        <row r="1268">
          <cell r="A1268" t="str">
            <v>BB0424-M</v>
          </cell>
          <cell r="B1268" t="str">
            <v>B424</v>
          </cell>
          <cell r="C1268" t="str">
            <v>เยื่อไผ่ แขนสั้นขายาว กระต่ายแครอท พื้นน้ำเงิน M</v>
          </cell>
          <cell r="E1268">
            <v>0</v>
          </cell>
          <cell r="F1268">
            <v>590</v>
          </cell>
        </row>
        <row r="1269">
          <cell r="A1269" t="str">
            <v>BB0424-XL</v>
          </cell>
          <cell r="B1269" t="str">
            <v>B424</v>
          </cell>
          <cell r="C1269" t="str">
            <v>เยื่อไผ่ แขนสั้นขายาว กระต่ายแครอท พื้นน้ำเงิน XL</v>
          </cell>
          <cell r="E1269">
            <v>0</v>
          </cell>
          <cell r="F1269">
            <v>890</v>
          </cell>
        </row>
        <row r="1270">
          <cell r="A1270" t="str">
            <v>BB0430-L</v>
          </cell>
          <cell r="B1270" t="str">
            <v>QB430</v>
          </cell>
          <cell r="C1270" t="str">
            <v>เยื่อไผ่ แขนสั้นขายาว กุหลาบขาว พื้นชมพู L QC</v>
          </cell>
          <cell r="E1270">
            <v>0</v>
          </cell>
          <cell r="F1270">
            <v>890</v>
          </cell>
        </row>
        <row r="1271">
          <cell r="A1271" t="str">
            <v>BB0430-M</v>
          </cell>
          <cell r="B1271" t="str">
            <v>QB430</v>
          </cell>
          <cell r="C1271" t="str">
            <v>เยื่อไผ่ แขนสั้นขายาว กุหลาบขาว พื้นชมพู M QC</v>
          </cell>
          <cell r="E1271">
            <v>0</v>
          </cell>
          <cell r="F1271">
            <v>890</v>
          </cell>
        </row>
        <row r="1272">
          <cell r="A1272" t="str">
            <v>BB0430-XL</v>
          </cell>
          <cell r="B1272" t="str">
            <v>QB430</v>
          </cell>
          <cell r="C1272" t="str">
            <v>เยื่อไผ่ แขนสั้นขายาว กุหลาบขาว พื้นชมพู XL QC</v>
          </cell>
          <cell r="E1272">
            <v>0</v>
          </cell>
          <cell r="F1272">
            <v>890</v>
          </cell>
        </row>
        <row r="1273">
          <cell r="A1273" t="str">
            <v>BB0436-L</v>
          </cell>
          <cell r="B1273" t="str">
            <v>QB436</v>
          </cell>
          <cell r="C1273" t="str">
            <v>เยื่อไผ่ แขนสั้นขายาว ดอกไม้แมงกระพรุน ขอบม่วง L QC</v>
          </cell>
          <cell r="E1273">
            <v>0</v>
          </cell>
          <cell r="F1273">
            <v>890</v>
          </cell>
        </row>
        <row r="1274">
          <cell r="A1274" t="str">
            <v>BB0436-M</v>
          </cell>
          <cell r="B1274" t="str">
            <v>QB436</v>
          </cell>
          <cell r="C1274" t="str">
            <v>เยื่อไผ่ แขนสั้นขายาว ดอกไม้แมงกระพรุน ขอบม่วง M QC</v>
          </cell>
          <cell r="E1274">
            <v>0</v>
          </cell>
          <cell r="F1274">
            <v>890</v>
          </cell>
        </row>
        <row r="1275">
          <cell r="A1275" t="str">
            <v>BB0436-XL</v>
          </cell>
          <cell r="B1275" t="str">
            <v>B436</v>
          </cell>
          <cell r="C1275" t="str">
            <v>เยื่อไผ่ แขนสั้นขายาว ดอกไม้แมงกระพรุน ขอบม่วง XL</v>
          </cell>
          <cell r="E1275">
            <v>0</v>
          </cell>
          <cell r="F1275">
            <v>890</v>
          </cell>
        </row>
        <row r="1276">
          <cell r="A1276" t="str">
            <v>BB0437-2XL</v>
          </cell>
          <cell r="B1276" t="str">
            <v>B437</v>
          </cell>
          <cell r="C1276" t="str">
            <v>เยื่อไผ่ แขนสั้นขายาว น้องหมีพื้นขาว ลายจุด 2XL</v>
          </cell>
          <cell r="E1276">
            <v>1</v>
          </cell>
          <cell r="F1276">
            <v>890</v>
          </cell>
        </row>
        <row r="1277">
          <cell r="A1277" t="str">
            <v>BB0437-L</v>
          </cell>
          <cell r="B1277" t="str">
            <v>B437</v>
          </cell>
          <cell r="C1277" t="str">
            <v>เยื่อไผ่ แขนสั้นขายาว น้องหมีพื้นขาว ลายจุด L</v>
          </cell>
          <cell r="E1277">
            <v>4</v>
          </cell>
          <cell r="F1277">
            <v>890</v>
          </cell>
        </row>
        <row r="1278">
          <cell r="A1278" t="str">
            <v>BB0437-M</v>
          </cell>
          <cell r="B1278" t="str">
            <v>B437</v>
          </cell>
          <cell r="C1278" t="str">
            <v>เยื่อไผ่ แขนสั้นขายาว น้องหมีพื้นขาว ลายจุด M</v>
          </cell>
          <cell r="E1278">
            <v>4</v>
          </cell>
          <cell r="F1278">
            <v>890</v>
          </cell>
        </row>
        <row r="1279">
          <cell r="A1279" t="str">
            <v>BB0437-XL</v>
          </cell>
          <cell r="B1279" t="str">
            <v>B437</v>
          </cell>
          <cell r="C1279" t="str">
            <v>เยื่อไผ่ แขนสั้นขายาว น้องหมีพื้นขาว ลายจุด XL</v>
          </cell>
          <cell r="E1279">
            <v>3</v>
          </cell>
          <cell r="F1279">
            <v>890</v>
          </cell>
        </row>
        <row r="1280">
          <cell r="A1280" t="str">
            <v>BB0438-2XL</v>
          </cell>
          <cell r="B1280" t="str">
            <v>B438</v>
          </cell>
          <cell r="C1280" t="str">
            <v>เยื่อไผ่ แขนสั้นขายาว กระต่ายน้อยกับผองเพื่อน 2XL</v>
          </cell>
          <cell r="E1280">
            <v>0</v>
          </cell>
          <cell r="F1280">
            <v>890</v>
          </cell>
        </row>
        <row r="1281">
          <cell r="A1281" t="str">
            <v>BB0438-L</v>
          </cell>
          <cell r="B1281" t="str">
            <v>B438</v>
          </cell>
          <cell r="C1281" t="str">
            <v>เยื่อไผ่ แขนสั้นขายาว กระต่ายน้อยกับผองเพื่อน L</v>
          </cell>
          <cell r="E1281">
            <v>0</v>
          </cell>
          <cell r="F1281">
            <v>890</v>
          </cell>
        </row>
        <row r="1282">
          <cell r="A1282" t="str">
            <v>BB0438-M</v>
          </cell>
          <cell r="B1282" t="str">
            <v>B438</v>
          </cell>
          <cell r="C1282" t="str">
            <v>เยื่อไผ่ แขนสั้นขายาว กระต่ายน้อยกับผองเพื่อน M</v>
          </cell>
          <cell r="E1282">
            <v>0</v>
          </cell>
          <cell r="F1282">
            <v>890</v>
          </cell>
        </row>
        <row r="1283">
          <cell r="A1283" t="str">
            <v>BB0438-XL</v>
          </cell>
          <cell r="B1283" t="str">
            <v>B438</v>
          </cell>
          <cell r="C1283" t="str">
            <v>เยื่อไผ่ แขนสั้นขายาว กระต่ายน้อยกับผองเพื่อน XL</v>
          </cell>
          <cell r="E1283">
            <v>0</v>
          </cell>
          <cell r="F1283">
            <v>890</v>
          </cell>
        </row>
        <row r="1284">
          <cell r="A1284" t="str">
            <v>BB0439-2XL</v>
          </cell>
          <cell r="B1284" t="str">
            <v>B439</v>
          </cell>
          <cell r="C1284" t="str">
            <v>เยื่อไผ่ แขนสั้นขายาว พี่กระรอกกับดอกไม้จิ๋ว 2XL</v>
          </cell>
          <cell r="E1284">
            <v>0</v>
          </cell>
          <cell r="F1284">
            <v>890</v>
          </cell>
        </row>
        <row r="1285">
          <cell r="A1285" t="str">
            <v>BB0439-L</v>
          </cell>
          <cell r="B1285" t="str">
            <v>B439</v>
          </cell>
          <cell r="C1285" t="str">
            <v>เยื่อไผ่ แขนสั้นขายาว พี่กระรอกกับดอกไม้จิ๋ว L</v>
          </cell>
          <cell r="E1285">
            <v>0</v>
          </cell>
          <cell r="F1285">
            <v>890</v>
          </cell>
        </row>
        <row r="1286">
          <cell r="A1286" t="str">
            <v>BB0439-M</v>
          </cell>
          <cell r="B1286" t="str">
            <v>B439</v>
          </cell>
          <cell r="C1286" t="str">
            <v>เยื่อไผ่ แขนสั้นขายาว พี่กระรอกกับดอกไม้จิ๋ว M</v>
          </cell>
          <cell r="E1286">
            <v>0</v>
          </cell>
          <cell r="F1286">
            <v>890</v>
          </cell>
        </row>
        <row r="1287">
          <cell r="A1287" t="str">
            <v>BB0439-XL</v>
          </cell>
          <cell r="B1287" t="str">
            <v>B439</v>
          </cell>
          <cell r="C1287" t="str">
            <v>เยื่อไผ่ แขนสั้นขายาว พี่กระรอกกับดอกไม้จิ๋ว XL</v>
          </cell>
          <cell r="E1287">
            <v>0</v>
          </cell>
          <cell r="F1287">
            <v>890</v>
          </cell>
        </row>
        <row r="1288">
          <cell r="A1288" t="str">
            <v>BB0440-2XL</v>
          </cell>
          <cell r="B1288" t="str">
            <v>B440</v>
          </cell>
          <cell r="C1288" t="str">
            <v>เยื่อไผ่ แขนสั้นขายาว หมีน้ำตาล ลายริ้ว พื้นครีม 2XL</v>
          </cell>
          <cell r="E1288">
            <v>0</v>
          </cell>
          <cell r="F1288">
            <v>890</v>
          </cell>
        </row>
        <row r="1289">
          <cell r="A1289" t="str">
            <v>BB0440-L</v>
          </cell>
          <cell r="B1289" t="str">
            <v>B440</v>
          </cell>
          <cell r="C1289" t="str">
            <v>เยื่อไผ่ แขนสั้นขายาว หมีน้ำตาล ลายริ้ว พื้นครีม L</v>
          </cell>
          <cell r="E1289">
            <v>0</v>
          </cell>
          <cell r="F1289">
            <v>890</v>
          </cell>
        </row>
        <row r="1290">
          <cell r="A1290" t="str">
            <v>BB0440-M</v>
          </cell>
          <cell r="B1290" t="str">
            <v>B440</v>
          </cell>
          <cell r="C1290" t="str">
            <v>เยื่อไผ่ แขนสั้นขายาว หมีน้ำตาล ลายริ้ว พื้นครีม M</v>
          </cell>
          <cell r="E1290">
            <v>0</v>
          </cell>
          <cell r="F1290">
            <v>890</v>
          </cell>
        </row>
        <row r="1291">
          <cell r="A1291" t="str">
            <v>BB0440-XL</v>
          </cell>
          <cell r="B1291" t="str">
            <v>B440</v>
          </cell>
          <cell r="C1291" t="str">
            <v>เยื่อไผ่ แขนสั้นขายาว หมีน้ำตาล ลายริ้ว พื้นครีม XL</v>
          </cell>
          <cell r="E1291">
            <v>0</v>
          </cell>
          <cell r="F1291">
            <v>890</v>
          </cell>
        </row>
        <row r="1292">
          <cell r="A1292" t="str">
            <v>BB0441-2XL</v>
          </cell>
          <cell r="B1292" t="str">
            <v>B441</v>
          </cell>
          <cell r="C1292" t="str">
            <v>เยื่อไผ่ แขนสั้นขายาว mini zoo my friends 2XL</v>
          </cell>
          <cell r="E1292">
            <v>0</v>
          </cell>
          <cell r="F1292">
            <v>890</v>
          </cell>
        </row>
        <row r="1293">
          <cell r="A1293" t="str">
            <v>BB0441-L</v>
          </cell>
          <cell r="B1293" t="str">
            <v>B441</v>
          </cell>
          <cell r="C1293" t="str">
            <v>เยื่อไผ่ แขนสั้นขายาว mini zoo my friends L</v>
          </cell>
          <cell r="E1293">
            <v>0</v>
          </cell>
          <cell r="F1293">
            <v>890</v>
          </cell>
        </row>
        <row r="1294">
          <cell r="A1294" t="str">
            <v>BB0441-M</v>
          </cell>
          <cell r="B1294" t="str">
            <v>B441</v>
          </cell>
          <cell r="C1294" t="str">
            <v>เยื่อไผ่ แขนสั้นขายาว mini zoo my friends M</v>
          </cell>
          <cell r="E1294">
            <v>0</v>
          </cell>
          <cell r="F1294">
            <v>890</v>
          </cell>
        </row>
        <row r="1295">
          <cell r="A1295" t="str">
            <v>BB0441-XL</v>
          </cell>
          <cell r="B1295" t="str">
            <v>B441</v>
          </cell>
          <cell r="C1295" t="str">
            <v>เยื่อไผ่ แขนสั้นขายาว mini zoo my friends XL</v>
          </cell>
          <cell r="E1295">
            <v>0</v>
          </cell>
          <cell r="F1295">
            <v>890</v>
          </cell>
        </row>
        <row r="1296">
          <cell r="A1296" t="str">
            <v>BB0442-2XL</v>
          </cell>
          <cell r="B1296" t="str">
            <v>B442</v>
          </cell>
          <cell r="C1296" t="str">
            <v>เยื่อไผ่ แขนสั้นขายาว แคมป์กระต่าย พื้นครีม 2XL</v>
          </cell>
          <cell r="E1296">
            <v>0</v>
          </cell>
          <cell r="F1296">
            <v>890</v>
          </cell>
        </row>
        <row r="1297">
          <cell r="A1297" t="str">
            <v>BB0442-L</v>
          </cell>
          <cell r="B1297" t="str">
            <v>B442</v>
          </cell>
          <cell r="C1297" t="str">
            <v>เยื่อไผ่ แขนสั้นขายาว แคมป์กระต่าย พื้นครีม L</v>
          </cell>
          <cell r="E1297">
            <v>0</v>
          </cell>
          <cell r="F1297">
            <v>890</v>
          </cell>
        </row>
        <row r="1298">
          <cell r="A1298" t="str">
            <v>BB0442-M</v>
          </cell>
          <cell r="B1298" t="str">
            <v>B442</v>
          </cell>
          <cell r="C1298" t="str">
            <v>เยื่อไผ่ แขนสั้นขายาว แคมป์กระต่าย พื้นครีม M</v>
          </cell>
          <cell r="E1298">
            <v>0</v>
          </cell>
          <cell r="F1298">
            <v>890</v>
          </cell>
        </row>
        <row r="1299">
          <cell r="A1299" t="str">
            <v>BB0442-XL</v>
          </cell>
          <cell r="B1299" t="str">
            <v>B442</v>
          </cell>
          <cell r="C1299" t="str">
            <v>เยื่อไผ่ แขนสั้นขายาว แคมป์กระต่าย พื้นครีม XL</v>
          </cell>
          <cell r="E1299">
            <v>0</v>
          </cell>
          <cell r="F1299">
            <v>890</v>
          </cell>
        </row>
        <row r="1300">
          <cell r="A1300" t="str">
            <v>BB0443-2XL</v>
          </cell>
          <cell r="B1300" t="str">
            <v>B443</v>
          </cell>
          <cell r="C1300" t="str">
            <v>เยื่อไผ่ แขนสั้นขายาว เชอรี่ม่วง พื้นครีม 2XL</v>
          </cell>
          <cell r="E1300">
            <v>0</v>
          </cell>
          <cell r="F1300">
            <v>890</v>
          </cell>
        </row>
        <row r="1301">
          <cell r="A1301" t="str">
            <v>BB0443-L</v>
          </cell>
          <cell r="B1301" t="str">
            <v>B443</v>
          </cell>
          <cell r="C1301" t="str">
            <v>เยื่อไผ่ แขนสั้นขายาว เชอรี่ม่วง พื้นครีม L</v>
          </cell>
          <cell r="E1301">
            <v>2</v>
          </cell>
          <cell r="F1301">
            <v>890</v>
          </cell>
        </row>
        <row r="1302">
          <cell r="A1302" t="str">
            <v>BB0443-M</v>
          </cell>
          <cell r="B1302" t="str">
            <v>B443</v>
          </cell>
          <cell r="C1302" t="str">
            <v>เยื่อไผ่ แขนสั้นขายาว เชอรี่ม่วง พื้นครีม M</v>
          </cell>
          <cell r="E1302">
            <v>0</v>
          </cell>
          <cell r="F1302">
            <v>890</v>
          </cell>
        </row>
        <row r="1303">
          <cell r="A1303" t="str">
            <v>BB0443-XL</v>
          </cell>
          <cell r="B1303" t="str">
            <v>B443</v>
          </cell>
          <cell r="C1303" t="str">
            <v>เยื่อไผ่ แขนสั้นขายาว เชอรี่ม่วง พื้นครีม XL</v>
          </cell>
          <cell r="E1303">
            <v>3</v>
          </cell>
          <cell r="F1303">
            <v>890</v>
          </cell>
        </row>
        <row r="1304">
          <cell r="A1304" t="str">
            <v>BC0001-L</v>
          </cell>
          <cell r="B1304" t="str">
            <v>C1</v>
          </cell>
          <cell r="C1304" t="str">
            <v>เยื่อไผ่ แขนยาวขายาว ผีเสื้อ L</v>
          </cell>
          <cell r="E1304">
            <v>0</v>
          </cell>
          <cell r="F1304">
            <v>950</v>
          </cell>
        </row>
        <row r="1305">
          <cell r="A1305" t="str">
            <v>BC0001-M</v>
          </cell>
          <cell r="B1305" t="str">
            <v>C1</v>
          </cell>
          <cell r="C1305" t="str">
            <v>เยื่อไผ่ แขนยาวขายาว ผีเสื้อ M</v>
          </cell>
          <cell r="E1305">
            <v>0</v>
          </cell>
          <cell r="F1305">
            <v>950</v>
          </cell>
        </row>
        <row r="1306">
          <cell r="A1306" t="str">
            <v>BC0001-S</v>
          </cell>
          <cell r="B1306" t="str">
            <v>C1</v>
          </cell>
          <cell r="C1306" t="str">
            <v>เยื่อไผ่ แขนยาวขายาว ผีเสื้อ S</v>
          </cell>
          <cell r="E1306">
            <v>0</v>
          </cell>
          <cell r="F1306">
            <v>950</v>
          </cell>
        </row>
        <row r="1307">
          <cell r="A1307" t="str">
            <v>BC0002-L</v>
          </cell>
          <cell r="B1307" t="str">
            <v>C2</v>
          </cell>
          <cell r="C1307" t="str">
            <v>เยื่อไผ่ แขนยาวขายาว ผีเสื้อ นู้ด L</v>
          </cell>
          <cell r="E1307">
            <v>0</v>
          </cell>
          <cell r="F1307">
            <v>950</v>
          </cell>
        </row>
        <row r="1308">
          <cell r="A1308" t="str">
            <v>BC0002-M</v>
          </cell>
          <cell r="B1308" t="str">
            <v>C2</v>
          </cell>
          <cell r="C1308" t="str">
            <v>เยื่อไผ่ แขนยาวขายาว ผีเสื้อ นู้ด M</v>
          </cell>
          <cell r="E1308">
            <v>0</v>
          </cell>
          <cell r="F1308">
            <v>950</v>
          </cell>
        </row>
        <row r="1309">
          <cell r="A1309" t="str">
            <v>BC0002-S</v>
          </cell>
          <cell r="B1309" t="str">
            <v>C2</v>
          </cell>
          <cell r="C1309" t="str">
            <v>เยื่อไผ่ แขนยาวขายาว ผีเสื้อ นู้ด S</v>
          </cell>
          <cell r="E1309">
            <v>0</v>
          </cell>
          <cell r="F1309">
            <v>950</v>
          </cell>
        </row>
        <row r="1310">
          <cell r="A1310" t="str">
            <v>BC0003-L</v>
          </cell>
          <cell r="B1310" t="str">
            <v>C3</v>
          </cell>
          <cell r="C1310" t="str">
            <v>เยื่อไผ่ แขนยาวขายาว ผีเสื้อ New L</v>
          </cell>
          <cell r="E1310">
            <v>0</v>
          </cell>
          <cell r="F1310">
            <v>950</v>
          </cell>
        </row>
        <row r="1311">
          <cell r="A1311" t="str">
            <v>BC0003-M</v>
          </cell>
          <cell r="B1311" t="str">
            <v>C3</v>
          </cell>
          <cell r="C1311" t="str">
            <v>เยื่อไผ่ แขนยาวขายาว ผีเสื้อ New M</v>
          </cell>
          <cell r="E1311">
            <v>0</v>
          </cell>
          <cell r="F1311">
            <v>950</v>
          </cell>
        </row>
        <row r="1312">
          <cell r="A1312" t="str">
            <v>BC0003-XL</v>
          </cell>
          <cell r="B1312" t="str">
            <v>C3</v>
          </cell>
          <cell r="C1312" t="str">
            <v>เยื่อไผ่ แขนยาวขายาว ผีเสื้อ New XL</v>
          </cell>
          <cell r="E1312">
            <v>0</v>
          </cell>
          <cell r="F1312">
            <v>950</v>
          </cell>
        </row>
        <row r="1313">
          <cell r="A1313" t="str">
            <v>BC0004-L</v>
          </cell>
          <cell r="B1313" t="str">
            <v>C4</v>
          </cell>
          <cell r="C1313" t="str">
            <v>เยื่อไผ่ แขนยาวขายาว ผีเสื้อดอกไม้แดง พื้นม่วงอ่อน L</v>
          </cell>
          <cell r="E1313">
            <v>0</v>
          </cell>
          <cell r="F1313">
            <v>950</v>
          </cell>
        </row>
        <row r="1314">
          <cell r="A1314" t="str">
            <v>BC0004-M</v>
          </cell>
          <cell r="B1314" t="str">
            <v>C4</v>
          </cell>
          <cell r="C1314" t="str">
            <v>เยื่อไผ่ แขนยาวขายาว ผีเสื้อดอกไม้แดง พื้นม่วงอ่อน M</v>
          </cell>
          <cell r="E1314">
            <v>0</v>
          </cell>
          <cell r="F1314">
            <v>950</v>
          </cell>
        </row>
        <row r="1315">
          <cell r="A1315" t="str">
            <v>BC0004-XL</v>
          </cell>
          <cell r="B1315" t="str">
            <v>C4</v>
          </cell>
          <cell r="C1315" t="str">
            <v>เยื่อไผ่ แขนยาวขายาว ผีเสื้อดอกไม้แดง พื้นม่วงอ่อน XL</v>
          </cell>
          <cell r="E1315">
            <v>0</v>
          </cell>
          <cell r="F1315">
            <v>950</v>
          </cell>
        </row>
        <row r="1316">
          <cell r="A1316" t="str">
            <v>BC0006-L</v>
          </cell>
          <cell r="B1316" t="str">
            <v>C6</v>
          </cell>
          <cell r="C1316" t="str">
            <v>เยื่อไผ่ แขนยาวขายาว นกครีม L</v>
          </cell>
          <cell r="E1316">
            <v>0</v>
          </cell>
          <cell r="F1316">
            <v>950</v>
          </cell>
        </row>
        <row r="1317">
          <cell r="A1317" t="str">
            <v>BC0006-M</v>
          </cell>
          <cell r="B1317" t="str">
            <v>C6</v>
          </cell>
          <cell r="C1317" t="str">
            <v>เยื่อไผ่ แขนยาวขายาว นกครีม M</v>
          </cell>
          <cell r="E1317">
            <v>0</v>
          </cell>
          <cell r="F1317">
            <v>950</v>
          </cell>
        </row>
        <row r="1318">
          <cell r="A1318" t="str">
            <v>BC0009-L</v>
          </cell>
          <cell r="B1318" t="str">
            <v>C9</v>
          </cell>
          <cell r="C1318" t="str">
            <v>เยื่อไผ่ แขนยาวขายาว นกบราว L</v>
          </cell>
          <cell r="E1318">
            <v>0</v>
          </cell>
          <cell r="F1318">
            <v>990</v>
          </cell>
        </row>
        <row r="1319">
          <cell r="A1319" t="str">
            <v>BC0009-M</v>
          </cell>
          <cell r="B1319" t="str">
            <v>C9</v>
          </cell>
          <cell r="C1319" t="str">
            <v>เยื่อไผ่ แขนยาวขายาว นกบราว M</v>
          </cell>
          <cell r="E1319">
            <v>0</v>
          </cell>
          <cell r="F1319">
            <v>990</v>
          </cell>
        </row>
        <row r="1320">
          <cell r="A1320" t="str">
            <v>BC0009-S</v>
          </cell>
          <cell r="B1320" t="str">
            <v>C9</v>
          </cell>
          <cell r="C1320" t="str">
            <v>เยื่อไผ่ แขนยาวขายาว นกบราว S</v>
          </cell>
          <cell r="E1320">
            <v>0</v>
          </cell>
          <cell r="F1320">
            <v>950</v>
          </cell>
        </row>
        <row r="1321">
          <cell r="A1321" t="str">
            <v>BC0009-XL</v>
          </cell>
          <cell r="B1321" t="str">
            <v>C9</v>
          </cell>
          <cell r="C1321" t="str">
            <v>เยื่อไผ่ แขนยาวขายาว นกบราว XL</v>
          </cell>
          <cell r="E1321">
            <v>0</v>
          </cell>
          <cell r="F1321">
            <v>990</v>
          </cell>
        </row>
        <row r="1322">
          <cell r="A1322" t="str">
            <v>BC0010-L</v>
          </cell>
          <cell r="B1322" t="str">
            <v>C10</v>
          </cell>
          <cell r="C1322" t="str">
            <v>เยื่อไผ่ แขนยาวขายาว ลายนก พื้นกรม L</v>
          </cell>
          <cell r="E1322">
            <v>0</v>
          </cell>
          <cell r="F1322">
            <v>950</v>
          </cell>
        </row>
        <row r="1323">
          <cell r="A1323" t="str">
            <v>BC0010-M</v>
          </cell>
          <cell r="B1323" t="str">
            <v>C10</v>
          </cell>
          <cell r="C1323" t="str">
            <v>เยื่อไผ่ แขนยาวขายาว ลายนก พื้นกรม M</v>
          </cell>
          <cell r="E1323">
            <v>0</v>
          </cell>
          <cell r="F1323">
            <v>950</v>
          </cell>
        </row>
        <row r="1324">
          <cell r="A1324" t="str">
            <v>BC0010-XL</v>
          </cell>
          <cell r="B1324" t="str">
            <v>C10</v>
          </cell>
          <cell r="C1324" t="str">
            <v>เยื่อไผ่ แขนยาวขายาว ลายนก พื้นกรม XL</v>
          </cell>
          <cell r="E1324">
            <v>0</v>
          </cell>
          <cell r="F1324">
            <v>950</v>
          </cell>
        </row>
        <row r="1325">
          <cell r="A1325" t="str">
            <v>BC0013-L</v>
          </cell>
          <cell r="B1325" t="str">
            <v>C13</v>
          </cell>
          <cell r="C1325" t="str">
            <v>เยื่อไผ่ แขนยาวขายาว แมว ฟ้า L</v>
          </cell>
          <cell r="E1325">
            <v>0</v>
          </cell>
          <cell r="F1325">
            <v>950</v>
          </cell>
        </row>
        <row r="1326">
          <cell r="A1326" t="str">
            <v>BC0013-M</v>
          </cell>
          <cell r="B1326" t="str">
            <v>C13</v>
          </cell>
          <cell r="C1326" t="str">
            <v>เยื่อไผ่ แขนยาวขายาว แมว ฟ้า M</v>
          </cell>
          <cell r="E1326">
            <v>0</v>
          </cell>
          <cell r="F1326">
            <v>950</v>
          </cell>
        </row>
        <row r="1327">
          <cell r="A1327" t="str">
            <v>BC0013-S</v>
          </cell>
          <cell r="B1327" t="str">
            <v>C13</v>
          </cell>
          <cell r="C1327" t="str">
            <v>เยื่อไผ่ แขนยาวขายาว แมว ฟ้า S</v>
          </cell>
          <cell r="E1327">
            <v>0</v>
          </cell>
          <cell r="F1327">
            <v>950</v>
          </cell>
        </row>
        <row r="1328">
          <cell r="A1328" t="str">
            <v>BC0014-L</v>
          </cell>
          <cell r="B1328" t="str">
            <v>C14</v>
          </cell>
          <cell r="C1328" t="str">
            <v>เยื่อไผ่ แขนยาวขายาว ลายทางเทา น้องหมา L</v>
          </cell>
          <cell r="E1328">
            <v>0</v>
          </cell>
          <cell r="F1328">
            <v>990</v>
          </cell>
        </row>
        <row r="1329">
          <cell r="A1329" t="str">
            <v>BC0014-M</v>
          </cell>
          <cell r="B1329" t="str">
            <v>C14</v>
          </cell>
          <cell r="C1329" t="str">
            <v>เยื่อไผ่ แขนยาวขายาว ลายทางเทา น้องหมา M</v>
          </cell>
          <cell r="E1329">
            <v>0</v>
          </cell>
          <cell r="F1329">
            <v>990</v>
          </cell>
        </row>
        <row r="1330">
          <cell r="A1330" t="str">
            <v>BC0014-S</v>
          </cell>
          <cell r="B1330" t="str">
            <v>C14</v>
          </cell>
          <cell r="C1330" t="str">
            <v>เยื่อไผ่ แขนยาวขายาว ลายทางเทา น้องหมา S</v>
          </cell>
          <cell r="E1330">
            <v>0</v>
          </cell>
          <cell r="F1330">
            <v>990</v>
          </cell>
        </row>
        <row r="1331">
          <cell r="A1331" t="str">
            <v>BC0014-XL</v>
          </cell>
          <cell r="B1331" t="str">
            <v>C14</v>
          </cell>
          <cell r="C1331" t="str">
            <v>เยื่อไผ่ แขนยาวขายาว ลายทางเทา น้องหมา XL</v>
          </cell>
          <cell r="E1331">
            <v>0</v>
          </cell>
          <cell r="F1331">
            <v>990</v>
          </cell>
        </row>
        <row r="1332">
          <cell r="A1332" t="str">
            <v>BC0015-L</v>
          </cell>
          <cell r="B1332" t="str">
            <v>C15</v>
          </cell>
          <cell r="C1332" t="str">
            <v>เยื่อไผ่ แขนยาวขายาว ลายทางดำ น้องหมา L</v>
          </cell>
          <cell r="E1332">
            <v>0</v>
          </cell>
          <cell r="F1332">
            <v>950</v>
          </cell>
        </row>
        <row r="1333">
          <cell r="A1333" t="str">
            <v>BC0015-M</v>
          </cell>
          <cell r="B1333" t="str">
            <v>C15</v>
          </cell>
          <cell r="C1333" t="str">
            <v>เยื่อไผ่ แขนยาวขายาว ลายทางดำ น้องหมา M</v>
          </cell>
          <cell r="E1333">
            <v>0</v>
          </cell>
          <cell r="F1333">
            <v>950</v>
          </cell>
        </row>
        <row r="1334">
          <cell r="A1334" t="str">
            <v>BC0015-XL</v>
          </cell>
          <cell r="B1334" t="str">
            <v>C15</v>
          </cell>
          <cell r="C1334" t="str">
            <v>เยื่อไผ่ แขนยาวขายาว ลายทางดำ น้องหมา XL</v>
          </cell>
          <cell r="E1334">
            <v>0</v>
          </cell>
          <cell r="F1334">
            <v>950</v>
          </cell>
        </row>
        <row r="1335">
          <cell r="A1335" t="str">
            <v>BC0018-L</v>
          </cell>
          <cell r="B1335" t="str">
            <v>C18</v>
          </cell>
          <cell r="C1335" t="str">
            <v>เยื่อไผ่ สี่ส่วน ดอกไม้สีocean L</v>
          </cell>
          <cell r="E1335">
            <v>0</v>
          </cell>
          <cell r="F1335">
            <v>950</v>
          </cell>
        </row>
        <row r="1336">
          <cell r="A1336" t="str">
            <v>BC0018-M</v>
          </cell>
          <cell r="B1336" t="str">
            <v>C18</v>
          </cell>
          <cell r="C1336" t="str">
            <v>เยื่อไผ่ สี่ส่วน ดอกไม้สีocean M</v>
          </cell>
          <cell r="E1336">
            <v>0</v>
          </cell>
          <cell r="F1336">
            <v>950</v>
          </cell>
        </row>
        <row r="1337">
          <cell r="A1337" t="str">
            <v>BC0018-XL</v>
          </cell>
          <cell r="B1337" t="str">
            <v>C18</v>
          </cell>
          <cell r="C1337" t="str">
            <v>เยื่อไผ่ สี่ส่วน ดอกไม้สีocean XL</v>
          </cell>
          <cell r="E1337">
            <v>0</v>
          </cell>
          <cell r="F1337">
            <v>950</v>
          </cell>
        </row>
        <row r="1338">
          <cell r="A1338" t="str">
            <v>BC0020-L</v>
          </cell>
          <cell r="B1338" t="str">
            <v>C20</v>
          </cell>
          <cell r="C1338" t="str">
            <v>เยื่อไผ่ แขนยาวขายาว ใบไม้เขียว NEW L</v>
          </cell>
          <cell r="E1338">
            <v>0</v>
          </cell>
          <cell r="F1338">
            <v>990</v>
          </cell>
        </row>
        <row r="1339">
          <cell r="A1339" t="str">
            <v>BC0020-M</v>
          </cell>
          <cell r="B1339" t="str">
            <v>C20</v>
          </cell>
          <cell r="C1339" t="str">
            <v>เยื่อไผ่ แขนยาวขายาว ใบไม้เขียว NEW M</v>
          </cell>
          <cell r="E1339">
            <v>0</v>
          </cell>
          <cell r="F1339">
            <v>990</v>
          </cell>
        </row>
        <row r="1340">
          <cell r="A1340" t="str">
            <v>BC0020-S</v>
          </cell>
          <cell r="B1340" t="str">
            <v>C20</v>
          </cell>
          <cell r="C1340" t="str">
            <v>เยื่อไผ่ แขนยาวขายาว ใบไม้เขียว NEW S</v>
          </cell>
          <cell r="E1340">
            <v>0</v>
          </cell>
          <cell r="F1340">
            <v>990</v>
          </cell>
        </row>
        <row r="1341">
          <cell r="A1341" t="str">
            <v>BC0025-L</v>
          </cell>
          <cell r="B1341" t="str">
            <v>C25</v>
          </cell>
          <cell r="C1341" t="str">
            <v>เยื่อไผ่ แขนยาวขายาว ใบไม้น้ำตาล ขอบแดง L</v>
          </cell>
          <cell r="E1341">
            <v>0</v>
          </cell>
          <cell r="F1341">
            <v>990</v>
          </cell>
        </row>
        <row r="1342">
          <cell r="A1342" t="str">
            <v>BC0025-M</v>
          </cell>
          <cell r="B1342" t="str">
            <v>C25</v>
          </cell>
          <cell r="C1342" t="str">
            <v>เยื่อไผ่ แขนยาวขายาว ใบไม้น้ำตาล ขอบแดง M</v>
          </cell>
          <cell r="E1342">
            <v>0</v>
          </cell>
          <cell r="F1342">
            <v>990</v>
          </cell>
        </row>
        <row r="1343">
          <cell r="A1343" t="str">
            <v>BC0025-S</v>
          </cell>
          <cell r="B1343" t="str">
            <v>C25</v>
          </cell>
          <cell r="C1343" t="str">
            <v>เยื่อไผ่ แขนยาวขายาว ใบไม้น้ำตาล ขอบแดง S</v>
          </cell>
          <cell r="E1343">
            <v>3</v>
          </cell>
          <cell r="F1343">
            <v>990</v>
          </cell>
        </row>
        <row r="1344">
          <cell r="A1344" t="str">
            <v>BC0025-XL</v>
          </cell>
          <cell r="B1344" t="str">
            <v>C25</v>
          </cell>
          <cell r="C1344" t="str">
            <v>เยื่อไผ่ แขนยาวขายาว ใบไม้น้ำตาล ขอบแดง XL</v>
          </cell>
          <cell r="E1344">
            <v>0</v>
          </cell>
          <cell r="F1344">
            <v>990</v>
          </cell>
        </row>
        <row r="1345">
          <cell r="A1345" t="str">
            <v>BC0030-L</v>
          </cell>
          <cell r="B1345" t="str">
            <v>C30</v>
          </cell>
          <cell r="C1345" t="str">
            <v>เยื่อไผ่ แขนยาวขายาว มอนเตอร่า พื้นชมพู L</v>
          </cell>
          <cell r="E1345">
            <v>0</v>
          </cell>
          <cell r="F1345">
            <v>950</v>
          </cell>
        </row>
        <row r="1346">
          <cell r="A1346" t="str">
            <v>BC0030-M</v>
          </cell>
          <cell r="B1346" t="str">
            <v>C30</v>
          </cell>
          <cell r="C1346" t="str">
            <v>เยื่อไผ่ แขนยาวขายาว มอนเตอร่า พื้นชมพู M</v>
          </cell>
          <cell r="E1346">
            <v>0</v>
          </cell>
          <cell r="F1346">
            <v>950</v>
          </cell>
        </row>
        <row r="1347">
          <cell r="A1347" t="str">
            <v>BC0030-XL</v>
          </cell>
          <cell r="B1347" t="str">
            <v>C30</v>
          </cell>
          <cell r="C1347" t="str">
            <v>เยื่อไผ่ แขนยาวขายาว มอนเตอร่า พื้นชมพู XL</v>
          </cell>
          <cell r="E1347">
            <v>0</v>
          </cell>
          <cell r="F1347">
            <v>950</v>
          </cell>
        </row>
        <row r="1348">
          <cell r="A1348" t="str">
            <v>BC0031-L</v>
          </cell>
          <cell r="B1348" t="str">
            <v>C31</v>
          </cell>
          <cell r="C1348" t="str">
            <v>เยื่อไผ่ แขนยาวขายาว มอนสเตอร่าหลายสี พื้นกรม ปกน้ำตาล L</v>
          </cell>
          <cell r="E1348">
            <v>0</v>
          </cell>
          <cell r="F1348">
            <v>950</v>
          </cell>
        </row>
        <row r="1349">
          <cell r="A1349" t="str">
            <v>BC0031-M</v>
          </cell>
          <cell r="B1349" t="str">
            <v>C31</v>
          </cell>
          <cell r="C1349" t="str">
            <v>เยื่อไผ่ แขนยาวขายาว มอนสเตอร่าหลายสี พื้นกรม ปกน้ำตาล M</v>
          </cell>
          <cell r="E1349">
            <v>0</v>
          </cell>
          <cell r="F1349">
            <v>950</v>
          </cell>
        </row>
        <row r="1350">
          <cell r="A1350" t="str">
            <v>BC0031-XL</v>
          </cell>
          <cell r="B1350" t="str">
            <v>C31</v>
          </cell>
          <cell r="C1350" t="str">
            <v>เยื่อไผ่ แขนยาวขายาว มอนสเตอร่าหลายสี พื้นกรม ปกน้ำตาล XL</v>
          </cell>
          <cell r="E1350">
            <v>0</v>
          </cell>
          <cell r="F1350">
            <v>950</v>
          </cell>
        </row>
        <row r="1351">
          <cell r="A1351" t="str">
            <v>BC0032-L</v>
          </cell>
          <cell r="B1351" t="str">
            <v>C32</v>
          </cell>
          <cell r="C1351" t="str">
            <v>เยื่อไผ่ แขนยาวขายาว ฮาวาย เขียว L</v>
          </cell>
          <cell r="E1351">
            <v>0</v>
          </cell>
          <cell r="F1351">
            <v>950</v>
          </cell>
        </row>
        <row r="1352">
          <cell r="A1352" t="str">
            <v>BC0032-M</v>
          </cell>
          <cell r="B1352" t="str">
            <v>C32</v>
          </cell>
          <cell r="C1352" t="str">
            <v>เยื่อไผ่ แขนยาวขายาว ฮาวาย เขียว M</v>
          </cell>
          <cell r="E1352">
            <v>0</v>
          </cell>
          <cell r="F1352">
            <v>950</v>
          </cell>
        </row>
        <row r="1353">
          <cell r="A1353" t="str">
            <v>BC0032-XL</v>
          </cell>
          <cell r="B1353" t="str">
            <v>C32</v>
          </cell>
          <cell r="C1353" t="str">
            <v>เยื่อไผ่ แขนยาวขายาว ฮาวาย เขียว XL</v>
          </cell>
          <cell r="E1353">
            <v>0</v>
          </cell>
          <cell r="F1353">
            <v>950</v>
          </cell>
        </row>
        <row r="1354">
          <cell r="A1354" t="str">
            <v>BC0035-L</v>
          </cell>
          <cell r="B1354" t="str">
            <v>BC35</v>
          </cell>
          <cell r="C1354" t="str">
            <v>เยื่อไผ่ แขนยาวขายาว ขาว ดอกไม้เล็ก L</v>
          </cell>
          <cell r="E1354">
            <v>0</v>
          </cell>
          <cell r="F1354">
            <v>990</v>
          </cell>
        </row>
        <row r="1355">
          <cell r="A1355" t="str">
            <v>BC0035-M</v>
          </cell>
          <cell r="B1355" t="str">
            <v>C35</v>
          </cell>
          <cell r="C1355" t="str">
            <v>เยื่อไผ่ แขนยาวขายาว ขาว ดอกไม้เล็ก M</v>
          </cell>
          <cell r="E1355">
            <v>0</v>
          </cell>
          <cell r="F1355">
            <v>990</v>
          </cell>
        </row>
        <row r="1356">
          <cell r="A1356" t="str">
            <v>BC0035-S</v>
          </cell>
          <cell r="B1356" t="str">
            <v>C35</v>
          </cell>
          <cell r="C1356" t="str">
            <v>เยื่อไผ่ แขนยาวขายาว ขาว ดอกไม้เล็ก S</v>
          </cell>
          <cell r="E1356">
            <v>0</v>
          </cell>
          <cell r="F1356">
            <v>950</v>
          </cell>
        </row>
        <row r="1357">
          <cell r="A1357" t="str">
            <v>BC0035-XL</v>
          </cell>
          <cell r="B1357" t="str">
            <v>C35</v>
          </cell>
          <cell r="C1357" t="str">
            <v>เยื่อไผ่ แขนยาวขายาว ขาว ดอกไม้เล็ก XL</v>
          </cell>
          <cell r="E1357">
            <v>0</v>
          </cell>
          <cell r="F1357">
            <v>990</v>
          </cell>
        </row>
        <row r="1358">
          <cell r="A1358" t="str">
            <v>BC0037-L</v>
          </cell>
          <cell r="B1358" t="str">
            <v>C37</v>
          </cell>
          <cell r="C1358" t="str">
            <v>เยื่อไผ่ แขนยาวขายาว สีกรม ดอกไม้ขาว L</v>
          </cell>
          <cell r="E1358">
            <v>0</v>
          </cell>
          <cell r="F1358">
            <v>950</v>
          </cell>
        </row>
        <row r="1359">
          <cell r="A1359" t="str">
            <v>BC0037-M</v>
          </cell>
          <cell r="B1359" t="str">
            <v>C37</v>
          </cell>
          <cell r="C1359" t="str">
            <v>เยื่อไผ่ แขนยาวขายาว สีกรม ดอกไม้ขาว M</v>
          </cell>
          <cell r="E1359">
            <v>0</v>
          </cell>
          <cell r="F1359">
            <v>950</v>
          </cell>
        </row>
        <row r="1360">
          <cell r="A1360" t="str">
            <v>BC0037-XL</v>
          </cell>
          <cell r="B1360" t="str">
            <v>C37</v>
          </cell>
          <cell r="C1360" t="str">
            <v>เยื่อไผ่ แขนยาวขายาว สีกรม ดอกไม้ขาว XL</v>
          </cell>
          <cell r="E1360">
            <v>0</v>
          </cell>
          <cell r="F1360">
            <v>950</v>
          </cell>
        </row>
        <row r="1361">
          <cell r="A1361" t="str">
            <v>BC0039-L</v>
          </cell>
          <cell r="B1361" t="str">
            <v>C39</v>
          </cell>
          <cell r="C1361" t="str">
            <v>เยื่อไผ่ แขนยาวขายาว น้ำเงิน ดอกไม้ขาว ลายคาด L</v>
          </cell>
          <cell r="E1361">
            <v>0</v>
          </cell>
          <cell r="F1361">
            <v>950</v>
          </cell>
        </row>
        <row r="1362">
          <cell r="A1362" t="str">
            <v>BC0039-M</v>
          </cell>
          <cell r="B1362" t="str">
            <v>C39</v>
          </cell>
          <cell r="C1362" t="str">
            <v>เยื่อไผ่ แขนยาวขายาว น้ำเงิน ดอกไม้ขาว ลายคาด M</v>
          </cell>
          <cell r="E1362">
            <v>0</v>
          </cell>
          <cell r="F1362">
            <v>950</v>
          </cell>
        </row>
        <row r="1363">
          <cell r="A1363" t="str">
            <v>BC0039-XL</v>
          </cell>
          <cell r="B1363" t="str">
            <v>C39</v>
          </cell>
          <cell r="C1363" t="str">
            <v>เยื่อไผ่ แขนยาวขายาว น้ำเงิน ดอกไม้ขาว ลายคาด XL</v>
          </cell>
          <cell r="E1363">
            <v>0</v>
          </cell>
          <cell r="F1363">
            <v>950</v>
          </cell>
        </row>
        <row r="1364">
          <cell r="A1364" t="str">
            <v>BC0041-L</v>
          </cell>
          <cell r="B1364" t="str">
            <v>C41</v>
          </cell>
          <cell r="C1364" t="str">
            <v>เยื่อไผ่ แขนยาวขายาว ดอกไม้ขาว พื้นเทาอ่อน L</v>
          </cell>
          <cell r="E1364">
            <v>0</v>
          </cell>
          <cell r="F1364">
            <v>950</v>
          </cell>
        </row>
        <row r="1365">
          <cell r="A1365" t="str">
            <v>BC0041-M</v>
          </cell>
          <cell r="B1365" t="str">
            <v>C41</v>
          </cell>
          <cell r="C1365" t="str">
            <v>เยื่อไผ่ แขนยาวขายาว ดอกไม้ขาว พื้นเทาอ่อน M</v>
          </cell>
          <cell r="E1365">
            <v>0</v>
          </cell>
          <cell r="F1365">
            <v>950</v>
          </cell>
        </row>
        <row r="1366">
          <cell r="A1366" t="str">
            <v>BC0041-XL</v>
          </cell>
          <cell r="B1366" t="str">
            <v>C41</v>
          </cell>
          <cell r="C1366" t="str">
            <v>เยื่อไผ่ แขนยาวขายาว ดอกไม้ขาว พื้นเทาอ่อน XL</v>
          </cell>
          <cell r="E1366">
            <v>0</v>
          </cell>
          <cell r="F1366">
            <v>950</v>
          </cell>
        </row>
        <row r="1367">
          <cell r="A1367" t="str">
            <v>BC0043-L</v>
          </cell>
          <cell r="B1367" t="str">
            <v>C43</v>
          </cell>
          <cell r="C1367" t="str">
            <v>เยื่อไผ่ แขนยาวขายาว ดอกไม้ขาวเทา พื้นกรม L</v>
          </cell>
          <cell r="E1367">
            <v>0</v>
          </cell>
          <cell r="F1367">
            <v>950</v>
          </cell>
        </row>
        <row r="1368">
          <cell r="A1368" t="str">
            <v>BC0043-M</v>
          </cell>
          <cell r="B1368" t="str">
            <v>C43</v>
          </cell>
          <cell r="C1368" t="str">
            <v>เยื่อไผ่ แขนยาวขายาว ดอกไม้ขาวเทา พื้นกรม M</v>
          </cell>
          <cell r="E1368">
            <v>0</v>
          </cell>
          <cell r="F1368">
            <v>950</v>
          </cell>
        </row>
        <row r="1369">
          <cell r="A1369" t="str">
            <v>BC0043-XL</v>
          </cell>
          <cell r="B1369" t="str">
            <v>C43</v>
          </cell>
          <cell r="C1369" t="str">
            <v>เยื่อไผ่ แขนยาวขายาว ดอกไม้ขาวเทา พื้นกรม XL</v>
          </cell>
          <cell r="E1369">
            <v>0</v>
          </cell>
          <cell r="F1369">
            <v>950</v>
          </cell>
        </row>
        <row r="1370">
          <cell r="A1370" t="str">
            <v>BC0044-L</v>
          </cell>
          <cell r="B1370" t="str">
            <v>C44</v>
          </cell>
          <cell r="C1370" t="str">
            <v>เยื่อไผ่ แขนยาวขายาว ดอกไม้เล็ก สีแดงขาว พื้นฟ้าเข้ม ปกชมพู L</v>
          </cell>
          <cell r="E1370">
            <v>0</v>
          </cell>
          <cell r="F1370">
            <v>950</v>
          </cell>
        </row>
        <row r="1371">
          <cell r="A1371" t="str">
            <v>BC0044-M</v>
          </cell>
          <cell r="B1371" t="str">
            <v>C44</v>
          </cell>
          <cell r="C1371" t="str">
            <v>เยื่อไผ่ แขนยาวขายาว ดอกไม้เล็ก สีแดงขาว พื้นฟ้าเข้ม ปกชมพู M</v>
          </cell>
          <cell r="E1371">
            <v>0</v>
          </cell>
          <cell r="F1371">
            <v>950</v>
          </cell>
        </row>
        <row r="1372">
          <cell r="A1372" t="str">
            <v>BC0044-XL</v>
          </cell>
          <cell r="B1372" t="str">
            <v>C44</v>
          </cell>
          <cell r="C1372" t="str">
            <v>เยื่อไผ่ แขนยาวขายาว ดอกไม้เล็ก สีแดงขาว พื้นฟ้าเข้ม ปกชมพู XL</v>
          </cell>
          <cell r="E1372">
            <v>0</v>
          </cell>
          <cell r="F1372">
            <v>950</v>
          </cell>
        </row>
        <row r="1373">
          <cell r="A1373" t="str">
            <v>BC0045-L</v>
          </cell>
          <cell r="B1373" t="str">
            <v>C45</v>
          </cell>
          <cell r="E1373">
            <v>0</v>
          </cell>
          <cell r="F1373">
            <v>0</v>
          </cell>
        </row>
        <row r="1374">
          <cell r="A1374" t="str">
            <v>BC0066-L</v>
          </cell>
          <cell r="B1374" t="str">
            <v>C66</v>
          </cell>
          <cell r="C1374" t="str">
            <v>เยื่อไผ่ แขนยาวขายาว ดอกไม้ชมพูอ่อน L</v>
          </cell>
          <cell r="E1374">
            <v>0</v>
          </cell>
          <cell r="F1374">
            <v>950</v>
          </cell>
        </row>
        <row r="1375">
          <cell r="A1375" t="str">
            <v>BC0066-M</v>
          </cell>
          <cell r="B1375" t="str">
            <v>C66</v>
          </cell>
          <cell r="C1375" t="str">
            <v>เยื่อไผ่ แขนยาวขายาว ดอกไม้ชมพูอ่อน M</v>
          </cell>
          <cell r="E1375">
            <v>0</v>
          </cell>
          <cell r="F1375">
            <v>950</v>
          </cell>
        </row>
        <row r="1376">
          <cell r="A1376" t="str">
            <v>BC0066-XL</v>
          </cell>
          <cell r="B1376" t="str">
            <v>C66</v>
          </cell>
          <cell r="C1376" t="str">
            <v>เยื่อไผ่ แขนยาวขายาว ดอกไม้ชมพูอ่อน XL</v>
          </cell>
          <cell r="E1376">
            <v>0</v>
          </cell>
          <cell r="F1376">
            <v>950</v>
          </cell>
        </row>
        <row r="1377">
          <cell r="A1377" t="str">
            <v>BC0067-L</v>
          </cell>
          <cell r="B1377" t="str">
            <v>C67</v>
          </cell>
          <cell r="C1377" t="str">
            <v>เยื่อไผ่ แขนยาวขายาว ดอกไม้ชมพู พื้นชมพู L</v>
          </cell>
          <cell r="E1377">
            <v>0</v>
          </cell>
          <cell r="F1377">
            <v>950</v>
          </cell>
        </row>
        <row r="1378">
          <cell r="A1378" t="str">
            <v>BC0067-M</v>
          </cell>
          <cell r="B1378" t="str">
            <v>C67</v>
          </cell>
          <cell r="C1378" t="str">
            <v>เยื่อไผ่ แขนยาวขายาว ดอกไม้ชมพู พื้นชมพู M</v>
          </cell>
          <cell r="E1378">
            <v>0</v>
          </cell>
          <cell r="F1378">
            <v>950</v>
          </cell>
        </row>
        <row r="1379">
          <cell r="A1379" t="str">
            <v>BC0069-L</v>
          </cell>
          <cell r="B1379" t="str">
            <v>C69</v>
          </cell>
          <cell r="C1379" t="str">
            <v>เยื่อไผ่ แขนยาวขายาว ดอกไม้ พื้นชมพู L</v>
          </cell>
          <cell r="E1379">
            <v>0</v>
          </cell>
          <cell r="F1379">
            <v>950</v>
          </cell>
        </row>
        <row r="1380">
          <cell r="A1380" t="str">
            <v>BC0069-M</v>
          </cell>
          <cell r="B1380" t="str">
            <v>C69</v>
          </cell>
          <cell r="C1380" t="str">
            <v>เยื่อไผ่ แขนยาวขายาว ดอกไม้ พื้นชมพู M</v>
          </cell>
          <cell r="E1380">
            <v>0</v>
          </cell>
          <cell r="F1380">
            <v>950</v>
          </cell>
        </row>
        <row r="1381">
          <cell r="A1381" t="str">
            <v>BC0073-L</v>
          </cell>
          <cell r="B1381" t="str">
            <v>C73</v>
          </cell>
          <cell r="C1381" t="str">
            <v>เยื่อไผ่ แขนยาวขายาว ดอกไม้น้ำตาล-L</v>
          </cell>
          <cell r="E1381">
            <v>0</v>
          </cell>
          <cell r="F1381">
            <v>950</v>
          </cell>
        </row>
        <row r="1382">
          <cell r="A1382" t="str">
            <v>BC0073-M</v>
          </cell>
          <cell r="B1382" t="str">
            <v>C73</v>
          </cell>
          <cell r="C1382" t="str">
            <v>เยื่อไผ่ แขนยาวขายาว ดอกไม้น้ำตาลM</v>
          </cell>
          <cell r="E1382">
            <v>0</v>
          </cell>
          <cell r="F1382">
            <v>950</v>
          </cell>
        </row>
        <row r="1383">
          <cell r="A1383" t="str">
            <v>BC0073-S</v>
          </cell>
          <cell r="B1383" t="str">
            <v>C73</v>
          </cell>
          <cell r="C1383" t="str">
            <v>เยื่อไผ่ แขนยาวขายาว ดอกไม้น้ำตาล S</v>
          </cell>
          <cell r="E1383">
            <v>0</v>
          </cell>
          <cell r="F1383">
            <v>950</v>
          </cell>
        </row>
        <row r="1384">
          <cell r="A1384" t="str">
            <v>BC0073-XL</v>
          </cell>
          <cell r="B1384" t="str">
            <v>C73</v>
          </cell>
          <cell r="C1384" t="str">
            <v>เยื่อไผ่ แขนยาวขายาว ดอกไม้น้ำตาล XL</v>
          </cell>
          <cell r="E1384">
            <v>0</v>
          </cell>
          <cell r="F1384">
            <v>950</v>
          </cell>
        </row>
        <row r="1385">
          <cell r="A1385" t="str">
            <v>BC0075-L</v>
          </cell>
          <cell r="B1385" t="str">
            <v>C75</v>
          </cell>
          <cell r="C1385" t="str">
            <v>เยื่อไผ่ แขนยาวขายาว เหลืองลายดอก L</v>
          </cell>
          <cell r="E1385">
            <v>0</v>
          </cell>
          <cell r="F1385">
            <v>990</v>
          </cell>
        </row>
        <row r="1386">
          <cell r="A1386" t="str">
            <v>BC0075-M</v>
          </cell>
          <cell r="B1386" t="str">
            <v>C75</v>
          </cell>
          <cell r="C1386" t="str">
            <v>เยื่อไผ่ แขนยาวขายาว เหลืองลายดอก M</v>
          </cell>
          <cell r="E1386">
            <v>0</v>
          </cell>
          <cell r="F1386">
            <v>990</v>
          </cell>
        </row>
        <row r="1387">
          <cell r="A1387" t="str">
            <v>BC0075-S</v>
          </cell>
          <cell r="B1387" t="str">
            <v>C75</v>
          </cell>
          <cell r="C1387" t="str">
            <v>เยื่อไผ่ แขนยาวขายาว เหลืองลายดอก S</v>
          </cell>
          <cell r="E1387">
            <v>0</v>
          </cell>
          <cell r="F1387">
            <v>990</v>
          </cell>
        </row>
        <row r="1388">
          <cell r="A1388" t="str">
            <v>BC0075-XL</v>
          </cell>
          <cell r="B1388" t="str">
            <v>C75</v>
          </cell>
          <cell r="C1388" t="str">
            <v>เยื่อไผ่ แขนยาวขายาว เหลืองลายดอก XL</v>
          </cell>
          <cell r="E1388">
            <v>0</v>
          </cell>
          <cell r="F1388">
            <v>990</v>
          </cell>
        </row>
        <row r="1389">
          <cell r="A1389" t="str">
            <v>BC0077-L</v>
          </cell>
          <cell r="B1389" t="str">
            <v>C77</v>
          </cell>
          <cell r="C1389" t="str">
            <v>เยื่อไผ่ แขนยาวขายาว ดอกไม้ชม พื้นเหลือง L</v>
          </cell>
          <cell r="E1389">
            <v>0</v>
          </cell>
          <cell r="F1389">
            <v>990</v>
          </cell>
        </row>
        <row r="1390">
          <cell r="A1390" t="str">
            <v>BC0077-M</v>
          </cell>
          <cell r="B1390" t="str">
            <v>C77</v>
          </cell>
          <cell r="C1390" t="str">
            <v>เยื่อไผ่ แขนยาวขายาว ดอกไม้ชม พื้นเหลือง M</v>
          </cell>
          <cell r="E1390">
            <v>0</v>
          </cell>
          <cell r="F1390">
            <v>990</v>
          </cell>
        </row>
        <row r="1391">
          <cell r="A1391" t="str">
            <v>BC0077-S</v>
          </cell>
          <cell r="B1391" t="str">
            <v>C77</v>
          </cell>
          <cell r="C1391" t="str">
            <v>เยื่อไผ่ แขนยาวขายาว ดอกไม้ชม พื้นเหลือง S</v>
          </cell>
          <cell r="E1391">
            <v>0</v>
          </cell>
          <cell r="F1391">
            <v>990</v>
          </cell>
        </row>
        <row r="1392">
          <cell r="A1392" t="str">
            <v>BC0077-XL</v>
          </cell>
          <cell r="B1392" t="str">
            <v>C77</v>
          </cell>
          <cell r="C1392" t="str">
            <v>เยื่อไผ่ แขนยาวขายาว ดอกไม้ชม พื้นเหลือง XL</v>
          </cell>
          <cell r="E1392">
            <v>0</v>
          </cell>
          <cell r="F1392">
            <v>990</v>
          </cell>
        </row>
        <row r="1393">
          <cell r="A1393" t="str">
            <v>BC0078-L</v>
          </cell>
          <cell r="B1393" t="str">
            <v>C78</v>
          </cell>
          <cell r="C1393" t="str">
            <v>เยื่อไผ่ แขนยาวขายาว ดอกไม้เทา พื้นเขียว L</v>
          </cell>
          <cell r="E1393">
            <v>0</v>
          </cell>
          <cell r="F1393">
            <v>950</v>
          </cell>
        </row>
        <row r="1394">
          <cell r="A1394" t="str">
            <v>BC0078-M</v>
          </cell>
          <cell r="B1394" t="str">
            <v>C78</v>
          </cell>
          <cell r="C1394" t="str">
            <v>เยื่อไผ่ แขนยาวขายาว ดอกไม้เทา พื้นเขียว M</v>
          </cell>
          <cell r="E1394">
            <v>0</v>
          </cell>
          <cell r="F1394">
            <v>950</v>
          </cell>
        </row>
        <row r="1395">
          <cell r="A1395" t="str">
            <v>BC0078-XL</v>
          </cell>
          <cell r="B1395" t="str">
            <v>C78</v>
          </cell>
          <cell r="C1395" t="str">
            <v>เยื่อไผ่ แขนยาวขายาว ดอกไม้เทา พื้นเขียว XL</v>
          </cell>
          <cell r="E1395">
            <v>0</v>
          </cell>
          <cell r="F1395">
            <v>950</v>
          </cell>
        </row>
        <row r="1396">
          <cell r="A1396" t="str">
            <v>BC0080-L</v>
          </cell>
          <cell r="B1396" t="str">
            <v>C80</v>
          </cell>
          <cell r="C1396" t="str">
            <v>เยื่อไผ่ แขนยาวขายาว ดอกไม้ พื้นฟ้า L</v>
          </cell>
          <cell r="E1396">
            <v>0</v>
          </cell>
          <cell r="F1396">
            <v>950</v>
          </cell>
        </row>
        <row r="1397">
          <cell r="A1397" t="str">
            <v>BC0080-M</v>
          </cell>
          <cell r="B1397" t="str">
            <v>C80</v>
          </cell>
          <cell r="C1397" t="str">
            <v>เยื่อไผ่ แขนยาวขายาว ดอกไม้ พื้นฟ้า M</v>
          </cell>
          <cell r="E1397">
            <v>0</v>
          </cell>
          <cell r="F1397">
            <v>950</v>
          </cell>
        </row>
        <row r="1398">
          <cell r="A1398" t="str">
            <v>BC0081-L</v>
          </cell>
          <cell r="B1398" t="str">
            <v>C81</v>
          </cell>
          <cell r="C1398" t="str">
            <v>เยื่อไผ่ แขนยาวขายาว ดอกไม้เงินพื้นชมพู L</v>
          </cell>
          <cell r="E1398">
            <v>0</v>
          </cell>
          <cell r="F1398">
            <v>950</v>
          </cell>
        </row>
        <row r="1399">
          <cell r="A1399" t="str">
            <v>BC0081-M</v>
          </cell>
          <cell r="B1399" t="str">
            <v>C81</v>
          </cell>
          <cell r="C1399" t="str">
            <v>เยื่อไผ่ แขนยาวขายาว ดอกไม้เงินพื้นชมพู M</v>
          </cell>
          <cell r="E1399">
            <v>0</v>
          </cell>
          <cell r="F1399">
            <v>950</v>
          </cell>
        </row>
        <row r="1400">
          <cell r="A1400" t="str">
            <v>BC0087-L</v>
          </cell>
          <cell r="B1400" t="str">
            <v>C87</v>
          </cell>
          <cell r="C1400" t="str">
            <v>เยื่อไผ่ แขนยาวขายาว ลายดอกไม้ ฟ้าอ่อน L</v>
          </cell>
          <cell r="E1400">
            <v>0</v>
          </cell>
          <cell r="F1400">
            <v>950</v>
          </cell>
        </row>
        <row r="1401">
          <cell r="A1401" t="str">
            <v>BC0087-M</v>
          </cell>
          <cell r="B1401" t="str">
            <v>C87</v>
          </cell>
          <cell r="C1401" t="str">
            <v>เยื่อไผ่ แขนยาวขายาว ลายดอกไม้ ฟ้าอ่อน M</v>
          </cell>
          <cell r="E1401">
            <v>0</v>
          </cell>
          <cell r="F1401">
            <v>950</v>
          </cell>
        </row>
        <row r="1402">
          <cell r="A1402" t="str">
            <v>BC0087-S</v>
          </cell>
          <cell r="B1402" t="str">
            <v>C87</v>
          </cell>
          <cell r="C1402" t="str">
            <v>เยื่อไผ่ แขนยาวขายาว ลายดอกไม้ ฟ้าอ่อน S</v>
          </cell>
          <cell r="E1402">
            <v>0</v>
          </cell>
          <cell r="F1402">
            <v>950</v>
          </cell>
        </row>
        <row r="1403">
          <cell r="A1403" t="str">
            <v>BC0087-XL</v>
          </cell>
          <cell r="B1403" t="str">
            <v>C87</v>
          </cell>
          <cell r="C1403" t="str">
            <v>เยื่อไผ่ แขนยาวขายาว ลายดอกไม้ ฟ้าอ่อน XL</v>
          </cell>
          <cell r="E1403">
            <v>0</v>
          </cell>
          <cell r="F1403">
            <v>950</v>
          </cell>
        </row>
        <row r="1404">
          <cell r="A1404" t="str">
            <v>BC0095-L</v>
          </cell>
          <cell r="B1404" t="str">
            <v>C95</v>
          </cell>
          <cell r="C1404" t="str">
            <v>เยื่อไผ่ แขนยาวขายาว ดอกชบา พื้นเขียวทะเล L</v>
          </cell>
          <cell r="E1404">
            <v>0</v>
          </cell>
          <cell r="F1404">
            <v>950</v>
          </cell>
        </row>
        <row r="1405">
          <cell r="A1405" t="str">
            <v>BC0095-M</v>
          </cell>
          <cell r="B1405" t="str">
            <v>C95</v>
          </cell>
          <cell r="C1405" t="str">
            <v>เยื่อไผ่ แขนยาวขายาว ดอกชบา พื้นเขียวทะเล M</v>
          </cell>
          <cell r="E1405">
            <v>0</v>
          </cell>
          <cell r="F1405">
            <v>950</v>
          </cell>
        </row>
        <row r="1406">
          <cell r="A1406" t="str">
            <v>BC0095-XL</v>
          </cell>
          <cell r="B1406" t="str">
            <v>C95</v>
          </cell>
          <cell r="C1406" t="str">
            <v>เยื่อไผ่ แขนยาวขายาว ดอกชบา พื้นเขียวทะเล XL</v>
          </cell>
          <cell r="E1406">
            <v>0</v>
          </cell>
          <cell r="F1406">
            <v>950</v>
          </cell>
        </row>
        <row r="1407">
          <cell r="A1407" t="str">
            <v>BC0096-L</v>
          </cell>
          <cell r="B1407" t="str">
            <v>C96</v>
          </cell>
          <cell r="C1407" t="str">
            <v>เยื่อไผ่ แขนยาวขายาว ดอกชบาชมพู พื้นชมพู L</v>
          </cell>
          <cell r="E1407">
            <v>0</v>
          </cell>
          <cell r="F1407">
            <v>950</v>
          </cell>
        </row>
        <row r="1408">
          <cell r="A1408" t="str">
            <v>BC0096-M</v>
          </cell>
          <cell r="B1408" t="str">
            <v>C96</v>
          </cell>
          <cell r="C1408" t="str">
            <v>เยื่อไผ่ แขนยาวขายาว ดอกชบาชมพู พื้นชมพู M</v>
          </cell>
          <cell r="E1408">
            <v>0</v>
          </cell>
          <cell r="F1408">
            <v>950</v>
          </cell>
        </row>
        <row r="1409">
          <cell r="A1409" t="str">
            <v>BC0096-XL</v>
          </cell>
          <cell r="B1409" t="str">
            <v>C96</v>
          </cell>
          <cell r="C1409" t="str">
            <v>เยื่อไผ่ แขนยาวขายาว ดอกชบาชมพู พื้นชมพู XL</v>
          </cell>
          <cell r="E1409">
            <v>0</v>
          </cell>
          <cell r="F1409">
            <v>950</v>
          </cell>
        </row>
        <row r="1410">
          <cell r="A1410" t="str">
            <v>BC0098-L</v>
          </cell>
          <cell r="B1410" t="str">
            <v>C98</v>
          </cell>
          <cell r="C1410" t="str">
            <v>เยื่อไผ่ แขนยาวขายาว โบตั๋น NEW L</v>
          </cell>
          <cell r="E1410">
            <v>0</v>
          </cell>
          <cell r="F1410">
            <v>950</v>
          </cell>
        </row>
        <row r="1411">
          <cell r="A1411" t="str">
            <v>BC0098-M</v>
          </cell>
          <cell r="B1411" t="str">
            <v>C98</v>
          </cell>
          <cell r="C1411" t="str">
            <v>เยื่อไผ่ แขนยาวขายาว โบตั๋น NEW M</v>
          </cell>
          <cell r="E1411">
            <v>0</v>
          </cell>
          <cell r="F1411">
            <v>950</v>
          </cell>
        </row>
        <row r="1412">
          <cell r="A1412" t="str">
            <v>BC0098-S</v>
          </cell>
          <cell r="B1412" t="str">
            <v>C98</v>
          </cell>
          <cell r="C1412" t="str">
            <v>เยื่อไผ่ แขนยาวขายาว โบตั๋น NEW S</v>
          </cell>
          <cell r="E1412">
            <v>0</v>
          </cell>
          <cell r="F1412">
            <v>950</v>
          </cell>
        </row>
        <row r="1413">
          <cell r="A1413" t="str">
            <v>BC0098-XL</v>
          </cell>
          <cell r="B1413" t="str">
            <v>C98</v>
          </cell>
          <cell r="C1413" t="str">
            <v>เยื่อไผ่ แขนยาวขายาว โบตั๋น NEW XL</v>
          </cell>
          <cell r="E1413">
            <v>0</v>
          </cell>
          <cell r="F1413">
            <v>950</v>
          </cell>
        </row>
        <row r="1414">
          <cell r="A1414" t="str">
            <v>BC0099-L</v>
          </cell>
          <cell r="B1414" t="str">
            <v>C99</v>
          </cell>
          <cell r="C1414" t="str">
            <v>เยื่อไผ่ แขนยาวขายาว โบตั๋น ฟ้า L</v>
          </cell>
          <cell r="E1414">
            <v>0</v>
          </cell>
          <cell r="F1414">
            <v>950</v>
          </cell>
        </row>
        <row r="1415">
          <cell r="A1415" t="str">
            <v>BC0099-M</v>
          </cell>
          <cell r="B1415" t="str">
            <v>C99</v>
          </cell>
          <cell r="C1415" t="str">
            <v>เยื่อไผ่ แขนยาวขายาว โบตั๋น ฟ้า M</v>
          </cell>
          <cell r="E1415">
            <v>0</v>
          </cell>
          <cell r="F1415">
            <v>950</v>
          </cell>
        </row>
        <row r="1416">
          <cell r="A1416" t="str">
            <v>BC0099-XL</v>
          </cell>
          <cell r="B1416" t="str">
            <v>C99</v>
          </cell>
          <cell r="C1416" t="str">
            <v>เยื่อไผ่ แขนยาวขายาว โบตั๋น ฟ้า XL</v>
          </cell>
          <cell r="E1416">
            <v>0</v>
          </cell>
          <cell r="F1416">
            <v>950</v>
          </cell>
        </row>
        <row r="1417">
          <cell r="A1417" t="str">
            <v>BC0100-L</v>
          </cell>
          <cell r="B1417" t="str">
            <v>C100</v>
          </cell>
          <cell r="C1417" t="str">
            <v>เยื่อไผ่ แขนยาวขายาว โบตั๋นมิ้น L</v>
          </cell>
          <cell r="E1417">
            <v>0</v>
          </cell>
          <cell r="F1417">
            <v>950</v>
          </cell>
        </row>
        <row r="1418">
          <cell r="A1418" t="str">
            <v>BC0100-M</v>
          </cell>
          <cell r="B1418" t="str">
            <v>C100</v>
          </cell>
          <cell r="C1418" t="str">
            <v>เยื่อไผ่ แขนยาวขายาว โบตั๋นมิ้น M</v>
          </cell>
          <cell r="E1418">
            <v>0</v>
          </cell>
          <cell r="F1418">
            <v>950</v>
          </cell>
        </row>
        <row r="1419">
          <cell r="A1419" t="str">
            <v>BC0100-XL</v>
          </cell>
          <cell r="B1419" t="str">
            <v>C100</v>
          </cell>
          <cell r="C1419" t="str">
            <v>เยื่อไผ่ แขนยาวขายาว โบตั๋นมิ้น XL</v>
          </cell>
          <cell r="E1419">
            <v>0</v>
          </cell>
          <cell r="F1419">
            <v>950</v>
          </cell>
        </row>
        <row r="1420">
          <cell r="A1420" t="str">
            <v>BC0101-XL</v>
          </cell>
          <cell r="B1420" t="str">
            <v>C101</v>
          </cell>
          <cell r="C1420" t="str">
            <v>เยื่อไผ่ แขนยาวขายาว โบตั๋นสีเหลือง XL</v>
          </cell>
          <cell r="E1420">
            <v>0</v>
          </cell>
          <cell r="F1420">
            <v>950</v>
          </cell>
        </row>
        <row r="1421">
          <cell r="A1421" t="str">
            <v>BC0102-L</v>
          </cell>
          <cell r="B1421" t="str">
            <v>C102</v>
          </cell>
          <cell r="C1421" t="str">
            <v>เยื่อไผ่ แขนยาวขายาว โบตั๋น สีชมพู L</v>
          </cell>
          <cell r="E1421">
            <v>0</v>
          </cell>
          <cell r="F1421">
            <v>950</v>
          </cell>
        </row>
        <row r="1422">
          <cell r="A1422" t="str">
            <v>BC0102-M</v>
          </cell>
          <cell r="B1422" t="str">
            <v>C102</v>
          </cell>
          <cell r="C1422" t="str">
            <v>เยื่อไผ่ แขนยาวขายาว โบตั๋น สีชมพู M</v>
          </cell>
          <cell r="E1422">
            <v>0</v>
          </cell>
          <cell r="F1422">
            <v>950</v>
          </cell>
        </row>
        <row r="1423">
          <cell r="A1423" t="str">
            <v>BC0102-XL</v>
          </cell>
          <cell r="B1423" t="str">
            <v>C102</v>
          </cell>
          <cell r="C1423" t="str">
            <v>เยื่อไผ่ แขนยาวขายาว โบตั๋น สีชมพู XL</v>
          </cell>
          <cell r="E1423">
            <v>0</v>
          </cell>
          <cell r="F1423">
            <v>950</v>
          </cell>
        </row>
        <row r="1424">
          <cell r="A1424" t="str">
            <v>BC0103-L</v>
          </cell>
          <cell r="B1424" t="str">
            <v>C103</v>
          </cell>
          <cell r="C1424" t="str">
            <v>เยื่อไผ่ แขนยาวขายาว ดอกทิวลิป พื้นฟ้า L</v>
          </cell>
          <cell r="E1424">
            <v>0</v>
          </cell>
          <cell r="F1424">
            <v>990</v>
          </cell>
        </row>
        <row r="1425">
          <cell r="A1425" t="str">
            <v>BC0103-M</v>
          </cell>
          <cell r="B1425" t="str">
            <v>C103</v>
          </cell>
          <cell r="C1425" t="str">
            <v>เยื่อไผ่ แขนยาวขายาว ดอกทิวลิป พื้นฟ้า M</v>
          </cell>
          <cell r="E1425">
            <v>0</v>
          </cell>
          <cell r="F1425">
            <v>990</v>
          </cell>
        </row>
        <row r="1426">
          <cell r="A1426" t="str">
            <v>BC0103-S</v>
          </cell>
          <cell r="B1426" t="str">
            <v>C103</v>
          </cell>
          <cell r="C1426" t="str">
            <v>เยื่อไผ่ แขนยาวขายาว ดอกทิวลิป พื้นฟ้า S</v>
          </cell>
          <cell r="E1426">
            <v>0</v>
          </cell>
          <cell r="F1426">
            <v>990</v>
          </cell>
        </row>
        <row r="1427">
          <cell r="A1427" t="str">
            <v>BC0103-XL</v>
          </cell>
          <cell r="B1427" t="str">
            <v>C103</v>
          </cell>
          <cell r="C1427" t="str">
            <v>เยื่อไผ่ แขนยาวขายาว ดอกทิวลิป พื้นฟ้า XL</v>
          </cell>
          <cell r="E1427">
            <v>0</v>
          </cell>
          <cell r="F1427">
            <v>990</v>
          </cell>
        </row>
        <row r="1428">
          <cell r="A1428" t="str">
            <v>BC0106-L</v>
          </cell>
          <cell r="B1428" t="str">
            <v>C106</v>
          </cell>
          <cell r="C1428" t="str">
            <v>เยื่อไผ่ แขนยาวขายาว พีช TropicaL L</v>
          </cell>
          <cell r="E1428">
            <v>0</v>
          </cell>
          <cell r="F1428">
            <v>950</v>
          </cell>
        </row>
        <row r="1429">
          <cell r="A1429" t="str">
            <v>BC0106-M</v>
          </cell>
          <cell r="B1429" t="str">
            <v>C106</v>
          </cell>
          <cell r="C1429" t="str">
            <v>เยื่อไผ่ แขนยาวขายาว พีช TropicaL M</v>
          </cell>
          <cell r="E1429">
            <v>0</v>
          </cell>
          <cell r="F1429">
            <v>950</v>
          </cell>
        </row>
        <row r="1430">
          <cell r="A1430" t="str">
            <v>BC0106-S</v>
          </cell>
          <cell r="B1430" t="str">
            <v>C106</v>
          </cell>
          <cell r="C1430" t="str">
            <v>เยื่อไผ่ แขนยาวขายาว พีช TropicaL S</v>
          </cell>
          <cell r="E1430">
            <v>0</v>
          </cell>
          <cell r="F1430">
            <v>950</v>
          </cell>
        </row>
        <row r="1431">
          <cell r="A1431" t="str">
            <v>BC0106-XL</v>
          </cell>
          <cell r="B1431" t="str">
            <v>C106</v>
          </cell>
          <cell r="C1431" t="str">
            <v>เยื่อไผ่ แขนยาวขายาว พีช TropicaL XL</v>
          </cell>
          <cell r="E1431">
            <v>0</v>
          </cell>
          <cell r="F1431">
            <v>950</v>
          </cell>
        </row>
        <row r="1432">
          <cell r="A1432" t="str">
            <v>BC0108-F</v>
          </cell>
          <cell r="B1432" t="str">
            <v>C108</v>
          </cell>
          <cell r="C1432" t="str">
            <v>เยื่อไผ่ แขนยาวขายาว พีช Freesize</v>
          </cell>
          <cell r="E1432">
            <v>0</v>
          </cell>
          <cell r="F1432">
            <v>950</v>
          </cell>
        </row>
        <row r="1433">
          <cell r="A1433" t="str">
            <v>BC0109-L</v>
          </cell>
          <cell r="B1433" t="str">
            <v>C109</v>
          </cell>
          <cell r="C1433" t="str">
            <v>เยื่อไผ่ แขนยาวขายาว ผลส้ม นู้ด L</v>
          </cell>
          <cell r="E1433">
            <v>0</v>
          </cell>
          <cell r="F1433">
            <v>950</v>
          </cell>
        </row>
        <row r="1434">
          <cell r="A1434" t="str">
            <v>BC0109-M</v>
          </cell>
          <cell r="B1434" t="str">
            <v>C109</v>
          </cell>
          <cell r="C1434" t="str">
            <v>เยื่อไผ่ แขนยาวขายาว ผลส้ม นู้ด M</v>
          </cell>
          <cell r="E1434">
            <v>0</v>
          </cell>
          <cell r="F1434">
            <v>950</v>
          </cell>
        </row>
        <row r="1435">
          <cell r="A1435" t="str">
            <v>BC0109-XL</v>
          </cell>
          <cell r="B1435" t="str">
            <v>C109</v>
          </cell>
          <cell r="C1435" t="str">
            <v>เยื่อไผ่ แขนยาวขายาว ผลส้ม นู้ด XL</v>
          </cell>
          <cell r="E1435">
            <v>0</v>
          </cell>
          <cell r="F1435">
            <v>950</v>
          </cell>
        </row>
        <row r="1436">
          <cell r="A1436" t="str">
            <v>BC0116-L</v>
          </cell>
          <cell r="B1436" t="str">
            <v>C116</v>
          </cell>
          <cell r="C1436" t="str">
            <v>เยื่อไผ่ แขนยาวขายาว เทาเข้ม L</v>
          </cell>
          <cell r="E1436">
            <v>0</v>
          </cell>
          <cell r="F1436">
            <v>950</v>
          </cell>
        </row>
        <row r="1437">
          <cell r="A1437" t="str">
            <v>BC0116-M</v>
          </cell>
          <cell r="B1437" t="str">
            <v>C116</v>
          </cell>
          <cell r="C1437" t="str">
            <v>เยื่อไผ่ แขนยาวขายาว เทาเข้ม M</v>
          </cell>
          <cell r="E1437">
            <v>0</v>
          </cell>
          <cell r="F1437">
            <v>590</v>
          </cell>
        </row>
        <row r="1438">
          <cell r="A1438" t="str">
            <v>BC0116-S</v>
          </cell>
          <cell r="B1438" t="str">
            <v>C116</v>
          </cell>
          <cell r="C1438" t="str">
            <v>เยื่อไผ่ แขนยาวขายาว เทาเข้ม S</v>
          </cell>
          <cell r="E1438">
            <v>0</v>
          </cell>
          <cell r="F1438">
            <v>950</v>
          </cell>
        </row>
        <row r="1439">
          <cell r="A1439" t="str">
            <v>BC0116-XL</v>
          </cell>
          <cell r="B1439" t="str">
            <v>C116</v>
          </cell>
          <cell r="C1439" t="str">
            <v>เยื่อไผ่ แขนยาวขายาว เทาเข้ม XL</v>
          </cell>
          <cell r="E1439">
            <v>0</v>
          </cell>
          <cell r="F1439">
            <v>950</v>
          </cell>
        </row>
        <row r="1440">
          <cell r="A1440" t="str">
            <v>BC0117-L</v>
          </cell>
          <cell r="B1440" t="str">
            <v>C117</v>
          </cell>
          <cell r="C1440" t="str">
            <v>เยื่อไผ่ แขนยาวขายาว ลายทาง พาสเทล L</v>
          </cell>
          <cell r="E1440">
            <v>0</v>
          </cell>
          <cell r="F1440">
            <v>990</v>
          </cell>
        </row>
        <row r="1441">
          <cell r="A1441" t="str">
            <v>BC0117-M</v>
          </cell>
          <cell r="B1441" t="str">
            <v>C117</v>
          </cell>
          <cell r="C1441" t="str">
            <v>เยื่อไผ่ แขนยาวขายาว ลายทาง พาสเทล M</v>
          </cell>
          <cell r="E1441">
            <v>0</v>
          </cell>
          <cell r="F1441">
            <v>990</v>
          </cell>
        </row>
        <row r="1442">
          <cell r="A1442" t="str">
            <v>BC0117-S</v>
          </cell>
          <cell r="B1442" t="str">
            <v>C117</v>
          </cell>
          <cell r="C1442" t="str">
            <v>เยื่อไผ่ แขนยาวขายาว ลายทาง พาสเทล S</v>
          </cell>
          <cell r="E1442">
            <v>0</v>
          </cell>
          <cell r="F1442">
            <v>950</v>
          </cell>
        </row>
        <row r="1443">
          <cell r="A1443" t="str">
            <v>BC0117-XL</v>
          </cell>
          <cell r="B1443" t="str">
            <v>C117</v>
          </cell>
          <cell r="C1443" t="str">
            <v>เยื่อไผ่ แขนยาวขายาว ลายทาง พาสเทล XL</v>
          </cell>
          <cell r="E1443">
            <v>0</v>
          </cell>
          <cell r="F1443">
            <v>990</v>
          </cell>
        </row>
        <row r="1444">
          <cell r="A1444" t="str">
            <v>BC0118-L</v>
          </cell>
          <cell r="B1444" t="str">
            <v>C118</v>
          </cell>
          <cell r="C1444" t="str">
            <v>เยื่อไผ่ แขนยาวขายาว ลายทางเขียว L</v>
          </cell>
          <cell r="E1444">
            <v>0</v>
          </cell>
          <cell r="F1444">
            <v>990</v>
          </cell>
        </row>
        <row r="1445">
          <cell r="A1445" t="str">
            <v>BC0118-M</v>
          </cell>
          <cell r="B1445" t="str">
            <v>C118</v>
          </cell>
          <cell r="C1445" t="str">
            <v>เยื่อไผ่ แขนยาวขายาว ลายทางเขียว M</v>
          </cell>
          <cell r="E1445">
            <v>0</v>
          </cell>
          <cell r="F1445">
            <v>990</v>
          </cell>
        </row>
        <row r="1446">
          <cell r="A1446" t="str">
            <v>BC0118-S</v>
          </cell>
          <cell r="B1446" t="str">
            <v>C118</v>
          </cell>
          <cell r="C1446" t="str">
            <v>เยื่อไผ่ แขนยาวขายาว ลายทางเขียว S</v>
          </cell>
          <cell r="E1446">
            <v>0</v>
          </cell>
          <cell r="F1446">
            <v>990</v>
          </cell>
        </row>
        <row r="1447">
          <cell r="A1447" t="str">
            <v>BC0118-XL</v>
          </cell>
          <cell r="B1447" t="str">
            <v>C118</v>
          </cell>
          <cell r="C1447" t="str">
            <v>เยื่อไผ่ แขนยาวขายาว ลายทางเขียว XL</v>
          </cell>
          <cell r="E1447">
            <v>0</v>
          </cell>
          <cell r="F1447">
            <v>990</v>
          </cell>
        </row>
        <row r="1448">
          <cell r="A1448" t="str">
            <v>BC0119-L</v>
          </cell>
          <cell r="B1448" t="str">
            <v>C119</v>
          </cell>
          <cell r="C1448" t="str">
            <v>เยื่อไผ่ แขนยาวขายาว ตาราง ดำขาว L</v>
          </cell>
          <cell r="E1448">
            <v>0</v>
          </cell>
          <cell r="F1448">
            <v>950</v>
          </cell>
        </row>
        <row r="1449">
          <cell r="A1449" t="str">
            <v>BC0119-M</v>
          </cell>
          <cell r="B1449" t="str">
            <v>C119</v>
          </cell>
          <cell r="C1449" t="str">
            <v>เยื่อไผ่ แขนยาวขายาว ตาราง ดำขาว M</v>
          </cell>
          <cell r="E1449">
            <v>0</v>
          </cell>
          <cell r="F1449">
            <v>950</v>
          </cell>
        </row>
        <row r="1450">
          <cell r="A1450" t="str">
            <v>BC0119-XL</v>
          </cell>
          <cell r="B1450" t="str">
            <v>C119</v>
          </cell>
          <cell r="C1450" t="str">
            <v>เยื่อไผ่ แขนยาวขายาว ตาราง ดำขาว XL</v>
          </cell>
          <cell r="E1450">
            <v>0</v>
          </cell>
          <cell r="F1450">
            <v>950</v>
          </cell>
        </row>
        <row r="1451">
          <cell r="A1451" t="str">
            <v>BC0121-L</v>
          </cell>
          <cell r="B1451" t="str">
            <v>JC121</v>
          </cell>
          <cell r="C1451" t="str">
            <v>เยื่อไผ่ แขนยาวขายาว ขาว ลายจุด TropicaL L ตัวโชว์</v>
          </cell>
          <cell r="E1451">
            <v>0</v>
          </cell>
          <cell r="F1451">
            <v>950</v>
          </cell>
        </row>
        <row r="1452">
          <cell r="A1452" t="str">
            <v>BC0121-M</v>
          </cell>
          <cell r="B1452" t="str">
            <v>JC121</v>
          </cell>
          <cell r="C1452" t="str">
            <v>เยื่อไผ่ แขนยาวขายาว ขาว ลายจุด TropicaL M ตัวโชว์</v>
          </cell>
          <cell r="E1452">
            <v>0</v>
          </cell>
          <cell r="F1452">
            <v>950</v>
          </cell>
        </row>
        <row r="1453">
          <cell r="A1453" t="str">
            <v>BC0121-S</v>
          </cell>
          <cell r="B1453" t="str">
            <v>JC121</v>
          </cell>
          <cell r="C1453" t="str">
            <v>เยื่อไผ่ แขนยาวขายาว ขาว ลายจุด TropicaL S ตัวโชว์</v>
          </cell>
          <cell r="E1453">
            <v>0</v>
          </cell>
          <cell r="F1453">
            <v>990</v>
          </cell>
        </row>
        <row r="1454">
          <cell r="A1454" t="str">
            <v>BC0121-XL</v>
          </cell>
          <cell r="B1454" t="str">
            <v>JC121</v>
          </cell>
          <cell r="C1454" t="str">
            <v>เยื่อไผ่ แขนยาวขายาว ขาว ลายจุด TropicaL XL ตัวโชว์</v>
          </cell>
          <cell r="E1454">
            <v>0</v>
          </cell>
          <cell r="F1454">
            <v>950</v>
          </cell>
        </row>
        <row r="1455">
          <cell r="A1455" t="str">
            <v>BC0122-L</v>
          </cell>
          <cell r="B1455" t="str">
            <v>C122</v>
          </cell>
          <cell r="C1455" t="str">
            <v>เยื่อไผ่ แขนยาวขายาว ชมพู ลายจุด TropicaL L</v>
          </cell>
          <cell r="E1455">
            <v>0</v>
          </cell>
          <cell r="F1455">
            <v>950</v>
          </cell>
        </row>
        <row r="1456">
          <cell r="A1456" t="str">
            <v>BC0122-M</v>
          </cell>
          <cell r="B1456" t="str">
            <v>C122</v>
          </cell>
          <cell r="C1456" t="str">
            <v>เยื่อไผ่ แขนยาวขายาว ชมพู ลายจุด TropicaL M</v>
          </cell>
          <cell r="E1456">
            <v>0</v>
          </cell>
          <cell r="F1456">
            <v>950</v>
          </cell>
        </row>
        <row r="1457">
          <cell r="A1457" t="str">
            <v>BC0122-S</v>
          </cell>
          <cell r="B1457" t="str">
            <v>C122</v>
          </cell>
          <cell r="C1457" t="str">
            <v>เยื่อไผ่ แขนยาวขายาว ชมพู ลายจุด TropicaL S</v>
          </cell>
          <cell r="E1457">
            <v>0</v>
          </cell>
          <cell r="F1457">
            <v>950</v>
          </cell>
        </row>
        <row r="1458">
          <cell r="A1458" t="str">
            <v>BC0122-XL</v>
          </cell>
          <cell r="B1458" t="str">
            <v>C122</v>
          </cell>
          <cell r="C1458" t="str">
            <v>เยื่อไผ่ แขนยาวขายาว ชมพู ลายจุด TropicaL XL</v>
          </cell>
          <cell r="E1458">
            <v>0</v>
          </cell>
          <cell r="F1458">
            <v>950</v>
          </cell>
        </row>
        <row r="1459">
          <cell r="A1459" t="str">
            <v>BC0123-L</v>
          </cell>
          <cell r="B1459" t="str">
            <v>C123</v>
          </cell>
          <cell r="C1459" t="str">
            <v>เยื่อไผ่แขนยาวขายาวขาวจุดฟ้า-L</v>
          </cell>
          <cell r="E1459">
            <v>0</v>
          </cell>
          <cell r="F1459">
            <v>950</v>
          </cell>
        </row>
        <row r="1460">
          <cell r="A1460" t="str">
            <v>BC0123-M</v>
          </cell>
          <cell r="B1460" t="str">
            <v>C123</v>
          </cell>
          <cell r="C1460" t="str">
            <v>เยื่อไผ่แขนยาวขายาวขาวจุดฟ้า-M</v>
          </cell>
          <cell r="E1460">
            <v>0</v>
          </cell>
          <cell r="F1460">
            <v>950</v>
          </cell>
        </row>
        <row r="1461">
          <cell r="A1461" t="str">
            <v>BC0123-S</v>
          </cell>
          <cell r="B1461" t="str">
            <v>C123</v>
          </cell>
          <cell r="C1461" t="str">
            <v>เยื่อไผ่ แขนยาวขายาว ขาว จุดฟ้า S</v>
          </cell>
          <cell r="E1461">
            <v>0</v>
          </cell>
          <cell r="F1461">
            <v>950</v>
          </cell>
        </row>
        <row r="1462">
          <cell r="A1462" t="str">
            <v>BC0123-XL</v>
          </cell>
          <cell r="B1462" t="str">
            <v>C123</v>
          </cell>
          <cell r="C1462" t="str">
            <v>เยื่อไผ่แขนยาวขายาวขาวจุดฟ้า-XL</v>
          </cell>
          <cell r="E1462">
            <v>0</v>
          </cell>
          <cell r="F1462">
            <v>950</v>
          </cell>
        </row>
        <row r="1463">
          <cell r="A1463" t="str">
            <v>BC0125-M</v>
          </cell>
          <cell r="B1463" t="str">
            <v>C125</v>
          </cell>
          <cell r="C1463" t="str">
            <v>เยื่อไผ่ แขนยาวขายาว เขียวลายจุด TropicaL M</v>
          </cell>
          <cell r="E1463">
            <v>0</v>
          </cell>
          <cell r="F1463">
            <v>950</v>
          </cell>
        </row>
        <row r="1464">
          <cell r="A1464" t="str">
            <v>BC0130-L</v>
          </cell>
          <cell r="B1464" t="str">
            <v>C130</v>
          </cell>
          <cell r="C1464" t="str">
            <v>เยื่อไผ่ แขนยาวขายาว Map L</v>
          </cell>
          <cell r="E1464">
            <v>0</v>
          </cell>
          <cell r="F1464">
            <v>950</v>
          </cell>
        </row>
        <row r="1465">
          <cell r="A1465" t="str">
            <v>BC0130-M</v>
          </cell>
          <cell r="B1465" t="str">
            <v>C130</v>
          </cell>
          <cell r="C1465" t="str">
            <v>เยื่อไผ่ แขนยาวขายาว Map M</v>
          </cell>
          <cell r="E1465">
            <v>0</v>
          </cell>
          <cell r="F1465">
            <v>950</v>
          </cell>
        </row>
        <row r="1466">
          <cell r="A1466" t="str">
            <v>BC0130-S</v>
          </cell>
          <cell r="B1466" t="str">
            <v>C130</v>
          </cell>
          <cell r="C1466" t="str">
            <v>เยื่อไผ่ แขนยาวขายาว Map S</v>
          </cell>
          <cell r="E1466">
            <v>0</v>
          </cell>
          <cell r="F1466">
            <v>950</v>
          </cell>
        </row>
        <row r="1467">
          <cell r="A1467" t="str">
            <v>BC0133-L</v>
          </cell>
          <cell r="B1467" t="str">
            <v>C133</v>
          </cell>
          <cell r="C1467" t="str">
            <v>เยื่อไผ่ แขนยาวขายาว ดาว สีฟ้า L</v>
          </cell>
          <cell r="E1467">
            <v>0</v>
          </cell>
          <cell r="F1467">
            <v>990</v>
          </cell>
        </row>
        <row r="1468">
          <cell r="A1468" t="str">
            <v>BC0133-M</v>
          </cell>
          <cell r="B1468" t="str">
            <v>C133</v>
          </cell>
          <cell r="C1468" t="str">
            <v>เยื่อไผ่ แขนยาวขายาว ดาว สีฟ้า M</v>
          </cell>
          <cell r="E1468">
            <v>0</v>
          </cell>
          <cell r="F1468">
            <v>990</v>
          </cell>
        </row>
        <row r="1469">
          <cell r="A1469" t="str">
            <v>BC0133-S</v>
          </cell>
          <cell r="B1469" t="str">
            <v>C133</v>
          </cell>
          <cell r="C1469" t="str">
            <v>เยื่อไผ่ แขนยาวขายาว ดาว สีฟ้า S</v>
          </cell>
          <cell r="E1469">
            <v>0</v>
          </cell>
          <cell r="F1469">
            <v>990</v>
          </cell>
        </row>
        <row r="1470">
          <cell r="A1470" t="str">
            <v>BC0133-XL</v>
          </cell>
          <cell r="B1470" t="str">
            <v>C133</v>
          </cell>
          <cell r="C1470" t="str">
            <v>เยื่อไผ่ แขนยาวขายาว ดาว สีฟ้า XL</v>
          </cell>
          <cell r="E1470">
            <v>0</v>
          </cell>
          <cell r="F1470">
            <v>990</v>
          </cell>
        </row>
        <row r="1471">
          <cell r="A1471" t="str">
            <v>BC0134-L</v>
          </cell>
          <cell r="B1471" t="str">
            <v>C134</v>
          </cell>
          <cell r="C1471" t="str">
            <v>เยื่อไผ่ แขนยาวขายาว หมีการ์ตูน ชมพู L</v>
          </cell>
          <cell r="E1471">
            <v>0</v>
          </cell>
          <cell r="F1471">
            <v>950</v>
          </cell>
        </row>
        <row r="1472">
          <cell r="A1472" t="str">
            <v>BC0134-M</v>
          </cell>
          <cell r="B1472" t="str">
            <v>C134</v>
          </cell>
          <cell r="C1472" t="str">
            <v>เยื่อไผ่ แขนยาวขายาว หมีการ์ตูน ชมพู M</v>
          </cell>
          <cell r="E1472">
            <v>0</v>
          </cell>
          <cell r="F1472">
            <v>950</v>
          </cell>
        </row>
        <row r="1473">
          <cell r="A1473" t="str">
            <v>BC0134-S</v>
          </cell>
          <cell r="B1473" t="str">
            <v>C134</v>
          </cell>
          <cell r="C1473" t="str">
            <v>เยื่อไผ่ แขนยาวขายาว หมีการ์ตูน ชมพู S</v>
          </cell>
          <cell r="E1473">
            <v>0</v>
          </cell>
          <cell r="F1473">
            <v>950</v>
          </cell>
        </row>
        <row r="1474">
          <cell r="A1474" t="str">
            <v>BC0134-XL</v>
          </cell>
          <cell r="B1474" t="str">
            <v>C134</v>
          </cell>
          <cell r="C1474" t="str">
            <v>เยื่อไผ่ แขนยาวขายาว หมีการ์ตูน ชมพู XL</v>
          </cell>
          <cell r="E1474">
            <v>0</v>
          </cell>
          <cell r="F1474">
            <v>950</v>
          </cell>
        </row>
        <row r="1475">
          <cell r="A1475" t="str">
            <v>BC0135-L</v>
          </cell>
          <cell r="B1475" t="str">
            <v>C135</v>
          </cell>
          <cell r="C1475" t="str">
            <v>เยื่อไผ่ แขนยาวขายาว ลายอาร์ทพาสเทล L</v>
          </cell>
          <cell r="E1475">
            <v>0</v>
          </cell>
          <cell r="F1475">
            <v>990</v>
          </cell>
        </row>
        <row r="1476">
          <cell r="A1476" t="str">
            <v>BC0135-M</v>
          </cell>
          <cell r="B1476" t="str">
            <v>C135</v>
          </cell>
          <cell r="C1476" t="str">
            <v>เยื่อไผ่  แขนยาวขายาว ลายอาร์ทพาสเทล M</v>
          </cell>
          <cell r="E1476">
            <v>0</v>
          </cell>
          <cell r="F1476">
            <v>990</v>
          </cell>
        </row>
        <row r="1477">
          <cell r="A1477" t="str">
            <v>BC0135-S</v>
          </cell>
          <cell r="B1477" t="str">
            <v>C135</v>
          </cell>
          <cell r="C1477" t="str">
            <v>เยื่อไผ่  แขนยาวขายาว ลายอาร์ทพาสเทล S</v>
          </cell>
          <cell r="E1477">
            <v>0</v>
          </cell>
          <cell r="F1477">
            <v>990</v>
          </cell>
        </row>
        <row r="1478">
          <cell r="A1478" t="str">
            <v>BC0135-XL</v>
          </cell>
          <cell r="B1478" t="str">
            <v>C135</v>
          </cell>
          <cell r="C1478" t="str">
            <v>เยื่อไผ่ แขนยาวขายาว ลายอาร์ทพาสเทล XL</v>
          </cell>
          <cell r="E1478">
            <v>0</v>
          </cell>
          <cell r="F1478">
            <v>990</v>
          </cell>
        </row>
        <row r="1479">
          <cell r="A1479" t="str">
            <v>BC0137-L</v>
          </cell>
          <cell r="B1479" t="str">
            <v>C137</v>
          </cell>
          <cell r="E1479">
            <v>0</v>
          </cell>
          <cell r="F1479">
            <v>0</v>
          </cell>
        </row>
        <row r="1480">
          <cell r="A1480" t="str">
            <v>BC0137-M</v>
          </cell>
          <cell r="B1480" t="str">
            <v>C137</v>
          </cell>
          <cell r="E1480">
            <v>0</v>
          </cell>
          <cell r="F1480">
            <v>0</v>
          </cell>
        </row>
        <row r="1481">
          <cell r="A1481" t="str">
            <v>BC0137-S</v>
          </cell>
          <cell r="B1481" t="str">
            <v>C137</v>
          </cell>
          <cell r="E1481">
            <v>0</v>
          </cell>
          <cell r="F1481">
            <v>0</v>
          </cell>
        </row>
        <row r="1482">
          <cell r="A1482" t="str">
            <v>BC0137-XL</v>
          </cell>
          <cell r="B1482" t="str">
            <v>C137</v>
          </cell>
          <cell r="E1482">
            <v>0</v>
          </cell>
          <cell r="F1482">
            <v>0</v>
          </cell>
        </row>
        <row r="1483">
          <cell r="A1483" t="str">
            <v>BC0142-L</v>
          </cell>
          <cell r="B1483" t="str">
            <v>C142</v>
          </cell>
          <cell r="C1483" t="str">
            <v>เยื่อไผ่ แขนยาวขายาว คอวี ฮาวายเขียว L</v>
          </cell>
          <cell r="E1483">
            <v>0</v>
          </cell>
          <cell r="F1483">
            <v>950</v>
          </cell>
        </row>
        <row r="1484">
          <cell r="A1484" t="str">
            <v>BC0142-M</v>
          </cell>
          <cell r="B1484" t="str">
            <v>C142</v>
          </cell>
          <cell r="C1484" t="str">
            <v>เยื่อไผ่ แขนยาวขายาว คอวี ฮาวายเขียว M</v>
          </cell>
          <cell r="E1484">
            <v>0</v>
          </cell>
          <cell r="F1484">
            <v>950</v>
          </cell>
        </row>
        <row r="1485">
          <cell r="A1485" t="str">
            <v>BC0142-S</v>
          </cell>
          <cell r="B1485" t="str">
            <v>C142</v>
          </cell>
          <cell r="C1485" t="str">
            <v>เยื่อไผ่ แขนยาวขายาว คอวี ฮาวายเขียว S</v>
          </cell>
          <cell r="E1485">
            <v>0</v>
          </cell>
          <cell r="F1485">
            <v>950</v>
          </cell>
        </row>
        <row r="1486">
          <cell r="A1486" t="str">
            <v>BC0142-XL</v>
          </cell>
          <cell r="B1486" t="str">
            <v>C142</v>
          </cell>
          <cell r="C1486" t="str">
            <v>เยื่อไผ่ แขนยาวขายาว คอวี ฮาวายเขียว XL</v>
          </cell>
          <cell r="E1486">
            <v>0</v>
          </cell>
          <cell r="F1486">
            <v>950</v>
          </cell>
        </row>
        <row r="1487">
          <cell r="A1487" t="str">
            <v>BC0143-L</v>
          </cell>
          <cell r="B1487" t="str">
            <v>C143</v>
          </cell>
          <cell r="C1487" t="str">
            <v>เยื่อไผ่ แขนยาวขายาว คอวี ดอกไม้ สีโอรส L</v>
          </cell>
          <cell r="E1487">
            <v>0</v>
          </cell>
          <cell r="F1487">
            <v>950</v>
          </cell>
        </row>
        <row r="1488">
          <cell r="A1488" t="str">
            <v>BC0143-M</v>
          </cell>
          <cell r="B1488" t="str">
            <v>C143</v>
          </cell>
          <cell r="C1488" t="str">
            <v>เยื่อไผ่ แขนยาวขายาว คอวี ดอกไม้ สีโอรส M</v>
          </cell>
          <cell r="E1488">
            <v>0</v>
          </cell>
          <cell r="F1488">
            <v>950</v>
          </cell>
        </row>
        <row r="1489">
          <cell r="A1489" t="str">
            <v>BC0143-S</v>
          </cell>
          <cell r="B1489" t="str">
            <v>C143</v>
          </cell>
          <cell r="C1489" t="str">
            <v>เยื่อไผ่ แขนยาวขายาว คอวี ดอกไม้ สีโอรส S</v>
          </cell>
          <cell r="E1489">
            <v>0</v>
          </cell>
          <cell r="F1489">
            <v>950</v>
          </cell>
        </row>
        <row r="1490">
          <cell r="A1490" t="str">
            <v>BC0143-XL</v>
          </cell>
          <cell r="B1490" t="str">
            <v>C143</v>
          </cell>
          <cell r="C1490" t="str">
            <v>เยื่อไผ่ แขนยาวขายาว คอวี ดอกไม้ สีโอรส XL</v>
          </cell>
          <cell r="E1490">
            <v>0</v>
          </cell>
          <cell r="F1490">
            <v>950</v>
          </cell>
        </row>
        <row r="1491">
          <cell r="A1491" t="str">
            <v>BC0145-L</v>
          </cell>
          <cell r="B1491" t="str">
            <v>C145</v>
          </cell>
          <cell r="C1491" t="str">
            <v>เยื่อไผ่ แขนยาวขายาว คอวี โบฮีเมี่ยน ฟ้า L</v>
          </cell>
          <cell r="E1491">
            <v>0</v>
          </cell>
          <cell r="F1491">
            <v>950</v>
          </cell>
        </row>
        <row r="1492">
          <cell r="A1492" t="str">
            <v>BC0145-M</v>
          </cell>
          <cell r="B1492" t="str">
            <v>C145</v>
          </cell>
          <cell r="C1492" t="str">
            <v>เยื่อไผ่ แขนยาวขายาว คอวี โบฮีเมี่ยน ฟ้า M</v>
          </cell>
          <cell r="E1492">
            <v>0</v>
          </cell>
          <cell r="F1492">
            <v>950</v>
          </cell>
        </row>
        <row r="1493">
          <cell r="A1493" t="str">
            <v>BC0145-S</v>
          </cell>
          <cell r="B1493" t="str">
            <v>C145</v>
          </cell>
          <cell r="C1493" t="str">
            <v>เยื่อไผ่ แขนยาวขายาว คอวี โบฮีเมี่ยน ฟ้า S</v>
          </cell>
          <cell r="E1493">
            <v>0</v>
          </cell>
          <cell r="F1493">
            <v>950</v>
          </cell>
        </row>
        <row r="1494">
          <cell r="A1494" t="str">
            <v>BC0146-L</v>
          </cell>
          <cell r="B1494" t="str">
            <v>C146</v>
          </cell>
          <cell r="C1494" t="str">
            <v>เยื่อไผ่ แขนยาวขายาว คอวี เขียวอ่อน L</v>
          </cell>
          <cell r="E1494">
            <v>0</v>
          </cell>
          <cell r="F1494">
            <v>950</v>
          </cell>
        </row>
        <row r="1495">
          <cell r="A1495" t="str">
            <v>BC0146-M</v>
          </cell>
          <cell r="B1495" t="str">
            <v>C146</v>
          </cell>
          <cell r="C1495" t="str">
            <v>เยื่อไผ่ แขนยาวขายาว คอวี เขียวอ่อน M</v>
          </cell>
          <cell r="E1495">
            <v>0</v>
          </cell>
          <cell r="F1495">
            <v>950</v>
          </cell>
        </row>
        <row r="1496">
          <cell r="A1496" t="str">
            <v>BC0146-S</v>
          </cell>
          <cell r="B1496" t="str">
            <v>C146</v>
          </cell>
          <cell r="C1496" t="str">
            <v>เยื่อไผ่ แขนยาวขายาว คอวี เขียวอ่อน S</v>
          </cell>
          <cell r="E1496">
            <v>0</v>
          </cell>
          <cell r="F1496">
            <v>950</v>
          </cell>
        </row>
        <row r="1497">
          <cell r="A1497" t="str">
            <v>BC0146-XL</v>
          </cell>
          <cell r="B1497" t="str">
            <v>C146</v>
          </cell>
          <cell r="C1497" t="str">
            <v>เยื่อไผ่ แขนยาวขายาว คอวี เขียวอ่อน XL</v>
          </cell>
          <cell r="E1497">
            <v>0</v>
          </cell>
          <cell r="F1497">
            <v>950</v>
          </cell>
        </row>
        <row r="1498">
          <cell r="A1498" t="str">
            <v>BC0147-L</v>
          </cell>
          <cell r="B1498" t="str">
            <v>C147</v>
          </cell>
          <cell r="C1498" t="str">
            <v>เยื่อไผ่ แขนยาวขายาว คอวี ชมพูอ่อน L</v>
          </cell>
          <cell r="E1498">
            <v>0</v>
          </cell>
          <cell r="F1498">
            <v>950</v>
          </cell>
        </row>
        <row r="1499">
          <cell r="A1499" t="str">
            <v>BC0147-M</v>
          </cell>
          <cell r="B1499" t="str">
            <v>C147</v>
          </cell>
          <cell r="C1499" t="str">
            <v>เยื่อไผ่ แขนยาวขายาว คอวี ชมพูอ่อน M</v>
          </cell>
          <cell r="E1499">
            <v>0</v>
          </cell>
          <cell r="F1499">
            <v>950</v>
          </cell>
        </row>
        <row r="1500">
          <cell r="A1500" t="str">
            <v>BC0147-S</v>
          </cell>
          <cell r="B1500" t="str">
            <v>C147</v>
          </cell>
          <cell r="C1500" t="str">
            <v>เยื่อไผ่ แขนยาวขายาว คอวี ชมพูอ่อน S</v>
          </cell>
          <cell r="E1500">
            <v>0</v>
          </cell>
          <cell r="F1500">
            <v>950</v>
          </cell>
        </row>
        <row r="1501">
          <cell r="A1501" t="str">
            <v>BC0147-XL</v>
          </cell>
          <cell r="B1501" t="str">
            <v>C147</v>
          </cell>
          <cell r="C1501" t="str">
            <v>เยื่อไผ่ แขนยาวขายาว คอวี ชมพูอ่อน XL</v>
          </cell>
          <cell r="E1501">
            <v>0</v>
          </cell>
          <cell r="F1501">
            <v>950</v>
          </cell>
        </row>
        <row r="1502">
          <cell r="A1502" t="str">
            <v>BC0148-L</v>
          </cell>
          <cell r="B1502" t="str">
            <v>C148</v>
          </cell>
          <cell r="C1502" t="str">
            <v>เยื่อไผ่ แขนยาวขายาว คอวี ลายนกสีชมพู L</v>
          </cell>
          <cell r="E1502">
            <v>0</v>
          </cell>
          <cell r="F1502">
            <v>950</v>
          </cell>
        </row>
        <row r="1503">
          <cell r="A1503" t="str">
            <v>BC0148-M</v>
          </cell>
          <cell r="B1503" t="str">
            <v>C148</v>
          </cell>
          <cell r="C1503" t="str">
            <v>เยื่อไผ่ แขนยาวขายาว คอวี ลายนกสีชมพู M</v>
          </cell>
          <cell r="E1503">
            <v>0</v>
          </cell>
          <cell r="F1503">
            <v>950</v>
          </cell>
        </row>
        <row r="1504">
          <cell r="A1504" t="str">
            <v>BC0148-S</v>
          </cell>
          <cell r="B1504" t="str">
            <v>C148</v>
          </cell>
          <cell r="C1504" t="str">
            <v>เยื่อไผ่ แขนยาวขายาว คอวี ลายนกสีชมพู S</v>
          </cell>
          <cell r="E1504">
            <v>0</v>
          </cell>
          <cell r="F1504">
            <v>950</v>
          </cell>
        </row>
        <row r="1505">
          <cell r="A1505" t="str">
            <v>BC0148-XL</v>
          </cell>
          <cell r="B1505" t="str">
            <v>C148</v>
          </cell>
          <cell r="C1505" t="str">
            <v>เยื่อไผ่ แขนยาวขายาว คอวี ลายนกสีชมพู XL</v>
          </cell>
          <cell r="E1505">
            <v>0</v>
          </cell>
          <cell r="F1505">
            <v>950</v>
          </cell>
        </row>
        <row r="1506">
          <cell r="A1506" t="str">
            <v>BC0149-L</v>
          </cell>
          <cell r="B1506" t="str">
            <v>C149</v>
          </cell>
          <cell r="C1506" t="str">
            <v>เยื่อไผ่ แขนยาวขายาว คอวี ดอกโบตั๋นพื้น เขียวมิ้น L</v>
          </cell>
          <cell r="E1506">
            <v>0</v>
          </cell>
          <cell r="F1506">
            <v>950</v>
          </cell>
        </row>
        <row r="1507">
          <cell r="A1507" t="str">
            <v>BC0149-M</v>
          </cell>
          <cell r="B1507" t="str">
            <v>C149</v>
          </cell>
          <cell r="C1507" t="str">
            <v>เยื่อไผ่ แขนยาวขายาว คอวี ดอกโบตั๋นพื้น เขียวมิ้น M</v>
          </cell>
          <cell r="E1507">
            <v>0</v>
          </cell>
          <cell r="F1507">
            <v>950</v>
          </cell>
        </row>
        <row r="1508">
          <cell r="A1508" t="str">
            <v>BC0149-XL</v>
          </cell>
          <cell r="B1508" t="str">
            <v>C149</v>
          </cell>
          <cell r="C1508" t="str">
            <v>เยื่อไผ่ แขนยาวขายาว คอวี ดอกโบตั๋นพื้น เขียวมิ้น XL</v>
          </cell>
          <cell r="E1508">
            <v>0</v>
          </cell>
          <cell r="F1508">
            <v>950</v>
          </cell>
        </row>
        <row r="1509">
          <cell r="A1509" t="str">
            <v>BC0150-L</v>
          </cell>
          <cell r="B1509" t="str">
            <v>C150</v>
          </cell>
          <cell r="C1509" t="str">
            <v>เยื่อไผ่ แขนยาวขายาว คอวี ดอกโบตั๋น พื้นครีม L</v>
          </cell>
          <cell r="E1509">
            <v>0</v>
          </cell>
          <cell r="F1509">
            <v>950</v>
          </cell>
        </row>
        <row r="1510">
          <cell r="A1510" t="str">
            <v>BC0150-M</v>
          </cell>
          <cell r="B1510" t="str">
            <v>C150</v>
          </cell>
          <cell r="C1510" t="str">
            <v>เยื่อไผ่ แขนยาวขายาว คอวี ดอกโบตั๋น พื้นครีม M</v>
          </cell>
          <cell r="E1510">
            <v>0</v>
          </cell>
          <cell r="F1510">
            <v>950</v>
          </cell>
        </row>
        <row r="1511">
          <cell r="A1511" t="str">
            <v>BC0150-XL</v>
          </cell>
          <cell r="B1511" t="str">
            <v>C150</v>
          </cell>
          <cell r="C1511" t="str">
            <v>เยื่อไผ่ แขนยาวขายาว คอวี ดอกโบตั๋น พื้นครีม XL</v>
          </cell>
          <cell r="E1511">
            <v>0</v>
          </cell>
          <cell r="F1511">
            <v>950</v>
          </cell>
        </row>
        <row r="1512">
          <cell r="A1512" t="str">
            <v>BC0151-L</v>
          </cell>
          <cell r="B1512" t="str">
            <v>C151</v>
          </cell>
          <cell r="C1512" t="str">
            <v>เยื่อไผ่ แขนยาวขายาว คอวี ดอกโบตั๋น พื้นชมพู L</v>
          </cell>
          <cell r="E1512">
            <v>0</v>
          </cell>
          <cell r="F1512">
            <v>950</v>
          </cell>
        </row>
        <row r="1513">
          <cell r="A1513" t="str">
            <v>BC0151-M</v>
          </cell>
          <cell r="B1513" t="str">
            <v>C151</v>
          </cell>
          <cell r="C1513" t="str">
            <v>เยื่อไผ่ แขนยาวขายาว คอวี ดอกโบตั๋น พื้นชมพู M</v>
          </cell>
          <cell r="E1513">
            <v>0</v>
          </cell>
          <cell r="F1513">
            <v>950</v>
          </cell>
        </row>
        <row r="1514">
          <cell r="A1514" t="str">
            <v>BC0151-XL</v>
          </cell>
          <cell r="B1514" t="str">
            <v>C151</v>
          </cell>
          <cell r="C1514" t="str">
            <v>เยื่อไผ่ แขนยาวขายาว คอวี ดอกโบตั๋น พื้นชมพู XL</v>
          </cell>
          <cell r="E1514">
            <v>0</v>
          </cell>
          <cell r="F1514">
            <v>950</v>
          </cell>
        </row>
        <row r="1515">
          <cell r="A1515" t="str">
            <v>BC0152-L</v>
          </cell>
          <cell r="B1515" t="str">
            <v>C152</v>
          </cell>
          <cell r="C1515" t="str">
            <v>เยื่อไผ่ แขนยาวขายาว คอวี ดอกโบตั๋น พื้นม่วงอ่อน ขอบชมพู L</v>
          </cell>
          <cell r="E1515">
            <v>0</v>
          </cell>
          <cell r="F1515">
            <v>950</v>
          </cell>
        </row>
        <row r="1516">
          <cell r="A1516" t="str">
            <v>BC0152-M</v>
          </cell>
          <cell r="B1516" t="str">
            <v>C152</v>
          </cell>
          <cell r="C1516" t="str">
            <v>เยื่อไผ่ แขนยาวขายาว คอวี ดอกโบตั๋น พื้นม่วงอ่อน ขอบชมพู M</v>
          </cell>
          <cell r="E1516">
            <v>0</v>
          </cell>
          <cell r="F1516">
            <v>950</v>
          </cell>
        </row>
        <row r="1517">
          <cell r="A1517" t="str">
            <v>BC0152-XL</v>
          </cell>
          <cell r="B1517" t="str">
            <v>C152</v>
          </cell>
          <cell r="C1517" t="str">
            <v>เยื่อไผ่ แขนยาวขายาว คอวี ดอกโบตั๋น พื้นม่วงอ่อน ขอบชมพู XL</v>
          </cell>
          <cell r="E1517">
            <v>0</v>
          </cell>
          <cell r="F1517">
            <v>950</v>
          </cell>
        </row>
        <row r="1518">
          <cell r="A1518" t="str">
            <v>BC0157-L</v>
          </cell>
          <cell r="B1518" t="str">
            <v>JC157</v>
          </cell>
          <cell r="C1518" t="str">
            <v>เยื่อไผ่ แขนยาวขายาว คอบัว ลายจุด  L ตัวโชว์</v>
          </cell>
          <cell r="E1518">
            <v>0</v>
          </cell>
          <cell r="F1518">
            <v>950</v>
          </cell>
        </row>
        <row r="1519">
          <cell r="A1519" t="str">
            <v>BC0157-M</v>
          </cell>
          <cell r="B1519" t="str">
            <v>JC157</v>
          </cell>
          <cell r="C1519" t="str">
            <v>เยื่อไผ่ แขนยาวขายาว คอบัว ลายจุด  M ตัวโชว์</v>
          </cell>
          <cell r="E1519">
            <v>0</v>
          </cell>
          <cell r="F1519">
            <v>950</v>
          </cell>
        </row>
        <row r="1520">
          <cell r="A1520" t="str">
            <v>BC0157-S</v>
          </cell>
          <cell r="B1520" t="str">
            <v>JC157</v>
          </cell>
          <cell r="C1520" t="str">
            <v>เยื่อไผ่ แขนยาวขายาว คอบัว ลายจุด  S ตัวโชว์</v>
          </cell>
          <cell r="E1520">
            <v>0</v>
          </cell>
          <cell r="F1520">
            <v>950</v>
          </cell>
        </row>
        <row r="1521">
          <cell r="A1521" t="str">
            <v>BC0157-XL</v>
          </cell>
          <cell r="B1521" t="str">
            <v>JC157</v>
          </cell>
          <cell r="C1521" t="str">
            <v>เยื่อไผ่ แขนยาวขายาว คอบัว ลายจุด  XL ตัวโชว์</v>
          </cell>
          <cell r="E1521">
            <v>0</v>
          </cell>
          <cell r="F1521">
            <v>950</v>
          </cell>
        </row>
        <row r="1522">
          <cell r="A1522" t="str">
            <v>BC0158-L</v>
          </cell>
          <cell r="B1522" t="str">
            <v>C158</v>
          </cell>
          <cell r="C1522" t="str">
            <v>เยื่อไผ่ แขนยาวขายาว คอบัว สีโอรส  L</v>
          </cell>
          <cell r="E1522">
            <v>0</v>
          </cell>
          <cell r="F1522">
            <v>950</v>
          </cell>
        </row>
        <row r="1523">
          <cell r="A1523" t="str">
            <v>BC0158-M</v>
          </cell>
          <cell r="B1523" t="str">
            <v>JC158</v>
          </cell>
          <cell r="C1523" t="str">
            <v>เยื่อไผ่ แขนยาวขายาว คอบัว สีโอรส  M ตัวโชว์</v>
          </cell>
          <cell r="E1523">
            <v>0</v>
          </cell>
          <cell r="F1523">
            <v>950</v>
          </cell>
        </row>
        <row r="1524">
          <cell r="A1524" t="str">
            <v>BC0158-S</v>
          </cell>
          <cell r="B1524" t="str">
            <v>C158</v>
          </cell>
          <cell r="C1524" t="str">
            <v>เยื่อไผ่ แขนยาวขายาว คอบัว สีโอรส S</v>
          </cell>
          <cell r="E1524">
            <v>0</v>
          </cell>
          <cell r="F1524">
            <v>950</v>
          </cell>
        </row>
        <row r="1525">
          <cell r="A1525" t="str">
            <v>BC0158-XL</v>
          </cell>
          <cell r="B1525" t="str">
            <v>C158</v>
          </cell>
          <cell r="C1525" t="str">
            <v>เยื่อไผ่ แขนยาวขายาว คอบัว สีโอรส  XL</v>
          </cell>
          <cell r="E1525">
            <v>0</v>
          </cell>
          <cell r="F1525">
            <v>950</v>
          </cell>
        </row>
        <row r="1526">
          <cell r="A1526" t="str">
            <v>BC0159-L</v>
          </cell>
          <cell r="B1526" t="str">
            <v>C159</v>
          </cell>
          <cell r="C1526" t="str">
            <v>เยื่อไผ่ แขนยาวขายาว คอปก โอรส L</v>
          </cell>
          <cell r="E1526">
            <v>0</v>
          </cell>
          <cell r="F1526">
            <v>950</v>
          </cell>
        </row>
        <row r="1527">
          <cell r="A1527" t="str">
            <v>BC0159-M</v>
          </cell>
          <cell r="B1527" t="str">
            <v>C159</v>
          </cell>
          <cell r="C1527" t="str">
            <v>เยื่อไผ่ แขนยาวขายาว คอปก โอรส M</v>
          </cell>
          <cell r="E1527">
            <v>0</v>
          </cell>
          <cell r="F1527">
            <v>950</v>
          </cell>
        </row>
        <row r="1528">
          <cell r="A1528" t="str">
            <v>BC0159-S</v>
          </cell>
          <cell r="B1528" t="str">
            <v>C159</v>
          </cell>
          <cell r="C1528" t="str">
            <v>เยื่อไผ่ แขนยาวขายาว คอปก โอรส S</v>
          </cell>
          <cell r="E1528">
            <v>0</v>
          </cell>
          <cell r="F1528">
            <v>950</v>
          </cell>
        </row>
        <row r="1529">
          <cell r="A1529" t="str">
            <v>BC0159-XL</v>
          </cell>
          <cell r="B1529" t="str">
            <v>C159</v>
          </cell>
          <cell r="C1529" t="str">
            <v>เยื่อไผ่ แขนยาวขายาว คอปก โอรส XL</v>
          </cell>
          <cell r="E1529">
            <v>0</v>
          </cell>
          <cell r="F1529">
            <v>950</v>
          </cell>
        </row>
        <row r="1530">
          <cell r="A1530" t="str">
            <v>BC0160-L</v>
          </cell>
          <cell r="B1530" t="str">
            <v>C160</v>
          </cell>
          <cell r="C1530" t="str">
            <v>เยื่อไผ่ แขนยาวขายาว คอปก ลายนกสีชมพู L</v>
          </cell>
          <cell r="E1530">
            <v>0</v>
          </cell>
          <cell r="F1530">
            <v>950</v>
          </cell>
        </row>
        <row r="1531">
          <cell r="A1531" t="str">
            <v>BC0160-M</v>
          </cell>
          <cell r="B1531" t="str">
            <v>C160</v>
          </cell>
          <cell r="C1531" t="str">
            <v>เยื่อไผ่ แขนยาวขายาว คอปก ลายนกสีชมพู M</v>
          </cell>
          <cell r="E1531">
            <v>0</v>
          </cell>
          <cell r="F1531">
            <v>950</v>
          </cell>
        </row>
        <row r="1532">
          <cell r="A1532" t="str">
            <v>BC0160-S</v>
          </cell>
          <cell r="B1532" t="str">
            <v>C160</v>
          </cell>
          <cell r="C1532" t="str">
            <v>เยื่อไผ่ แขนยาวขายาว คอปก ลายนกสีชมพู S</v>
          </cell>
          <cell r="E1532">
            <v>0</v>
          </cell>
          <cell r="F1532">
            <v>950</v>
          </cell>
        </row>
        <row r="1533">
          <cell r="A1533" t="str">
            <v>BC0160-XL</v>
          </cell>
          <cell r="B1533" t="str">
            <v>C160</v>
          </cell>
          <cell r="C1533" t="str">
            <v>เยื่อไผ่ แขนยาวขายาว คอปก ลายนกสีชมพู XL</v>
          </cell>
          <cell r="E1533">
            <v>0</v>
          </cell>
          <cell r="F1533">
            <v>950</v>
          </cell>
        </row>
        <row r="1534">
          <cell r="A1534" t="str">
            <v>BC0161-L</v>
          </cell>
          <cell r="B1534" t="str">
            <v>C161</v>
          </cell>
          <cell r="C1534" t="str">
            <v>เยื่อไผ่ แขนยาวขายาว คอปก ดอกไม้ สีโอรส L</v>
          </cell>
          <cell r="E1534">
            <v>0</v>
          </cell>
          <cell r="F1534">
            <v>990</v>
          </cell>
        </row>
        <row r="1535">
          <cell r="A1535" t="str">
            <v>BC0161-M</v>
          </cell>
          <cell r="B1535" t="str">
            <v>C161</v>
          </cell>
          <cell r="C1535" t="str">
            <v>เยื่อไผ่ แขนยาวขายาว คอปก ดอกไม้ สีโอรส M</v>
          </cell>
          <cell r="E1535">
            <v>0</v>
          </cell>
          <cell r="F1535">
            <v>990</v>
          </cell>
        </row>
        <row r="1536">
          <cell r="A1536" t="str">
            <v>BC0161-S</v>
          </cell>
          <cell r="B1536" t="str">
            <v>C161</v>
          </cell>
          <cell r="C1536" t="str">
            <v>เยื่อไผ่ แขนยาวขายาว คอปก ดอกไม้ สีโอรส S</v>
          </cell>
          <cell r="E1536">
            <v>0</v>
          </cell>
          <cell r="F1536">
            <v>990</v>
          </cell>
        </row>
        <row r="1537">
          <cell r="A1537" t="str">
            <v>BC0161-XL</v>
          </cell>
          <cell r="B1537" t="str">
            <v>C161</v>
          </cell>
          <cell r="C1537" t="str">
            <v>เยื่อไผ่ แขนยาวขายาว คอปก ดอกไม้ สีโอรส XL</v>
          </cell>
          <cell r="E1537">
            <v>0</v>
          </cell>
          <cell r="F1537">
            <v>990</v>
          </cell>
        </row>
        <row r="1538">
          <cell r="A1538" t="str">
            <v>BC0162-L</v>
          </cell>
          <cell r="B1538" t="str">
            <v>C162</v>
          </cell>
          <cell r="C1538" t="str">
            <v>เยื่อไผ่ แขนยาวขายาว คอปก โบตั๋น เขียวมิ้นต์ L</v>
          </cell>
          <cell r="E1538">
            <v>0</v>
          </cell>
          <cell r="F1538">
            <v>950</v>
          </cell>
        </row>
        <row r="1539">
          <cell r="A1539" t="str">
            <v>BC0162-M</v>
          </cell>
          <cell r="B1539" t="str">
            <v>C162</v>
          </cell>
          <cell r="C1539" t="str">
            <v>เยื่อไผ่ แขนยาวขายาว คอปก โบตั๋น เขียวมิ้นต์ M</v>
          </cell>
          <cell r="E1539">
            <v>0</v>
          </cell>
          <cell r="F1539">
            <v>950</v>
          </cell>
        </row>
        <row r="1540">
          <cell r="A1540" t="str">
            <v>BC0162-XL</v>
          </cell>
          <cell r="B1540" t="str">
            <v>C162</v>
          </cell>
          <cell r="C1540" t="str">
            <v>เยื่อไผ แขนยาวขายาว คอปก โบตั๋น เขียวมิ้นต์ XL</v>
          </cell>
          <cell r="E1540">
            <v>0</v>
          </cell>
          <cell r="F1540">
            <v>950</v>
          </cell>
        </row>
        <row r="1541">
          <cell r="A1541" t="str">
            <v>BC0164-L</v>
          </cell>
          <cell r="B1541" t="str">
            <v>C164</v>
          </cell>
          <cell r="C1541" t="str">
            <v>เยื่อไผ่ แขนยาวขายาว เสื้อญี่ปุ่น ไอติมแตงโม พื้นขาว L</v>
          </cell>
          <cell r="E1541">
            <v>0</v>
          </cell>
          <cell r="F1541">
            <v>990</v>
          </cell>
        </row>
        <row r="1542">
          <cell r="A1542" t="str">
            <v>BC0164-M</v>
          </cell>
          <cell r="B1542" t="str">
            <v>C164</v>
          </cell>
          <cell r="C1542" t="str">
            <v>เยื่อไผ่ แขนยาวขายาว เสื้อญี่ปุ่น ไอติมแตงโม พื้นขาว M</v>
          </cell>
          <cell r="E1542">
            <v>0</v>
          </cell>
          <cell r="F1542">
            <v>990</v>
          </cell>
        </row>
        <row r="1543">
          <cell r="A1543" t="str">
            <v>BC0164-S</v>
          </cell>
          <cell r="B1543" t="str">
            <v>C164</v>
          </cell>
          <cell r="C1543" t="str">
            <v>เยื่อไผ่ แขนยาวขายาว เสื้อญี่ปุ่น ไอติมแตงโม พื้นขาว S</v>
          </cell>
          <cell r="E1543">
            <v>0</v>
          </cell>
          <cell r="F1543">
            <v>990</v>
          </cell>
        </row>
        <row r="1544">
          <cell r="A1544" t="str">
            <v>BC0164-XL</v>
          </cell>
          <cell r="B1544" t="str">
            <v>C164</v>
          </cell>
          <cell r="C1544" t="str">
            <v>เยื่อไผ่ แขนยาวขายาว เสื้อญี่ปุ่น ไอติมแตงโม พื้นขาว XL</v>
          </cell>
          <cell r="E1544">
            <v>0</v>
          </cell>
          <cell r="F1544">
            <v>990</v>
          </cell>
        </row>
        <row r="1545">
          <cell r="A1545" t="str">
            <v>BC0177-L</v>
          </cell>
          <cell r="B1545" t="str">
            <v>C177</v>
          </cell>
          <cell r="C1545" t="str">
            <v>เยื่อไผ แขนยาวขายาว ดอกไม้ขาว พื้นชมพู L</v>
          </cell>
          <cell r="E1545">
            <v>0</v>
          </cell>
          <cell r="F1545">
            <v>950</v>
          </cell>
        </row>
        <row r="1546">
          <cell r="A1546" t="str">
            <v>BC0177-M</v>
          </cell>
          <cell r="B1546" t="str">
            <v>C177</v>
          </cell>
          <cell r="C1546" t="str">
            <v>เยื่อไผ แขนยาวขายาว ดอกไม้ขาว พื้นชมพู M</v>
          </cell>
          <cell r="E1546">
            <v>0</v>
          </cell>
          <cell r="F1546">
            <v>950</v>
          </cell>
        </row>
        <row r="1547">
          <cell r="A1547" t="str">
            <v>BC0177-XL</v>
          </cell>
          <cell r="B1547" t="str">
            <v>C177</v>
          </cell>
          <cell r="C1547" t="str">
            <v>เยื่อไผ แขนยาวขายาว ดอกไม้ขาว พื้นชมพู XL</v>
          </cell>
          <cell r="E1547">
            <v>0</v>
          </cell>
          <cell r="F1547">
            <v>950</v>
          </cell>
        </row>
        <row r="1548">
          <cell r="A1548" t="str">
            <v>BC0178-L</v>
          </cell>
          <cell r="B1548" t="str">
            <v>C178</v>
          </cell>
          <cell r="C1548" t="str">
            <v>เยื่อไผ่ แขนยาวขายาว จุดชมพู พื้นครีม L</v>
          </cell>
          <cell r="E1548">
            <v>0</v>
          </cell>
          <cell r="F1548">
            <v>950</v>
          </cell>
        </row>
        <row r="1549">
          <cell r="A1549" t="str">
            <v>BC0178-M</v>
          </cell>
          <cell r="B1549" t="str">
            <v>C178</v>
          </cell>
          <cell r="C1549" t="str">
            <v>เยื่อไผ่ แขนยาวขายาว จุดชมพู พื้นครีม M</v>
          </cell>
          <cell r="E1549">
            <v>0</v>
          </cell>
          <cell r="F1549">
            <v>950</v>
          </cell>
        </row>
        <row r="1550">
          <cell r="A1550" t="str">
            <v>BC0178-S</v>
          </cell>
          <cell r="B1550" t="str">
            <v>C178</v>
          </cell>
          <cell r="C1550" t="str">
            <v>เยื่อไผ่ แขนยาวขายาว จุดชมพู พื้นครีม S</v>
          </cell>
          <cell r="E1550">
            <v>0</v>
          </cell>
          <cell r="F1550">
            <v>950</v>
          </cell>
        </row>
        <row r="1551">
          <cell r="A1551" t="str">
            <v>BC0178-XL</v>
          </cell>
          <cell r="B1551" t="str">
            <v>C178</v>
          </cell>
          <cell r="C1551" t="str">
            <v>เยื่อไผ่ แขนยาวขายาว จุดชมพู พื้นครีม XL</v>
          </cell>
          <cell r="E1551">
            <v>0</v>
          </cell>
          <cell r="F1551">
            <v>950</v>
          </cell>
        </row>
        <row r="1552">
          <cell r="A1552" t="str">
            <v>BC0179-L</v>
          </cell>
          <cell r="B1552" t="str">
            <v>C179</v>
          </cell>
          <cell r="C1552" t="str">
            <v>เยื่อไผ่ แขนยาวขายาว จุดครีม พื้นโอรส L</v>
          </cell>
          <cell r="E1552">
            <v>0</v>
          </cell>
          <cell r="F1552">
            <v>990</v>
          </cell>
        </row>
        <row r="1553">
          <cell r="A1553" t="str">
            <v>BC0179-M</v>
          </cell>
          <cell r="B1553" t="str">
            <v>C179</v>
          </cell>
          <cell r="C1553" t="str">
            <v>เยื่อไผ่ แขนยาวขายาว จุดครีม พื้นโอรส M</v>
          </cell>
          <cell r="E1553">
            <v>0</v>
          </cell>
          <cell r="F1553">
            <v>990</v>
          </cell>
        </row>
        <row r="1554">
          <cell r="A1554" t="str">
            <v>BC0179-S</v>
          </cell>
          <cell r="B1554" t="str">
            <v>C179</v>
          </cell>
          <cell r="C1554" t="str">
            <v>เยื่อไผ่ แขนยาวขายาว จุดครีม พื้นโอรส S</v>
          </cell>
          <cell r="E1554">
            <v>0</v>
          </cell>
          <cell r="F1554">
            <v>990</v>
          </cell>
        </row>
        <row r="1555">
          <cell r="A1555" t="str">
            <v>BC0179-XL</v>
          </cell>
          <cell r="B1555" t="str">
            <v>C179</v>
          </cell>
          <cell r="C1555" t="str">
            <v>เยื่อไผ่ แขนยาวขายาว จุดครีม พื้นโอรส XL</v>
          </cell>
          <cell r="E1555">
            <v>0</v>
          </cell>
          <cell r="F1555">
            <v>990</v>
          </cell>
        </row>
        <row r="1556">
          <cell r="A1556" t="str">
            <v>BC0187-L</v>
          </cell>
          <cell r="B1556" t="str">
            <v>C187</v>
          </cell>
          <cell r="C1556" t="str">
            <v>เยื่อไผ่ แขนยาวขายาว ตาราง มะนาว L</v>
          </cell>
          <cell r="E1556">
            <v>0</v>
          </cell>
          <cell r="F1556">
            <v>950</v>
          </cell>
        </row>
        <row r="1557">
          <cell r="A1557" t="str">
            <v>BC0187-M</v>
          </cell>
          <cell r="B1557" t="str">
            <v>C187</v>
          </cell>
          <cell r="C1557" t="str">
            <v>เยื่อไผ่ แขนยาวขายาว ตาราง มะนาว M</v>
          </cell>
          <cell r="E1557">
            <v>0</v>
          </cell>
          <cell r="F1557">
            <v>950</v>
          </cell>
        </row>
        <row r="1558">
          <cell r="A1558" t="str">
            <v>BC0187-S</v>
          </cell>
          <cell r="B1558" t="str">
            <v>C187</v>
          </cell>
          <cell r="C1558" t="str">
            <v>เยื่อไผ่ แขนยาวขายาว ตาราง มะนาว S</v>
          </cell>
          <cell r="E1558">
            <v>0</v>
          </cell>
          <cell r="F1558">
            <v>950</v>
          </cell>
        </row>
        <row r="1559">
          <cell r="A1559" t="str">
            <v>BC0187-XL</v>
          </cell>
          <cell r="B1559" t="str">
            <v>C187</v>
          </cell>
          <cell r="C1559" t="str">
            <v>เยื่อไผ่ แขนยาวขายาว ตาราง มะนาว XL</v>
          </cell>
          <cell r="E1559">
            <v>0</v>
          </cell>
          <cell r="F1559">
            <v>950</v>
          </cell>
        </row>
        <row r="1560">
          <cell r="A1560" t="str">
            <v>BC0188-L</v>
          </cell>
          <cell r="B1560" t="str">
            <v>C188</v>
          </cell>
          <cell r="C1560" t="str">
            <v>เยื่อไผ่ แขนยาวขายาว ตาราง ชมพู L</v>
          </cell>
          <cell r="E1560">
            <v>0</v>
          </cell>
          <cell r="F1560">
            <v>950</v>
          </cell>
        </row>
        <row r="1561">
          <cell r="A1561" t="str">
            <v>BC0188-M</v>
          </cell>
          <cell r="B1561" t="str">
            <v>C188</v>
          </cell>
          <cell r="C1561" t="str">
            <v>เยื่อไผ่ แขนยาวขายาว ตาราง ชมพู M</v>
          </cell>
          <cell r="E1561">
            <v>0</v>
          </cell>
          <cell r="F1561">
            <v>950</v>
          </cell>
        </row>
        <row r="1562">
          <cell r="A1562" t="str">
            <v>BC0188-S</v>
          </cell>
          <cell r="B1562" t="str">
            <v>C188</v>
          </cell>
          <cell r="C1562" t="str">
            <v>เยื่อไผ่ แขนยาวขายาว ตาราง ชมพู S</v>
          </cell>
          <cell r="E1562">
            <v>0</v>
          </cell>
          <cell r="F1562">
            <v>950</v>
          </cell>
        </row>
        <row r="1563">
          <cell r="A1563" t="str">
            <v>BC0188-XL</v>
          </cell>
          <cell r="B1563" t="str">
            <v>C188</v>
          </cell>
          <cell r="C1563" t="str">
            <v>เยื่อไผ่ แขนยาวขายาว ตาราง ชมพู XL</v>
          </cell>
          <cell r="E1563">
            <v>0</v>
          </cell>
          <cell r="F1563">
            <v>950</v>
          </cell>
        </row>
        <row r="1564">
          <cell r="A1564" t="str">
            <v>BC0191-L</v>
          </cell>
          <cell r="B1564" t="str">
            <v>JC191</v>
          </cell>
          <cell r="C1564" t="str">
            <v>เยื่อไผ่ แขนยาวขายาว โบตั๋น โอรสพื้นเขียว L ตัวโชว์</v>
          </cell>
          <cell r="E1564">
            <v>0</v>
          </cell>
          <cell r="F1564">
            <v>950</v>
          </cell>
        </row>
        <row r="1565">
          <cell r="A1565" t="str">
            <v>BC0191-M</v>
          </cell>
          <cell r="B1565" t="str">
            <v>JC191</v>
          </cell>
          <cell r="C1565" t="str">
            <v>เยื่อไผ่ แขนยาวขายาว โบตั๋น โอรสพื้นเขียว M ตัวโชว์</v>
          </cell>
          <cell r="E1565">
            <v>0</v>
          </cell>
          <cell r="F1565">
            <v>950</v>
          </cell>
        </row>
        <row r="1566">
          <cell r="A1566" t="str">
            <v>BC0191-S</v>
          </cell>
          <cell r="B1566" t="str">
            <v>JC191</v>
          </cell>
          <cell r="C1566" t="str">
            <v>เยื่อไผ่ แขนยาวขายาว&amp;nbsp;โบตั๋น โอรสพื้นเขียว S ตัวโชว์</v>
          </cell>
          <cell r="E1566">
            <v>0</v>
          </cell>
          <cell r="F1566">
            <v>950</v>
          </cell>
        </row>
        <row r="1567">
          <cell r="A1567" t="str">
            <v>BC0191-XL</v>
          </cell>
          <cell r="B1567" t="str">
            <v>JC191</v>
          </cell>
          <cell r="C1567" t="str">
            <v>เยื่อไผ่ แขนยาวขายาว โบตั๋น โอรสพื้นเขียว XL ตัวโชว์</v>
          </cell>
          <cell r="E1567">
            <v>0</v>
          </cell>
          <cell r="F1567">
            <v>950</v>
          </cell>
        </row>
        <row r="1568">
          <cell r="A1568" t="str">
            <v>BC0194-L</v>
          </cell>
          <cell r="B1568" t="str">
            <v>C194</v>
          </cell>
          <cell r="C1568" t="str">
            <v>เยื่อไผ่ แขนยาวขายาว ดาว สีฟ้า oversize L</v>
          </cell>
          <cell r="E1568">
            <v>0</v>
          </cell>
          <cell r="F1568">
            <v>950</v>
          </cell>
        </row>
        <row r="1569">
          <cell r="A1569" t="str">
            <v>BC0194-M</v>
          </cell>
          <cell r="B1569" t="str">
            <v>C194</v>
          </cell>
          <cell r="C1569" t="str">
            <v>เยื่อไผ่ แขนยาวขายาว ดาว สีฟ้า oversize M</v>
          </cell>
          <cell r="E1569">
            <v>0</v>
          </cell>
          <cell r="F1569">
            <v>950</v>
          </cell>
        </row>
        <row r="1570">
          <cell r="A1570" t="str">
            <v>BC0224-L</v>
          </cell>
          <cell r="B1570" t="str">
            <v>C224</v>
          </cell>
          <cell r="C1570" t="str">
            <v>เยื่อไผ่ แขนยาวขายาว อูฐ ชมพู L</v>
          </cell>
          <cell r="E1570">
            <v>0</v>
          </cell>
          <cell r="F1570">
            <v>950</v>
          </cell>
        </row>
        <row r="1571">
          <cell r="A1571" t="str">
            <v>BC0224-M</v>
          </cell>
          <cell r="B1571" t="str">
            <v>C224</v>
          </cell>
          <cell r="C1571" t="str">
            <v>เยื่อไผ่ แขนยาวขายาว อูฐ ชมพู M</v>
          </cell>
          <cell r="E1571">
            <v>0</v>
          </cell>
          <cell r="F1571">
            <v>950</v>
          </cell>
        </row>
        <row r="1572">
          <cell r="A1572" t="str">
            <v>BC0224-S</v>
          </cell>
          <cell r="B1572" t="str">
            <v>C224</v>
          </cell>
          <cell r="C1572" t="str">
            <v>เยื่อไผ่ แขนยาวขายาว อูฐ ชมพู S</v>
          </cell>
          <cell r="E1572">
            <v>0</v>
          </cell>
          <cell r="F1572">
            <v>950</v>
          </cell>
        </row>
        <row r="1573">
          <cell r="A1573" t="str">
            <v>BC0224-XL</v>
          </cell>
          <cell r="B1573" t="str">
            <v>C224</v>
          </cell>
          <cell r="C1573" t="str">
            <v>เยื่อไผ่ แขนยาวขายาว อูฐ ชมพู XL</v>
          </cell>
          <cell r="E1573">
            <v>0</v>
          </cell>
          <cell r="F1573">
            <v>950</v>
          </cell>
        </row>
        <row r="1574">
          <cell r="A1574" t="str">
            <v>BC0225-L</v>
          </cell>
          <cell r="B1574" t="str">
            <v>C225</v>
          </cell>
          <cell r="C1574" t="str">
            <v>เยื่อไผ่ แขนยาวขายาว ดอกพวงเหลือง L</v>
          </cell>
          <cell r="E1574">
            <v>0</v>
          </cell>
          <cell r="F1574">
            <v>950</v>
          </cell>
        </row>
        <row r="1575">
          <cell r="A1575" t="str">
            <v>BC0225-M</v>
          </cell>
          <cell r="B1575" t="str">
            <v>C225</v>
          </cell>
          <cell r="C1575" t="str">
            <v>เยื่อไผ่ แขนยาวขายาว ดอกพวงเหลือง M</v>
          </cell>
          <cell r="E1575">
            <v>0</v>
          </cell>
          <cell r="F1575">
            <v>950</v>
          </cell>
        </row>
        <row r="1576">
          <cell r="A1576" t="str">
            <v>BC0225-XL</v>
          </cell>
          <cell r="B1576" t="str">
            <v>C225</v>
          </cell>
          <cell r="C1576" t="str">
            <v>เยื่อไผ่ แขนยาวขายาว ดอกพวงเหลือง XL</v>
          </cell>
          <cell r="E1576">
            <v>0</v>
          </cell>
          <cell r="F1576">
            <v>950</v>
          </cell>
        </row>
        <row r="1577">
          <cell r="A1577" t="str">
            <v>BC0226-S</v>
          </cell>
          <cell r="B1577" t="str">
            <v>C226</v>
          </cell>
          <cell r="C1577" t="str">
            <v>เยื่อไผ่ แขนยาวขายาว ดอกไม้สีน้ำ พื้นฟ้า S</v>
          </cell>
          <cell r="E1577">
            <v>0</v>
          </cell>
          <cell r="F1577">
            <v>950</v>
          </cell>
        </row>
        <row r="1578">
          <cell r="A1578" t="str">
            <v>BC0227-L</v>
          </cell>
          <cell r="B1578" t="str">
            <v>C227</v>
          </cell>
          <cell r="C1578" t="str">
            <v>เยื่อไผ่ แขนยาวขายาว กระต่ายขวา พื้นดำ L</v>
          </cell>
          <cell r="E1578">
            <v>0</v>
          </cell>
          <cell r="F1578">
            <v>950</v>
          </cell>
        </row>
        <row r="1579">
          <cell r="A1579" t="str">
            <v>BC0228-L</v>
          </cell>
          <cell r="B1579" t="str">
            <v>C228</v>
          </cell>
          <cell r="C1579" t="str">
            <v>เยื่อไผ่ แขนยาวขายาว จุดขาว พื้นเขียว L</v>
          </cell>
          <cell r="E1579">
            <v>0</v>
          </cell>
          <cell r="F1579">
            <v>990</v>
          </cell>
        </row>
        <row r="1580">
          <cell r="A1580" t="str">
            <v>BC0228-M</v>
          </cell>
          <cell r="B1580" t="str">
            <v>C228</v>
          </cell>
          <cell r="C1580" t="str">
            <v>เยื่อไผ่ แขนยาวขายาว จุดขาว พื้นเขียว M</v>
          </cell>
          <cell r="E1580">
            <v>0</v>
          </cell>
          <cell r="F1580">
            <v>990</v>
          </cell>
        </row>
        <row r="1581">
          <cell r="A1581" t="str">
            <v>BC0228-S</v>
          </cell>
          <cell r="B1581" t="str">
            <v>C228</v>
          </cell>
          <cell r="C1581" t="str">
            <v>เยื่อไผ่ แขนยาวขายาว จุดขาว พื้นเขียว S</v>
          </cell>
          <cell r="E1581">
            <v>0</v>
          </cell>
          <cell r="F1581">
            <v>990</v>
          </cell>
        </row>
        <row r="1582">
          <cell r="A1582" t="str">
            <v>BC0228-XL</v>
          </cell>
          <cell r="B1582" t="str">
            <v>C228</v>
          </cell>
          <cell r="C1582" t="str">
            <v>เยื่อไผ่ แขนยาวขายาว จุดขาว พื้นเขียว XL</v>
          </cell>
          <cell r="E1582">
            <v>0</v>
          </cell>
          <cell r="F1582">
            <v>990</v>
          </cell>
        </row>
        <row r="1583">
          <cell r="A1583" t="str">
            <v>BC0230-L</v>
          </cell>
          <cell r="B1583" t="str">
            <v>C230</v>
          </cell>
          <cell r="C1583" t="str">
            <v>เยื่อไผ่ แขนยาวขายาว โอรส ขอบขาว L</v>
          </cell>
          <cell r="E1583">
            <v>0</v>
          </cell>
          <cell r="F1583">
            <v>950</v>
          </cell>
        </row>
        <row r="1584">
          <cell r="A1584" t="str">
            <v>BC0230-M</v>
          </cell>
          <cell r="B1584" t="str">
            <v>C230</v>
          </cell>
          <cell r="C1584" t="str">
            <v>เยื่อไผ่ แขนยาวขายาว โอรส ขอบขาว M</v>
          </cell>
          <cell r="E1584">
            <v>0</v>
          </cell>
          <cell r="F1584">
            <v>950</v>
          </cell>
        </row>
        <row r="1585">
          <cell r="A1585" t="str">
            <v>BC0230-XL</v>
          </cell>
          <cell r="B1585" t="str">
            <v>C230</v>
          </cell>
          <cell r="C1585" t="str">
            <v>เยื่อไผ่ แขนยาวขายาว โอรส ขอบขาว XL</v>
          </cell>
          <cell r="E1585">
            <v>0</v>
          </cell>
          <cell r="F1585">
            <v>950</v>
          </cell>
        </row>
        <row r="1586">
          <cell r="A1586" t="str">
            <v>BC0234-L</v>
          </cell>
          <cell r="B1586" t="str">
            <v>C234</v>
          </cell>
          <cell r="C1586" t="str">
            <v>เยื่อไผ่ แขนยาวขายาว คอวี ลายนกสีชมพู L</v>
          </cell>
          <cell r="E1586">
            <v>0</v>
          </cell>
          <cell r="F1586">
            <v>950</v>
          </cell>
        </row>
        <row r="1587">
          <cell r="A1587" t="str">
            <v>BC0234-M</v>
          </cell>
          <cell r="B1587" t="str">
            <v>C234</v>
          </cell>
          <cell r="C1587" t="str">
            <v>เยื่อไผ่ แขนยาวขายาว คอวี ลายนกสีชมพู M</v>
          </cell>
          <cell r="E1587">
            <v>0</v>
          </cell>
          <cell r="F1587">
            <v>950</v>
          </cell>
        </row>
        <row r="1588">
          <cell r="A1588" t="str">
            <v>BC0234-S</v>
          </cell>
          <cell r="B1588" t="str">
            <v>C234</v>
          </cell>
          <cell r="C1588" t="str">
            <v>เยื่อไผ่ แขนยาวขายาว คอวี ลายนกสีชมพู S</v>
          </cell>
          <cell r="E1588">
            <v>0</v>
          </cell>
          <cell r="F1588">
            <v>950</v>
          </cell>
        </row>
        <row r="1589">
          <cell r="A1589" t="str">
            <v>BC0234-XL</v>
          </cell>
          <cell r="B1589" t="str">
            <v>C234</v>
          </cell>
          <cell r="C1589" t="str">
            <v>เยื่อไผ่ แขนยาวขายาว คอวี ลายนกสีชมพู XL</v>
          </cell>
          <cell r="E1589">
            <v>0</v>
          </cell>
          <cell r="F1589">
            <v>950</v>
          </cell>
        </row>
        <row r="1590">
          <cell r="A1590" t="str">
            <v>BC0237-L</v>
          </cell>
          <cell r="B1590" t="str">
            <v>C237</v>
          </cell>
          <cell r="C1590" t="str">
            <v>เยื่อไผ่ แขนยาวขายาว ลายทางน้ำตาล ขอบส้ม L</v>
          </cell>
          <cell r="E1590">
            <v>0</v>
          </cell>
          <cell r="F1590">
            <v>950</v>
          </cell>
        </row>
        <row r="1591">
          <cell r="A1591" t="str">
            <v>BC0237-M</v>
          </cell>
          <cell r="B1591" t="str">
            <v>JC237</v>
          </cell>
          <cell r="C1591" t="str">
            <v>เยื่อไผ่ แขนยาวขายาว ลายทางน้ำตาล ขอบส้ม M ตัวโชว์</v>
          </cell>
          <cell r="E1591">
            <v>0</v>
          </cell>
          <cell r="F1591">
            <v>950</v>
          </cell>
        </row>
        <row r="1592">
          <cell r="A1592" t="str">
            <v>BC0237-S</v>
          </cell>
          <cell r="B1592" t="str">
            <v>C237</v>
          </cell>
          <cell r="C1592" t="str">
            <v>เยื่อไผ่ แขนยาวขายาว ลายทางน้ำตาล ขอบส้ม S</v>
          </cell>
          <cell r="E1592">
            <v>0</v>
          </cell>
          <cell r="F1592">
            <v>950</v>
          </cell>
        </row>
        <row r="1593">
          <cell r="A1593" t="str">
            <v>BC0238-L</v>
          </cell>
          <cell r="B1593" t="str">
            <v>C238</v>
          </cell>
          <cell r="C1593" t="str">
            <v>เยื่อไผ่ แขนยาวขายาว คอวี ปกหนา พื้นขาว L</v>
          </cell>
          <cell r="E1593">
            <v>0</v>
          </cell>
          <cell r="F1593">
            <v>990</v>
          </cell>
        </row>
        <row r="1594">
          <cell r="A1594" t="str">
            <v>BC0238-M</v>
          </cell>
          <cell r="B1594" t="str">
            <v>C238</v>
          </cell>
          <cell r="C1594" t="str">
            <v>เยื่อไผ่ แขนยาวขายาว คอวี ปกหนา พื้นขาว M</v>
          </cell>
          <cell r="E1594">
            <v>0</v>
          </cell>
          <cell r="F1594">
            <v>990</v>
          </cell>
        </row>
        <row r="1595">
          <cell r="A1595" t="str">
            <v>BC0238-S</v>
          </cell>
          <cell r="B1595" t="str">
            <v>C238</v>
          </cell>
          <cell r="C1595" t="str">
            <v>เยื่อไผ่ แขนยาวขายาว คอวี ปกหนา พื้นขาว S</v>
          </cell>
          <cell r="E1595">
            <v>0</v>
          </cell>
          <cell r="F1595">
            <v>990</v>
          </cell>
        </row>
        <row r="1596">
          <cell r="A1596" t="str">
            <v>BC0238-XL</v>
          </cell>
          <cell r="B1596" t="str">
            <v>C238</v>
          </cell>
          <cell r="C1596" t="str">
            <v>เยื่อไผ่ แขนยาวขายาว คอวี ปกหนา พื้นขาว XL</v>
          </cell>
          <cell r="E1596">
            <v>0</v>
          </cell>
          <cell r="F1596">
            <v>990</v>
          </cell>
        </row>
        <row r="1597">
          <cell r="A1597" t="str">
            <v>BC0239-L</v>
          </cell>
          <cell r="B1597" t="str">
            <v>C239</v>
          </cell>
          <cell r="C1597" t="str">
            <v>เยื่อไผ่ แขนยาวขายาว คอวี ปกดำหนา พื้นขาว L</v>
          </cell>
          <cell r="E1597">
            <v>0</v>
          </cell>
          <cell r="F1597">
            <v>950</v>
          </cell>
        </row>
        <row r="1598">
          <cell r="A1598" t="str">
            <v>BC0239-M</v>
          </cell>
          <cell r="B1598" t="str">
            <v>C239</v>
          </cell>
          <cell r="C1598" t="str">
            <v>เยื่อไผ่ แขนยาวขายาว คอวี ปกดำหนา พื้นขาว M</v>
          </cell>
          <cell r="E1598">
            <v>0</v>
          </cell>
          <cell r="F1598">
            <v>950</v>
          </cell>
        </row>
        <row r="1599">
          <cell r="A1599" t="str">
            <v>BC0239-S</v>
          </cell>
          <cell r="B1599" t="str">
            <v>C239</v>
          </cell>
          <cell r="C1599" t="str">
            <v>เยื่อไผ่ แขนยาวขายาว คอวี ปกดำหนา พื้นขาว S</v>
          </cell>
          <cell r="E1599">
            <v>0</v>
          </cell>
          <cell r="F1599">
            <v>950</v>
          </cell>
        </row>
        <row r="1600">
          <cell r="A1600" t="str">
            <v>BC0241-L</v>
          </cell>
          <cell r="B1600" t="str">
            <v>C241</v>
          </cell>
          <cell r="C1600" t="str">
            <v>เยื่อไผ่ แขนยาวขายาว ใบไม้น้ำตาล L</v>
          </cell>
          <cell r="E1600">
            <v>0</v>
          </cell>
          <cell r="F1600">
            <v>950</v>
          </cell>
        </row>
        <row r="1601">
          <cell r="A1601" t="str">
            <v>BC0241-M</v>
          </cell>
          <cell r="B1601" t="str">
            <v>C241</v>
          </cell>
          <cell r="C1601" t="str">
            <v>เยื่อไผ่ แขนยาวขายาว ใบไม้น้ำตาล M</v>
          </cell>
          <cell r="E1601">
            <v>0</v>
          </cell>
          <cell r="F1601">
            <v>950</v>
          </cell>
        </row>
        <row r="1602">
          <cell r="A1602" t="str">
            <v>BC0245-L</v>
          </cell>
          <cell r="B1602" t="str">
            <v>C245</v>
          </cell>
          <cell r="C1602" t="str">
            <v>เยื่อไผ่ แขนยาวขายาว กุหลาบชมพู พื้นฟ้า L</v>
          </cell>
          <cell r="E1602">
            <v>0</v>
          </cell>
          <cell r="F1602">
            <v>950</v>
          </cell>
        </row>
        <row r="1603">
          <cell r="A1603" t="str">
            <v>BC0245-M</v>
          </cell>
          <cell r="B1603" t="str">
            <v>C245</v>
          </cell>
          <cell r="C1603" t="str">
            <v>เยื่อไผ่ แขนยาวขายาว กุหลาบชมพู พื้นฟ้า M</v>
          </cell>
          <cell r="E1603">
            <v>0</v>
          </cell>
          <cell r="F1603">
            <v>950</v>
          </cell>
        </row>
        <row r="1604">
          <cell r="A1604" t="str">
            <v>BC0245-S</v>
          </cell>
          <cell r="B1604" t="str">
            <v>C245</v>
          </cell>
          <cell r="C1604" t="str">
            <v>เยื่อไผ่ แขนยาวขายาว กุหลาบชมพู พื้นฟ้า S</v>
          </cell>
          <cell r="E1604">
            <v>0</v>
          </cell>
          <cell r="F1604">
            <v>950</v>
          </cell>
        </row>
        <row r="1605">
          <cell r="A1605" t="str">
            <v>BC0246-XL</v>
          </cell>
          <cell r="B1605" t="str">
            <v>C246</v>
          </cell>
          <cell r="C1605" t="str">
            <v>เยื่อไผ่ แขนยาวขายาว กุหลาบชมพู พื้นฟ้า คอวี XL</v>
          </cell>
          <cell r="E1605">
            <v>0</v>
          </cell>
          <cell r="F1605">
            <v>950</v>
          </cell>
        </row>
        <row r="1606">
          <cell r="A1606" t="str">
            <v>BC0247-L</v>
          </cell>
          <cell r="B1606" t="str">
            <v>C247</v>
          </cell>
          <cell r="C1606" t="str">
            <v>เยื่อไผ่ แขนยาวขายาว ดอกไม้เล็ก พื้นขาว คอวี L</v>
          </cell>
          <cell r="E1606">
            <v>0</v>
          </cell>
          <cell r="F1606">
            <v>950</v>
          </cell>
        </row>
        <row r="1607">
          <cell r="A1607" t="str">
            <v>BC0247-M</v>
          </cell>
          <cell r="B1607" t="str">
            <v>JC247</v>
          </cell>
          <cell r="C1607" t="str">
            <v>เยื่อไผ่ แขนยาวขายาว ดอกไม้เล็ก พื้นขาว คอวี M ตัวโชว์</v>
          </cell>
          <cell r="E1607">
            <v>0</v>
          </cell>
          <cell r="F1607">
            <v>950</v>
          </cell>
        </row>
        <row r="1608">
          <cell r="A1608" t="str">
            <v>BC0247-S</v>
          </cell>
          <cell r="B1608" t="str">
            <v>C247</v>
          </cell>
          <cell r="C1608" t="str">
            <v>เยื่อไผ่ แขนยาวขายาว ดอกไม้เล็ก พื้นขาว คอวี S</v>
          </cell>
          <cell r="E1608">
            <v>0</v>
          </cell>
          <cell r="F1608">
            <v>950</v>
          </cell>
        </row>
        <row r="1609">
          <cell r="A1609" t="str">
            <v>BC0247-XL</v>
          </cell>
          <cell r="B1609" t="str">
            <v>C247</v>
          </cell>
          <cell r="C1609" t="str">
            <v>เยื่อไผ่ แขนยาวขายาว ดอกไม้เล็ก พื้นขาว คอวี XL</v>
          </cell>
          <cell r="E1609">
            <v>0</v>
          </cell>
          <cell r="F1609">
            <v>950</v>
          </cell>
        </row>
        <row r="1610">
          <cell r="A1610" t="str">
            <v>BC0248-L</v>
          </cell>
          <cell r="B1610" t="str">
            <v>JC248</v>
          </cell>
          <cell r="C1610" t="str">
            <v>เยื่อไผ่ แขนยาวขายาว ดอกไม้เล็ก พื้นชมพู คอกลม L ตัวโชว์</v>
          </cell>
          <cell r="E1610">
            <v>0</v>
          </cell>
          <cell r="F1610">
            <v>950</v>
          </cell>
        </row>
        <row r="1611">
          <cell r="A1611" t="str">
            <v>BC0248-M</v>
          </cell>
          <cell r="B1611" t="str">
            <v>JC248</v>
          </cell>
          <cell r="C1611" t="str">
            <v>เยื่อไผ่ แขนยาวขายาว ดอกไม้เล็ก พื้นชมพู คอกลม M ตัวโชว์</v>
          </cell>
          <cell r="E1611">
            <v>0</v>
          </cell>
          <cell r="F1611">
            <v>950</v>
          </cell>
        </row>
        <row r="1612">
          <cell r="A1612" t="str">
            <v>BC0248-S</v>
          </cell>
          <cell r="B1612" t="str">
            <v>JC248</v>
          </cell>
          <cell r="C1612" t="str">
            <v>เยื่อไผ่ แขนยาวขายาว ดอกไม้เล็ก พื้นชมพู คอกลม S ตัวโชว์</v>
          </cell>
          <cell r="E1612">
            <v>0</v>
          </cell>
          <cell r="F1612">
            <v>990</v>
          </cell>
        </row>
        <row r="1613">
          <cell r="A1613" t="str">
            <v>BC0248-XL</v>
          </cell>
          <cell r="B1613" t="str">
            <v>JC248</v>
          </cell>
          <cell r="C1613" t="str">
            <v>เยื่อไผ่ แขนยาวขายาว ดอกไม้เล็ก พื้นชมพู คอกลม XL ตัวโชว์</v>
          </cell>
          <cell r="E1613">
            <v>0</v>
          </cell>
          <cell r="F1613">
            <v>950</v>
          </cell>
        </row>
        <row r="1614">
          <cell r="A1614" t="str">
            <v>BC0249-L</v>
          </cell>
          <cell r="B1614" t="str">
            <v>C249</v>
          </cell>
          <cell r="C1614" t="str">
            <v>เยื่อไผ่ แขนยาวขายาว ดอกไม้เล็ก พื้นฟ้า คอวี L</v>
          </cell>
          <cell r="E1614">
            <v>0</v>
          </cell>
          <cell r="F1614">
            <v>950</v>
          </cell>
        </row>
        <row r="1615">
          <cell r="A1615" t="str">
            <v>BC0249-M</v>
          </cell>
          <cell r="B1615" t="str">
            <v>C249</v>
          </cell>
          <cell r="C1615" t="str">
            <v>เยื่อไผ่ แขนยาวขายาว ดอกไม้เล็ก พื้นฟ้า คอวี M</v>
          </cell>
          <cell r="E1615">
            <v>0</v>
          </cell>
          <cell r="F1615">
            <v>950</v>
          </cell>
        </row>
        <row r="1616">
          <cell r="A1616" t="str">
            <v>BC0249-XL</v>
          </cell>
          <cell r="B1616" t="str">
            <v>C249</v>
          </cell>
          <cell r="C1616" t="str">
            <v>เยื่อไผ่ แขนยาวขายาว ดอกไม้เล็ก พื้นฟ้า คอวี XL</v>
          </cell>
          <cell r="E1616">
            <v>0</v>
          </cell>
          <cell r="F1616">
            <v>950</v>
          </cell>
        </row>
        <row r="1617">
          <cell r="A1617" t="str">
            <v>BC0250-L</v>
          </cell>
          <cell r="B1617" t="str">
            <v>C250</v>
          </cell>
          <cell r="C1617" t="str">
            <v>เยื่อไผ่ แขนยาวขายาว คอวี ใบไม้น้ำตาล พื้นแดง L</v>
          </cell>
          <cell r="E1617">
            <v>0</v>
          </cell>
          <cell r="F1617">
            <v>990</v>
          </cell>
        </row>
        <row r="1618">
          <cell r="A1618" t="str">
            <v>BC0250-M</v>
          </cell>
          <cell r="B1618" t="str">
            <v>C250</v>
          </cell>
          <cell r="C1618" t="str">
            <v>เยื่อไผ่ แขนยาวขายาว คอวี ใบไม้น้ำตาล พื้นแดง M</v>
          </cell>
          <cell r="E1618">
            <v>0</v>
          </cell>
          <cell r="F1618">
            <v>990</v>
          </cell>
        </row>
        <row r="1619">
          <cell r="A1619" t="str">
            <v>BC0250-S</v>
          </cell>
          <cell r="B1619" t="str">
            <v>C250</v>
          </cell>
          <cell r="C1619" t="str">
            <v>เยื่อไผ่ แขนยาวขายาว คอวี ใบไม้น้ำตาล พื้นแดง S</v>
          </cell>
          <cell r="E1619">
            <v>0</v>
          </cell>
          <cell r="F1619">
            <v>990</v>
          </cell>
        </row>
        <row r="1620">
          <cell r="A1620" t="str">
            <v>BC0250-XL</v>
          </cell>
          <cell r="B1620" t="str">
            <v>C250</v>
          </cell>
          <cell r="C1620" t="str">
            <v>เยื่อไผ่ แขนยาวขายาว คอวี ใบไม้น้ำตาล พื้นแดง XL</v>
          </cell>
          <cell r="E1620">
            <v>0</v>
          </cell>
          <cell r="F1620">
            <v>990</v>
          </cell>
        </row>
        <row r="1621">
          <cell r="A1621" t="str">
            <v>BC0251-M</v>
          </cell>
          <cell r="B1621" t="str">
            <v>C251</v>
          </cell>
          <cell r="C1621" t="str">
            <v>เยื่อไผ่ แขนยาวขายาว Garden พื้นชมพู M</v>
          </cell>
          <cell r="E1621">
            <v>0</v>
          </cell>
          <cell r="F1621">
            <v>950</v>
          </cell>
        </row>
        <row r="1622">
          <cell r="A1622" t="str">
            <v>BC0251-S</v>
          </cell>
          <cell r="B1622" t="str">
            <v>C251</v>
          </cell>
          <cell r="C1622" t="str">
            <v>เยื่อไผ่ แขนยาวขายาว Garden พื้นชมพู S</v>
          </cell>
          <cell r="E1622">
            <v>0</v>
          </cell>
          <cell r="F1622">
            <v>950</v>
          </cell>
        </row>
        <row r="1623">
          <cell r="A1623" t="str">
            <v>BC0268-L</v>
          </cell>
          <cell r="B1623" t="str">
            <v>C268</v>
          </cell>
          <cell r="C1623" t="str">
            <v>เยื่อไผ่ แขนยาวขายาว เชอรี่  L</v>
          </cell>
          <cell r="E1623">
            <v>0</v>
          </cell>
          <cell r="F1623">
            <v>950</v>
          </cell>
        </row>
        <row r="1624">
          <cell r="A1624" t="str">
            <v>BC0269-L</v>
          </cell>
          <cell r="B1624" t="str">
            <v>C269</v>
          </cell>
          <cell r="C1624" t="str">
            <v>เยื่อไผ่ แขนยาวขายาว ชมพูอ่อน ขอบขาว L</v>
          </cell>
          <cell r="E1624">
            <v>0</v>
          </cell>
          <cell r="F1624">
            <v>950</v>
          </cell>
        </row>
        <row r="1625">
          <cell r="A1625" t="str">
            <v>BC0269-M</v>
          </cell>
          <cell r="B1625" t="str">
            <v>C269</v>
          </cell>
          <cell r="C1625" t="str">
            <v>เยื่อไผ่ แขนยาวขายาว ชมพูอ่อน ขอบขาว M</v>
          </cell>
          <cell r="E1625">
            <v>0</v>
          </cell>
          <cell r="F1625">
            <v>950</v>
          </cell>
        </row>
        <row r="1626">
          <cell r="A1626" t="str">
            <v>BC0270-M</v>
          </cell>
          <cell r="B1626" t="str">
            <v>C270</v>
          </cell>
          <cell r="C1626" t="str">
            <v>เยื่อไผ่ แขนยาวขายาว เขียว ขอบขาว M</v>
          </cell>
          <cell r="E1626">
            <v>0</v>
          </cell>
          <cell r="F1626">
            <v>950</v>
          </cell>
        </row>
        <row r="1627">
          <cell r="A1627" t="str">
            <v>BC0270-S</v>
          </cell>
          <cell r="B1627" t="str">
            <v>C270</v>
          </cell>
          <cell r="C1627" t="str">
            <v>เยื่อไผ่ แขนยาวขายาว เขียว ขอบขาว S</v>
          </cell>
          <cell r="E1627">
            <v>0</v>
          </cell>
          <cell r="F1627">
            <v>950</v>
          </cell>
        </row>
        <row r="1628">
          <cell r="A1628" t="str">
            <v>BC0271-L</v>
          </cell>
          <cell r="B1628" t="str">
            <v>C271</v>
          </cell>
          <cell r="C1628" t="str">
            <v>เยื่อไผ่ แขนยาวขายาว กระเป๋าเชอรี่ พื้นชมพู L</v>
          </cell>
          <cell r="E1628">
            <v>0</v>
          </cell>
          <cell r="F1628">
            <v>950</v>
          </cell>
        </row>
        <row r="1629">
          <cell r="A1629" t="str">
            <v>BC0273-L</v>
          </cell>
          <cell r="B1629" t="str">
            <v>C273</v>
          </cell>
          <cell r="C1629" t="str">
            <v>เยื่อไผ่ แขนยาวขายาว แมวเล่นไหม L</v>
          </cell>
          <cell r="E1629">
            <v>0</v>
          </cell>
          <cell r="F1629">
            <v>950</v>
          </cell>
        </row>
        <row r="1630">
          <cell r="A1630" t="str">
            <v>BC0273-M</v>
          </cell>
          <cell r="B1630" t="str">
            <v>C273</v>
          </cell>
          <cell r="C1630" t="str">
            <v>เยื่อไผ่ แขนยาวขายาว แมวเล่นไหม M</v>
          </cell>
          <cell r="E1630">
            <v>0</v>
          </cell>
          <cell r="F1630">
            <v>950</v>
          </cell>
        </row>
        <row r="1631">
          <cell r="A1631" t="str">
            <v>BC0273-S</v>
          </cell>
          <cell r="B1631" t="str">
            <v>C273</v>
          </cell>
          <cell r="C1631" t="str">
            <v>เยื่อไผ่ แขนยาวขายาว แมวเล่นไหม S</v>
          </cell>
          <cell r="E1631">
            <v>0</v>
          </cell>
          <cell r="F1631">
            <v>950</v>
          </cell>
        </row>
        <row r="1632">
          <cell r="A1632" t="str">
            <v>BC0284-L</v>
          </cell>
          <cell r="B1632" t="str">
            <v>JC284</v>
          </cell>
          <cell r="C1632" t="str">
            <v>เยื่อไผ่ แขนยาวขายาว พิทบูล พื้นดำ L ตัวโชว์</v>
          </cell>
          <cell r="E1632">
            <v>0</v>
          </cell>
          <cell r="F1632">
            <v>950</v>
          </cell>
        </row>
        <row r="1633">
          <cell r="A1633" t="str">
            <v>BC0284-M</v>
          </cell>
          <cell r="B1633" t="str">
            <v>JC284</v>
          </cell>
          <cell r="C1633" t="str">
            <v>เยื่อไผ่ แขนยาวขายาว พิทบูล พื้นดำ M ตัวโชว์</v>
          </cell>
          <cell r="E1633">
            <v>0</v>
          </cell>
          <cell r="F1633">
            <v>950</v>
          </cell>
        </row>
        <row r="1634">
          <cell r="A1634" t="str">
            <v>BC0284-S</v>
          </cell>
          <cell r="B1634" t="str">
            <v>BC284</v>
          </cell>
          <cell r="C1634" t="str">
            <v>เยื่อไผ่ แขนยาวขายาว พิทบูล พื้นดำ S</v>
          </cell>
          <cell r="E1634">
            <v>0</v>
          </cell>
          <cell r="F1634">
            <v>990</v>
          </cell>
        </row>
        <row r="1635">
          <cell r="A1635" t="str">
            <v>BC0284-XL</v>
          </cell>
          <cell r="B1635" t="str">
            <v>JC284</v>
          </cell>
          <cell r="C1635" t="str">
            <v>เยื่อไผ่ แขนยาวขายาว พิทบูล พื้นดำ XL ตัวโชว์</v>
          </cell>
          <cell r="E1635">
            <v>0</v>
          </cell>
          <cell r="F1635">
            <v>950</v>
          </cell>
        </row>
        <row r="1636">
          <cell r="A1636" t="str">
            <v>BC0285-L</v>
          </cell>
          <cell r="B1636" t="str">
            <v>C285</v>
          </cell>
          <cell r="C1636" t="str">
            <v>เยื่อไผ่ แขนยาวขายาว ลายเฮนน่า L</v>
          </cell>
          <cell r="E1636">
            <v>0</v>
          </cell>
          <cell r="F1636">
            <v>990</v>
          </cell>
        </row>
        <row r="1637">
          <cell r="A1637" t="str">
            <v>BC0285-M</v>
          </cell>
          <cell r="B1637" t="str">
            <v>C285</v>
          </cell>
          <cell r="C1637" t="str">
            <v>เยื่อไผ่ แขนยาวขายาว ลายเฮนน่า M</v>
          </cell>
          <cell r="E1637">
            <v>0</v>
          </cell>
          <cell r="F1637">
            <v>990</v>
          </cell>
        </row>
        <row r="1638">
          <cell r="A1638" t="str">
            <v>BC0285-S</v>
          </cell>
          <cell r="B1638" t="str">
            <v>C285</v>
          </cell>
          <cell r="C1638" t="str">
            <v>เยื่อไผ่ แขนยาวขายาว ลายเฮนน่า S</v>
          </cell>
          <cell r="E1638">
            <v>0</v>
          </cell>
          <cell r="F1638">
            <v>990</v>
          </cell>
        </row>
        <row r="1639">
          <cell r="A1639" t="str">
            <v>BC0285-XL</v>
          </cell>
          <cell r="B1639" t="str">
            <v>C285</v>
          </cell>
          <cell r="C1639" t="str">
            <v>เยื่อไผ่ แขนยาวขายาว ลายเฮนน่า XL</v>
          </cell>
          <cell r="E1639">
            <v>0</v>
          </cell>
          <cell r="F1639">
            <v>990</v>
          </cell>
        </row>
        <row r="1640">
          <cell r="A1640" t="str">
            <v>BC0292-L</v>
          </cell>
          <cell r="B1640" t="str">
            <v>C292</v>
          </cell>
          <cell r="C1640" t="str">
            <v>เยื่อไผ่ แขนยาวขายาว Black flower L</v>
          </cell>
          <cell r="E1640">
            <v>0</v>
          </cell>
          <cell r="F1640">
            <v>950</v>
          </cell>
        </row>
        <row r="1641">
          <cell r="A1641" t="str">
            <v>BC0292-M</v>
          </cell>
          <cell r="B1641" t="str">
            <v>C292</v>
          </cell>
          <cell r="C1641" t="str">
            <v>เยื่อไผ่ แขนยาวขายาว Black flower M</v>
          </cell>
          <cell r="E1641">
            <v>0</v>
          </cell>
          <cell r="F1641">
            <v>950</v>
          </cell>
        </row>
        <row r="1642">
          <cell r="A1642" t="str">
            <v>BC0292-S</v>
          </cell>
          <cell r="B1642" t="str">
            <v>C292</v>
          </cell>
          <cell r="C1642" t="str">
            <v>เยื่อไผ่ แขนยาวขายาว Black flower S</v>
          </cell>
          <cell r="E1642">
            <v>0</v>
          </cell>
          <cell r="F1642">
            <v>950</v>
          </cell>
        </row>
        <row r="1643">
          <cell r="A1643" t="str">
            <v>BC0292-XL</v>
          </cell>
          <cell r="B1643" t="str">
            <v>C292</v>
          </cell>
          <cell r="C1643" t="str">
            <v>เยื่อไผ่ แขนยาวขายาว Black flower XL</v>
          </cell>
          <cell r="E1643">
            <v>0</v>
          </cell>
          <cell r="F1643">
            <v>950</v>
          </cell>
        </row>
        <row r="1644">
          <cell r="A1644" t="str">
            <v>BC0293-L</v>
          </cell>
          <cell r="B1644" t="str">
            <v>C293</v>
          </cell>
          <cell r="C1644" t="str">
            <v>เยื่อไผ่ แขนยาวขายาว Pink flower green L</v>
          </cell>
          <cell r="E1644">
            <v>0</v>
          </cell>
          <cell r="F1644">
            <v>950</v>
          </cell>
        </row>
        <row r="1645">
          <cell r="A1645" t="str">
            <v>BC0293-M</v>
          </cell>
          <cell r="B1645" t="str">
            <v>C293</v>
          </cell>
          <cell r="C1645" t="str">
            <v>เยื่อไผ่ แขนยาวขายาว Pink flower green M</v>
          </cell>
          <cell r="E1645">
            <v>0</v>
          </cell>
          <cell r="F1645">
            <v>950</v>
          </cell>
        </row>
        <row r="1646">
          <cell r="A1646" t="str">
            <v>BC0293-XL</v>
          </cell>
          <cell r="B1646" t="str">
            <v>C293</v>
          </cell>
          <cell r="C1646" t="str">
            <v>เยื่อไผ่ แขนยาวขายาว Pink flower green XL</v>
          </cell>
          <cell r="E1646">
            <v>0</v>
          </cell>
          <cell r="F1646">
            <v>950</v>
          </cell>
        </row>
        <row r="1647">
          <cell r="A1647" t="str">
            <v>BC0310-L</v>
          </cell>
          <cell r="B1647" t="str">
            <v>C310</v>
          </cell>
          <cell r="C1647" t="str">
            <v>เยื่อไผ่ แขนยาวขายาว ดอกไม้ขาว พื้นฟ้า L</v>
          </cell>
          <cell r="E1647">
            <v>0</v>
          </cell>
          <cell r="F1647">
            <v>990</v>
          </cell>
        </row>
        <row r="1648">
          <cell r="A1648" t="str">
            <v>BC0310-M</v>
          </cell>
          <cell r="B1648" t="str">
            <v>C310</v>
          </cell>
          <cell r="C1648" t="str">
            <v>เยื่อไผ่ แขนยาวขายาว ดอกไม้ขาว พื้นฟ้า M</v>
          </cell>
          <cell r="E1648">
            <v>0</v>
          </cell>
          <cell r="F1648">
            <v>990</v>
          </cell>
        </row>
        <row r="1649">
          <cell r="A1649" t="str">
            <v>BC0310-S</v>
          </cell>
          <cell r="B1649" t="str">
            <v>C310</v>
          </cell>
          <cell r="C1649" t="str">
            <v>เยื่อไผ่ แขนยาวขายาว ดอกไม้ขาว พื้นฟ้า S</v>
          </cell>
          <cell r="E1649">
            <v>0</v>
          </cell>
          <cell r="F1649">
            <v>990</v>
          </cell>
        </row>
        <row r="1650">
          <cell r="A1650" t="str">
            <v>BC0310-XL</v>
          </cell>
          <cell r="B1650" t="str">
            <v>C310</v>
          </cell>
          <cell r="C1650" t="str">
            <v>เยื่อไผ่ แขนยาวขายาว ดอกไม้ขาว พื้นฟ้า XL</v>
          </cell>
          <cell r="E1650">
            <v>0</v>
          </cell>
          <cell r="F1650">
            <v>990</v>
          </cell>
        </row>
        <row r="1651">
          <cell r="A1651" t="str">
            <v>BC0311-L</v>
          </cell>
          <cell r="B1651" t="str">
            <v>JC311</v>
          </cell>
          <cell r="C1651" t="str">
            <v>เยื่อไผ่ แขนยาวขายาว ลายทางพลาสเทล ฟ้า L ตัวโชว์</v>
          </cell>
          <cell r="E1651">
            <v>0</v>
          </cell>
          <cell r="F1651">
            <v>950</v>
          </cell>
        </row>
        <row r="1652">
          <cell r="A1652" t="str">
            <v>BC0311-M</v>
          </cell>
          <cell r="B1652" t="str">
            <v>JC311</v>
          </cell>
          <cell r="C1652" t="str">
            <v>เยื่อไผ่ แขนยาวขายาว ลายทางพลาสเทล ฟ้า M ตัวโชว์</v>
          </cell>
          <cell r="E1652">
            <v>0</v>
          </cell>
          <cell r="F1652">
            <v>950</v>
          </cell>
        </row>
        <row r="1653">
          <cell r="A1653" t="str">
            <v>BC0311-S</v>
          </cell>
          <cell r="B1653" t="str">
            <v>JC311</v>
          </cell>
          <cell r="C1653" t="str">
            <v>เยื่อไผ่ แขนยาวขายาว ลายทางพลาสเทล ฟ้า S ตัวโชว์</v>
          </cell>
          <cell r="E1653">
            <v>0</v>
          </cell>
          <cell r="F1653">
            <v>950</v>
          </cell>
        </row>
        <row r="1654">
          <cell r="A1654" t="str">
            <v>BC0311-XL</v>
          </cell>
          <cell r="B1654" t="str">
            <v>JC311</v>
          </cell>
          <cell r="C1654" t="str">
            <v>เยื่อไผ่ แขนยาวขายาว ลายทางพลาสเทล ฟ้า XL ตัวโชว์</v>
          </cell>
          <cell r="E1654">
            <v>0</v>
          </cell>
          <cell r="F1654">
            <v>950</v>
          </cell>
        </row>
        <row r="1655">
          <cell r="A1655" t="str">
            <v>BC0312-L</v>
          </cell>
          <cell r="B1655" t="str">
            <v>C312</v>
          </cell>
          <cell r="C1655" t="str">
            <v>เยื่อไผ่ แขนยาวขายาว แมวดำ พื้นขาว L</v>
          </cell>
          <cell r="E1655">
            <v>0</v>
          </cell>
          <cell r="F1655">
            <v>950</v>
          </cell>
        </row>
        <row r="1656">
          <cell r="A1656" t="str">
            <v>BC0312-M</v>
          </cell>
          <cell r="B1656" t="str">
            <v>JC312</v>
          </cell>
          <cell r="C1656" t="str">
            <v>เยื่อไผ่ แขนยาวขายาว แมวดำ พื้นขาว M ตัวโชว์</v>
          </cell>
          <cell r="E1656">
            <v>0</v>
          </cell>
          <cell r="F1656">
            <v>950</v>
          </cell>
        </row>
        <row r="1657">
          <cell r="A1657" t="str">
            <v>BC0312-S</v>
          </cell>
          <cell r="B1657" t="str">
            <v>C312</v>
          </cell>
          <cell r="C1657" t="str">
            <v>เยื่อไผ่ แขนยาวขายาว แมวดำ พื้นขาว S</v>
          </cell>
          <cell r="E1657">
            <v>0</v>
          </cell>
          <cell r="F1657">
            <v>950</v>
          </cell>
        </row>
        <row r="1658">
          <cell r="A1658" t="str">
            <v>BC0312-XL</v>
          </cell>
          <cell r="B1658" t="str">
            <v>C312</v>
          </cell>
          <cell r="C1658" t="str">
            <v>เยื่อไผ่ แขนยาวขายาว แมวดำ พื้นขาว XL</v>
          </cell>
          <cell r="E1658">
            <v>0</v>
          </cell>
          <cell r="F1658">
            <v>950</v>
          </cell>
        </row>
        <row r="1659">
          <cell r="A1659" t="str">
            <v>BC0313-L</v>
          </cell>
          <cell r="B1659" t="str">
            <v>C313</v>
          </cell>
          <cell r="C1659" t="str">
            <v>เยื่อไผ่ แขนยาวขายาว แพนด้า เหลือง L</v>
          </cell>
          <cell r="E1659">
            <v>0</v>
          </cell>
          <cell r="F1659">
            <v>950</v>
          </cell>
        </row>
        <row r="1660">
          <cell r="A1660" t="str">
            <v>BC0313-M</v>
          </cell>
          <cell r="B1660" t="str">
            <v>C313</v>
          </cell>
          <cell r="C1660" t="str">
            <v>เยื่อไผ่ แขนยาวขายาว แพนด้า เหลือง M</v>
          </cell>
          <cell r="E1660">
            <v>0</v>
          </cell>
          <cell r="F1660">
            <v>950</v>
          </cell>
        </row>
        <row r="1661">
          <cell r="A1661" t="str">
            <v>BC0313-S</v>
          </cell>
          <cell r="B1661" t="str">
            <v>C313</v>
          </cell>
          <cell r="C1661" t="str">
            <v>เยื่อไผ่ แขนยาวขายาว แพนด้า เหลือง S</v>
          </cell>
          <cell r="E1661">
            <v>0</v>
          </cell>
          <cell r="F1661">
            <v>950</v>
          </cell>
        </row>
        <row r="1662">
          <cell r="A1662" t="str">
            <v>BC0313-XL</v>
          </cell>
          <cell r="B1662" t="str">
            <v>C313</v>
          </cell>
          <cell r="C1662" t="str">
            <v>เยื่อไผ่ แขนยาวขายาว แพนด้า เหลือง XL</v>
          </cell>
          <cell r="E1662">
            <v>0</v>
          </cell>
          <cell r="F1662">
            <v>950</v>
          </cell>
        </row>
        <row r="1663">
          <cell r="A1663" t="str">
            <v>BC0314-L</v>
          </cell>
          <cell r="B1663" t="str">
            <v>C314</v>
          </cell>
          <cell r="C1663" t="str">
            <v>เยื่อไผ่ แขนยาวขายาว Wall Flower L</v>
          </cell>
          <cell r="E1663">
            <v>0</v>
          </cell>
          <cell r="F1663">
            <v>950</v>
          </cell>
        </row>
        <row r="1664">
          <cell r="A1664" t="str">
            <v>BC0314-M</v>
          </cell>
          <cell r="B1664" t="str">
            <v>C314</v>
          </cell>
          <cell r="C1664" t="str">
            <v>เยื่อไผ่ แขนยาวขายาว Wall Flower M</v>
          </cell>
          <cell r="E1664">
            <v>0</v>
          </cell>
          <cell r="F1664">
            <v>950</v>
          </cell>
        </row>
        <row r="1665">
          <cell r="A1665" t="str">
            <v>BC0314-S</v>
          </cell>
          <cell r="B1665" t="str">
            <v>C314</v>
          </cell>
          <cell r="C1665" t="str">
            <v>เยื่อไผ่ แขนยาวขายาว Wall Flower S</v>
          </cell>
          <cell r="E1665">
            <v>0</v>
          </cell>
          <cell r="F1665">
            <v>950</v>
          </cell>
        </row>
        <row r="1666">
          <cell r="A1666" t="str">
            <v>BC0314-XL</v>
          </cell>
          <cell r="B1666" t="str">
            <v>C314</v>
          </cell>
          <cell r="C1666" t="str">
            <v>เยื่อไผ่ แขนยาวขายาว Wall Flower XL</v>
          </cell>
          <cell r="E1666">
            <v>0</v>
          </cell>
          <cell r="F1666">
            <v>950</v>
          </cell>
        </row>
        <row r="1667">
          <cell r="A1667" t="str">
            <v>BC0315-L</v>
          </cell>
          <cell r="B1667" t="str">
            <v>BC315</v>
          </cell>
          <cell r="C1667" t="str">
            <v>เยื่อไผ่ แขนยาวขายาว Daisy pink L</v>
          </cell>
          <cell r="E1667">
            <v>0</v>
          </cell>
          <cell r="F1667">
            <v>990</v>
          </cell>
        </row>
        <row r="1668">
          <cell r="A1668" t="str">
            <v>BC0315-M</v>
          </cell>
          <cell r="B1668" t="str">
            <v>BC315</v>
          </cell>
          <cell r="C1668" t="str">
            <v>เยื่อไผ่ แขนยาวขายาว Daisy pink M</v>
          </cell>
          <cell r="E1668">
            <v>0</v>
          </cell>
          <cell r="F1668">
            <v>990</v>
          </cell>
        </row>
        <row r="1669">
          <cell r="A1669" t="str">
            <v>BC0315-S</v>
          </cell>
          <cell r="B1669" t="str">
            <v>C315</v>
          </cell>
          <cell r="C1669" t="str">
            <v>เยื่อไผ่ แขนยาวขายาว Daisy pink S</v>
          </cell>
          <cell r="E1669">
            <v>0</v>
          </cell>
          <cell r="F1669">
            <v>990</v>
          </cell>
        </row>
        <row r="1670">
          <cell r="A1670" t="str">
            <v>BC0315-XL</v>
          </cell>
          <cell r="B1670" t="str">
            <v>C315</v>
          </cell>
          <cell r="C1670" t="str">
            <v>เยื่อไผ่ แขนยาวขายาว Daisy pink XL</v>
          </cell>
          <cell r="E1670">
            <v>0</v>
          </cell>
          <cell r="F1670">
            <v>950</v>
          </cell>
        </row>
        <row r="1671">
          <cell r="A1671" t="str">
            <v>BC0317-L</v>
          </cell>
          <cell r="B1671" t="str">
            <v>JC317</v>
          </cell>
          <cell r="C1671" t="str">
            <v>เยื่อไผ่ แขนยาวขายาว ลายผ้าทวีต ขาวดำ L ตัวโชว์</v>
          </cell>
          <cell r="E1671">
            <v>0</v>
          </cell>
          <cell r="F1671">
            <v>950</v>
          </cell>
        </row>
        <row r="1672">
          <cell r="A1672" t="str">
            <v>BC0317-M</v>
          </cell>
          <cell r="B1672" t="str">
            <v>JC317</v>
          </cell>
          <cell r="C1672" t="str">
            <v>เยื่อไผ่ แขนยาวขายาว ลายผ้าทวีต ขาวดำ M ตัวโชว์</v>
          </cell>
          <cell r="E1672">
            <v>0</v>
          </cell>
          <cell r="F1672">
            <v>950</v>
          </cell>
        </row>
        <row r="1673">
          <cell r="A1673" t="str">
            <v>BC0317-S</v>
          </cell>
          <cell r="B1673" t="str">
            <v>JC317</v>
          </cell>
          <cell r="C1673" t="str">
            <v>เยื่อไผ่ แขนยาวขายาว ลายผ้าทวีต ขาวดำ S ตัวโชว์</v>
          </cell>
          <cell r="E1673">
            <v>0</v>
          </cell>
          <cell r="F1673">
            <v>990</v>
          </cell>
        </row>
        <row r="1674">
          <cell r="A1674" t="str">
            <v>BC0317-XL</v>
          </cell>
          <cell r="B1674" t="str">
            <v>JC317</v>
          </cell>
          <cell r="C1674" t="str">
            <v>เยื่อไผ่ แขนยาวขายาว ลายผ้าทวีต ขาวดำ XL ตัวโชว์</v>
          </cell>
          <cell r="E1674">
            <v>0</v>
          </cell>
          <cell r="F1674">
            <v>950</v>
          </cell>
        </row>
        <row r="1675">
          <cell r="A1675" t="str">
            <v>BC0320-L</v>
          </cell>
          <cell r="B1675" t="str">
            <v>C320</v>
          </cell>
          <cell r="C1675" t="str">
            <v>เยื่อไผ่ แขนยาวขายาว Jamaican Cherry พื้นชมพู L</v>
          </cell>
          <cell r="E1675">
            <v>0</v>
          </cell>
          <cell r="F1675">
            <v>990</v>
          </cell>
        </row>
        <row r="1676">
          <cell r="A1676" t="str">
            <v>BC0320-M</v>
          </cell>
          <cell r="B1676" t="str">
            <v>C320</v>
          </cell>
          <cell r="C1676" t="str">
            <v>เยื่อไผ่ แขนยาวขายาว Jamaican Cherry พื้นชมพู M</v>
          </cell>
          <cell r="E1676">
            <v>0</v>
          </cell>
          <cell r="F1676">
            <v>990</v>
          </cell>
        </row>
        <row r="1677">
          <cell r="A1677" t="str">
            <v>BC0320-S</v>
          </cell>
          <cell r="B1677" t="str">
            <v>C320</v>
          </cell>
          <cell r="C1677" t="str">
            <v>เยื่อไผ่ แขนยาวขายาว Jamaican Cherry พื้นชมพู S</v>
          </cell>
          <cell r="E1677">
            <v>0</v>
          </cell>
          <cell r="F1677">
            <v>990</v>
          </cell>
        </row>
        <row r="1678">
          <cell r="A1678" t="str">
            <v>BC0320-XL</v>
          </cell>
          <cell r="B1678" t="str">
            <v>C320</v>
          </cell>
          <cell r="C1678" t="str">
            <v>เยื่อไผ่ แขนยาวขายาว Jamaican Cherry พื้นชมพู XL</v>
          </cell>
          <cell r="E1678">
            <v>0</v>
          </cell>
          <cell r="F1678">
            <v>990</v>
          </cell>
        </row>
        <row r="1679">
          <cell r="A1679" t="str">
            <v>BC0321-L</v>
          </cell>
          <cell r="B1679" t="str">
            <v>C321</v>
          </cell>
          <cell r="C1679" t="str">
            <v>เยื่อไผ่ แขนยาวขายาว ดอกชบา พื้นเขียว L</v>
          </cell>
          <cell r="E1679">
            <v>0</v>
          </cell>
          <cell r="F1679">
            <v>950</v>
          </cell>
        </row>
        <row r="1680">
          <cell r="A1680" t="str">
            <v>BC0321-M</v>
          </cell>
          <cell r="B1680" t="str">
            <v>C321</v>
          </cell>
          <cell r="C1680" t="str">
            <v>เยื่อไผ่ แขนยาวขายาว ดอกชบา พื้นเขียว M</v>
          </cell>
          <cell r="E1680">
            <v>0</v>
          </cell>
          <cell r="F1680">
            <v>950</v>
          </cell>
        </row>
        <row r="1681">
          <cell r="A1681" t="str">
            <v>BC0321-S</v>
          </cell>
          <cell r="B1681" t="str">
            <v>JC321</v>
          </cell>
          <cell r="C1681" t="str">
            <v>เยื่อไผ่ แขนยาวขายาว ดอกชบา พื้นเขียว S ตัวโชว์</v>
          </cell>
          <cell r="E1681">
            <v>0</v>
          </cell>
          <cell r="F1681">
            <v>950</v>
          </cell>
        </row>
        <row r="1682">
          <cell r="A1682" t="str">
            <v>BC0321-XL</v>
          </cell>
          <cell r="B1682" t="str">
            <v>C321</v>
          </cell>
          <cell r="C1682" t="str">
            <v>เยื่อไผ่ แขนยาวขายาว ดอกชบา พื้นเขียว XL</v>
          </cell>
          <cell r="E1682">
            <v>0</v>
          </cell>
          <cell r="F1682">
            <v>950</v>
          </cell>
        </row>
        <row r="1683">
          <cell r="A1683" t="str">
            <v>BC0322-L</v>
          </cell>
          <cell r="B1683" t="str">
            <v>BC322</v>
          </cell>
          <cell r="C1683" t="str">
            <v>เยื่อไผ่ แขนยาวขายาว ดอกไม้เล็กชมพู คอปก L</v>
          </cell>
          <cell r="E1683">
            <v>0</v>
          </cell>
          <cell r="F1683">
            <v>990</v>
          </cell>
        </row>
        <row r="1684">
          <cell r="A1684" t="str">
            <v>BC0322-M</v>
          </cell>
          <cell r="B1684" t="str">
            <v>BC322</v>
          </cell>
          <cell r="C1684" t="str">
            <v>เยื่อไผ่ แขนยาวขายาว ดอกไม้เล็กชมพู คอปก M</v>
          </cell>
          <cell r="E1684">
            <v>0</v>
          </cell>
          <cell r="F1684">
            <v>990</v>
          </cell>
        </row>
        <row r="1685">
          <cell r="A1685" t="str">
            <v>BC0322-S</v>
          </cell>
          <cell r="B1685" t="str">
            <v>C322</v>
          </cell>
          <cell r="C1685" t="str">
            <v>เยื่อไผ่ แขนยาวขายาว ดอกไม้เล็กชมพู คอปก S</v>
          </cell>
          <cell r="E1685">
            <v>0</v>
          </cell>
          <cell r="F1685">
            <v>990</v>
          </cell>
        </row>
        <row r="1686">
          <cell r="A1686" t="str">
            <v>BC0322-XL</v>
          </cell>
          <cell r="B1686" t="str">
            <v>BC322</v>
          </cell>
          <cell r="C1686" t="str">
            <v>เยื่อไผ่ แขนยาวขายาว ดอกไม้เล็กชมพู คอปก XL</v>
          </cell>
          <cell r="E1686">
            <v>0</v>
          </cell>
          <cell r="F1686">
            <v>990</v>
          </cell>
        </row>
        <row r="1687">
          <cell r="A1687" t="str">
            <v>BC0323-L</v>
          </cell>
          <cell r="B1687" t="str">
            <v>C323</v>
          </cell>
          <cell r="C1687" t="str">
            <v>เยื่อไผ่ แขนยาวขายาว Jungle Cruise ดำ L</v>
          </cell>
          <cell r="E1687">
            <v>0</v>
          </cell>
          <cell r="F1687">
            <v>990</v>
          </cell>
        </row>
        <row r="1688">
          <cell r="A1688" t="str">
            <v>BC0323-M</v>
          </cell>
          <cell r="B1688" t="str">
            <v>C323</v>
          </cell>
          <cell r="C1688" t="str">
            <v>เยื่อไผ่ แขนยาวขายาว Jungle Cruise ดำ M</v>
          </cell>
          <cell r="E1688">
            <v>0</v>
          </cell>
          <cell r="F1688">
            <v>990</v>
          </cell>
        </row>
        <row r="1689">
          <cell r="A1689" t="str">
            <v>BC0323-S</v>
          </cell>
          <cell r="B1689" t="str">
            <v>BC323</v>
          </cell>
          <cell r="C1689" t="str">
            <v>เยื่อไผ่ แขนยาวขายาว Jungle Cruise ดำ S</v>
          </cell>
          <cell r="E1689">
            <v>0</v>
          </cell>
          <cell r="F1689">
            <v>990</v>
          </cell>
        </row>
        <row r="1690">
          <cell r="A1690" t="str">
            <v>BC0323-XL</v>
          </cell>
          <cell r="B1690" t="str">
            <v>C323</v>
          </cell>
          <cell r="C1690" t="str">
            <v>เยื่อไผ่ แขนยาวขายาว Jungle Cruise ดำ XL</v>
          </cell>
          <cell r="E1690">
            <v>0</v>
          </cell>
          <cell r="F1690">
            <v>990</v>
          </cell>
        </row>
        <row r="1691">
          <cell r="A1691" t="str">
            <v>BC0324-L</v>
          </cell>
          <cell r="B1691" t="str">
            <v>C324</v>
          </cell>
          <cell r="C1691" t="str">
            <v>เยื่อไผ่ แขนยาวขายาว Jungle Cruise ครีม L</v>
          </cell>
          <cell r="E1691">
            <v>0</v>
          </cell>
          <cell r="F1691">
            <v>990</v>
          </cell>
        </row>
        <row r="1692">
          <cell r="A1692" t="str">
            <v>BC0324-M</v>
          </cell>
          <cell r="B1692" t="str">
            <v>C324</v>
          </cell>
          <cell r="C1692" t="str">
            <v>เยื่อไผ่ แขนยาวขายาว Jungle Cruise ครีม M</v>
          </cell>
          <cell r="E1692">
            <v>0</v>
          </cell>
          <cell r="F1692">
            <v>990</v>
          </cell>
        </row>
        <row r="1693">
          <cell r="A1693" t="str">
            <v>BC0324-S</v>
          </cell>
          <cell r="B1693" t="str">
            <v>C324</v>
          </cell>
          <cell r="C1693" t="str">
            <v>เยื่อไผ่ แขนยาวขายาว Jungle Cruise ครีม S</v>
          </cell>
          <cell r="E1693">
            <v>0</v>
          </cell>
          <cell r="F1693">
            <v>990</v>
          </cell>
        </row>
        <row r="1694">
          <cell r="A1694" t="str">
            <v>BC0324-XL</v>
          </cell>
          <cell r="B1694" t="str">
            <v>C324</v>
          </cell>
          <cell r="C1694" t="str">
            <v>เยื่อไผ่ แขนยาวขายาว Jungle Cruise ครีม XL</v>
          </cell>
          <cell r="E1694">
            <v>0</v>
          </cell>
          <cell r="F1694">
            <v>990</v>
          </cell>
        </row>
        <row r="1695">
          <cell r="A1695" t="str">
            <v>BC0325-L</v>
          </cell>
          <cell r="B1695" t="str">
            <v>JC325</v>
          </cell>
          <cell r="C1695" t="str">
            <v>เยื่อไผ่ แขนยาวขายาว ดอกไม้สีฟ้า สีเหลือง พื้นขาว L ตัวโชว์</v>
          </cell>
          <cell r="E1695">
            <v>0</v>
          </cell>
          <cell r="F1695">
            <v>950</v>
          </cell>
        </row>
        <row r="1696">
          <cell r="A1696" t="str">
            <v>BC0325-M</v>
          </cell>
          <cell r="B1696" t="str">
            <v>JC325</v>
          </cell>
          <cell r="C1696" t="str">
            <v>เยื่อไผ่ แขนยาวขายาว ดอกไม้สีฟ้า สีเหลือง พื้นขาว M</v>
          </cell>
          <cell r="E1696">
            <v>0</v>
          </cell>
          <cell r="F1696">
            <v>950</v>
          </cell>
        </row>
        <row r="1697">
          <cell r="A1697" t="str">
            <v>BC0325-S</v>
          </cell>
          <cell r="B1697" t="str">
            <v>C325</v>
          </cell>
          <cell r="C1697" t="str">
            <v>เยื่อไผ่ แขนยาวขายาว ดอกไม้สีฟ้า สีเหลือง พื้นขาว S</v>
          </cell>
          <cell r="E1697">
            <v>0</v>
          </cell>
          <cell r="F1697">
            <v>990</v>
          </cell>
        </row>
        <row r="1698">
          <cell r="A1698" t="str">
            <v>BC0325-XL</v>
          </cell>
          <cell r="B1698" t="str">
            <v>JC325</v>
          </cell>
          <cell r="C1698" t="str">
            <v>เยื่อไผ่ แขนยาวขายาว ดอกไม้สีฟ้า สีเหลือง พื้นขาว XL ตัวโชว์</v>
          </cell>
          <cell r="E1698">
            <v>0</v>
          </cell>
          <cell r="F1698">
            <v>950</v>
          </cell>
        </row>
        <row r="1699">
          <cell r="A1699" t="str">
            <v>BC0326-2XL</v>
          </cell>
          <cell r="B1699" t="str">
            <v>C326</v>
          </cell>
          <cell r="C1699" t="str">
            <v>เยื่อไผ่ แขนยาวขายาว ดอกไม้น้อย สีชมพู พื้นวนิลา 2XL</v>
          </cell>
          <cell r="E1699">
            <v>0</v>
          </cell>
          <cell r="F1699">
            <v>990</v>
          </cell>
        </row>
        <row r="1700">
          <cell r="A1700" t="str">
            <v>BC0326-L</v>
          </cell>
          <cell r="B1700" t="str">
            <v>C326</v>
          </cell>
          <cell r="C1700" t="str">
            <v>เยื่อไผ่ แขนยาวขายาว ดอกไม้น้อย สีชมพู พื้นวนิลา L</v>
          </cell>
          <cell r="E1700">
            <v>0</v>
          </cell>
          <cell r="F1700">
            <v>990</v>
          </cell>
        </row>
        <row r="1701">
          <cell r="A1701" t="str">
            <v>BC0326-M</v>
          </cell>
          <cell r="B1701" t="str">
            <v>C326</v>
          </cell>
          <cell r="C1701" t="str">
            <v>เยื่อไผ่ แขนยาวขายาว ดอกไม้น้อย สีชมพู พื้นวนิลา M</v>
          </cell>
          <cell r="E1701">
            <v>0</v>
          </cell>
          <cell r="F1701">
            <v>990</v>
          </cell>
        </row>
        <row r="1702">
          <cell r="A1702" t="str">
            <v>BC0326-S</v>
          </cell>
          <cell r="B1702" t="str">
            <v>C326</v>
          </cell>
          <cell r="C1702" t="str">
            <v>เยื่อไผ่ แขนยาวขายาว ดอกไม้น้อย สีชมพู พื้นวนิลา S</v>
          </cell>
          <cell r="E1702">
            <v>0</v>
          </cell>
          <cell r="F1702">
            <v>990</v>
          </cell>
        </row>
        <row r="1703">
          <cell r="A1703" t="str">
            <v>BC0326-XL</v>
          </cell>
          <cell r="B1703" t="str">
            <v>C326</v>
          </cell>
          <cell r="C1703" t="str">
            <v>เยื่อไผ่ แขนยาวขายาว ดอกไม้น้อย สีชมพู พื้นวนิลา XL</v>
          </cell>
          <cell r="E1703">
            <v>0</v>
          </cell>
          <cell r="F1703">
            <v>990</v>
          </cell>
        </row>
        <row r="1704">
          <cell r="A1704" t="str">
            <v>BC0327-L</v>
          </cell>
          <cell r="B1704" t="str">
            <v>C327</v>
          </cell>
          <cell r="C1704" t="str">
            <v>เยื่อไผ่ แขนยาวขายาว ดอกไม้อวกาศ พื้นชมพู L</v>
          </cell>
          <cell r="E1704">
            <v>0</v>
          </cell>
          <cell r="F1704">
            <v>950</v>
          </cell>
        </row>
        <row r="1705">
          <cell r="A1705" t="str">
            <v>BC0327-M</v>
          </cell>
          <cell r="B1705" t="str">
            <v>C327</v>
          </cell>
          <cell r="C1705" t="str">
            <v>เยื่อไผ่ แขนยาวขายาว ดอกไม้อวกาศ พื้นชมพู M</v>
          </cell>
          <cell r="E1705">
            <v>0</v>
          </cell>
          <cell r="F1705">
            <v>950</v>
          </cell>
        </row>
        <row r="1706">
          <cell r="A1706" t="str">
            <v>BC0327-S</v>
          </cell>
          <cell r="B1706" t="str">
            <v>C327</v>
          </cell>
          <cell r="C1706" t="str">
            <v>เยื่อไผ่ แขนยาวขายาว ดอกไม้อวกาศ พื้นชมพู S</v>
          </cell>
          <cell r="E1706">
            <v>0</v>
          </cell>
          <cell r="F1706">
            <v>950</v>
          </cell>
        </row>
        <row r="1707">
          <cell r="A1707" t="str">
            <v>BC0327-XL</v>
          </cell>
          <cell r="B1707" t="str">
            <v>C327</v>
          </cell>
          <cell r="C1707" t="str">
            <v>เยื่อไผ่ แขนยาวขายาว ดอกไม้อวกาศ พื้นชมพู XL</v>
          </cell>
          <cell r="E1707">
            <v>0</v>
          </cell>
          <cell r="F1707">
            <v>950</v>
          </cell>
        </row>
        <row r="1708">
          <cell r="A1708" t="str">
            <v>BC0337-L</v>
          </cell>
          <cell r="B1708" t="str">
            <v>C337</v>
          </cell>
          <cell r="C1708" t="str">
            <v>เยื่อไผ่ แขนยาวขายาว แมวฟ้า กุ๊นขอบ L</v>
          </cell>
          <cell r="E1708">
            <v>0</v>
          </cell>
          <cell r="F1708">
            <v>990</v>
          </cell>
        </row>
        <row r="1709">
          <cell r="A1709" t="str">
            <v>BC0337-M</v>
          </cell>
          <cell r="B1709" t="str">
            <v>C337</v>
          </cell>
          <cell r="C1709" t="str">
            <v>เยื่อไผ่ แขนยาวขายาว แมวฟ้า กุ๊นขอบ M</v>
          </cell>
          <cell r="E1709">
            <v>0</v>
          </cell>
          <cell r="F1709">
            <v>990</v>
          </cell>
        </row>
        <row r="1710">
          <cell r="A1710" t="str">
            <v>BC0337-S</v>
          </cell>
          <cell r="B1710" t="str">
            <v>C337</v>
          </cell>
          <cell r="C1710" t="str">
            <v>เยื่อไผ่ แขนยาวขายาว แมวฟ้า กุ๊นขอบ S</v>
          </cell>
          <cell r="E1710">
            <v>0</v>
          </cell>
          <cell r="F1710">
            <v>990</v>
          </cell>
        </row>
        <row r="1711">
          <cell r="A1711" t="str">
            <v>BC0352-L</v>
          </cell>
          <cell r="B1711" t="str">
            <v>C352</v>
          </cell>
          <cell r="C1711" t="str">
            <v>เยื่อไผ่ แขนยาวขายาว Sea Animals L</v>
          </cell>
          <cell r="E1711">
            <v>0</v>
          </cell>
          <cell r="F1711">
            <v>950</v>
          </cell>
        </row>
        <row r="1712">
          <cell r="A1712" t="str">
            <v>BC0352-M</v>
          </cell>
          <cell r="B1712" t="str">
            <v>BC352</v>
          </cell>
          <cell r="C1712" t="str">
            <v>เยื่อไผ่ แขนยาวขายาว Sea Animals M</v>
          </cell>
          <cell r="E1712">
            <v>0</v>
          </cell>
          <cell r="F1712">
            <v>990</v>
          </cell>
        </row>
        <row r="1713">
          <cell r="A1713" t="str">
            <v>BC0352-S</v>
          </cell>
          <cell r="B1713" t="str">
            <v>BC352</v>
          </cell>
          <cell r="C1713" t="str">
            <v>เยื่อไผ่ แขนยาวขายาว Sea Animals S</v>
          </cell>
          <cell r="E1713">
            <v>0</v>
          </cell>
          <cell r="F1713">
            <v>990</v>
          </cell>
        </row>
        <row r="1714">
          <cell r="A1714" t="str">
            <v>BC0352-XL</v>
          </cell>
          <cell r="B1714" t="str">
            <v>BC352</v>
          </cell>
          <cell r="C1714" t="str">
            <v>เยื่อไผ่ แขนยาวขายาว Sea Animals XL</v>
          </cell>
          <cell r="E1714">
            <v>0</v>
          </cell>
          <cell r="F1714">
            <v>990</v>
          </cell>
        </row>
        <row r="1715">
          <cell r="A1715" t="str">
            <v>BC0357-L</v>
          </cell>
          <cell r="B1715" t="str">
            <v>C357</v>
          </cell>
          <cell r="C1715" t="str">
            <v>เยื่อไผ่ แขนยาวขายาว ผีเสื้อ พื้เหลืองอ่อน L</v>
          </cell>
          <cell r="E1715">
            <v>0</v>
          </cell>
          <cell r="F1715">
            <v>990</v>
          </cell>
        </row>
        <row r="1716">
          <cell r="A1716" t="str">
            <v>BC0357-M</v>
          </cell>
          <cell r="B1716" t="str">
            <v>C357</v>
          </cell>
          <cell r="C1716" t="str">
            <v>เยื่อไผ่ แขนยาวขายาว ผีเสื้อ พื้เหลืองอ่อน M</v>
          </cell>
          <cell r="E1716">
            <v>0</v>
          </cell>
          <cell r="F1716">
            <v>990</v>
          </cell>
        </row>
        <row r="1717">
          <cell r="A1717" t="str">
            <v>BC0357-S</v>
          </cell>
          <cell r="B1717" t="str">
            <v>C357</v>
          </cell>
          <cell r="C1717" t="str">
            <v>เยื่อไผ่ แขนยาวขายาว ผีเสื้อ พื้เหลืองอ่อน S</v>
          </cell>
          <cell r="E1717">
            <v>0</v>
          </cell>
          <cell r="F1717">
            <v>990</v>
          </cell>
        </row>
        <row r="1718">
          <cell r="A1718" t="str">
            <v>BC0357-XL</v>
          </cell>
          <cell r="B1718" t="str">
            <v>C357</v>
          </cell>
          <cell r="C1718" t="str">
            <v>เยื่อไผ่ แขนยาวขายาว ผีเสื้อ พื้เหลืองอ่อน XL</v>
          </cell>
          <cell r="E1718">
            <v>0</v>
          </cell>
          <cell r="F1718">
            <v>990</v>
          </cell>
        </row>
        <row r="1719">
          <cell r="A1719" t="str">
            <v>BC0358-L</v>
          </cell>
          <cell r="B1719" t="str">
            <v>C358</v>
          </cell>
          <cell r="C1719" t="str">
            <v>เยื่อไผ่ แขนยาวขายาว เรนโบว์ พีช พื้นชมพู L</v>
          </cell>
          <cell r="E1719">
            <v>0</v>
          </cell>
          <cell r="F1719">
            <v>990</v>
          </cell>
        </row>
        <row r="1720">
          <cell r="A1720" t="str">
            <v>BC0358-M</v>
          </cell>
          <cell r="B1720" t="str">
            <v>C358</v>
          </cell>
          <cell r="C1720" t="str">
            <v>เยื่อไผ่ แขนยาวขายาว เรนโบว์ พีช พื้นชมพู M</v>
          </cell>
          <cell r="E1720">
            <v>0</v>
          </cell>
          <cell r="F1720">
            <v>990</v>
          </cell>
        </row>
        <row r="1721">
          <cell r="A1721" t="str">
            <v>BC0358-S</v>
          </cell>
          <cell r="B1721" t="str">
            <v>QC358</v>
          </cell>
          <cell r="C1721" t="str">
            <v>เยื่อไผ่ แขนยาวขายาว เรนโบว์ พีช พื้นชมพู S QC</v>
          </cell>
          <cell r="E1721">
            <v>0</v>
          </cell>
          <cell r="F1721">
            <v>990</v>
          </cell>
        </row>
        <row r="1722">
          <cell r="A1722" t="str">
            <v>BC0358-XL</v>
          </cell>
          <cell r="B1722" t="str">
            <v>C358</v>
          </cell>
          <cell r="C1722" t="str">
            <v>เยื่อไผ่ แขนยาวขายาว เรนโบว์ พีช พื้นชมพู XL</v>
          </cell>
          <cell r="E1722">
            <v>0</v>
          </cell>
          <cell r="F1722">
            <v>990</v>
          </cell>
        </row>
        <row r="1723">
          <cell r="A1723" t="str">
            <v>BC0361-L</v>
          </cell>
          <cell r="B1723" t="str">
            <v>C361</v>
          </cell>
          <cell r="C1723" t="str">
            <v>เยื่อไผ่ แขนยาวขายาว ดอกเหมยลี่ พื้นครีม L</v>
          </cell>
          <cell r="E1723">
            <v>0</v>
          </cell>
          <cell r="F1723">
            <v>990</v>
          </cell>
        </row>
        <row r="1724">
          <cell r="A1724" t="str">
            <v>BC0361-M</v>
          </cell>
          <cell r="B1724" t="str">
            <v>C361</v>
          </cell>
          <cell r="C1724" t="str">
            <v>เยื่อไผ่ แขนยาวขายาว ดอกเหมยลี่ พื้นครีม M</v>
          </cell>
          <cell r="E1724">
            <v>0</v>
          </cell>
          <cell r="F1724">
            <v>990</v>
          </cell>
        </row>
        <row r="1725">
          <cell r="A1725" t="str">
            <v>BC0361-S</v>
          </cell>
          <cell r="B1725" t="str">
            <v>C361</v>
          </cell>
          <cell r="C1725" t="str">
            <v>เยื่อไผ่ แขนยาวขายาว ดอกเหมยลี่ พื้นครีม S</v>
          </cell>
          <cell r="E1725">
            <v>0</v>
          </cell>
          <cell r="F1725">
            <v>990</v>
          </cell>
        </row>
        <row r="1726">
          <cell r="A1726" t="str">
            <v>BC0369-L</v>
          </cell>
          <cell r="B1726" t="str">
            <v>C369</v>
          </cell>
          <cell r="C1726" t="str">
            <v>เยื่อไผ่ แขนยาวขายาว พื้นขาว ดอกไม้คราม L</v>
          </cell>
          <cell r="E1726">
            <v>0</v>
          </cell>
          <cell r="F1726">
            <v>990</v>
          </cell>
        </row>
        <row r="1727">
          <cell r="A1727" t="str">
            <v>BC0369-M</v>
          </cell>
          <cell r="B1727" t="str">
            <v>C369</v>
          </cell>
          <cell r="C1727" t="str">
            <v>เยื่อไผ่ แขนยาวขายาว พื้นขาว ดอกไม้คราม M</v>
          </cell>
          <cell r="E1727">
            <v>0</v>
          </cell>
          <cell r="F1727">
            <v>990</v>
          </cell>
        </row>
        <row r="1728">
          <cell r="A1728" t="str">
            <v>BC0369-S</v>
          </cell>
          <cell r="B1728" t="str">
            <v>C369</v>
          </cell>
          <cell r="C1728" t="str">
            <v>เยื่อไผ่ แขนยาวขายาว พื้นขาว ดอกไม้คราม S</v>
          </cell>
          <cell r="E1728">
            <v>0</v>
          </cell>
          <cell r="F1728">
            <v>990</v>
          </cell>
        </row>
        <row r="1729">
          <cell r="A1729" t="str">
            <v>BC0369-XL</v>
          </cell>
          <cell r="B1729" t="str">
            <v>C369</v>
          </cell>
          <cell r="C1729" t="str">
            <v>เยื่อไผ่ แขนยาวขายาว พื้นขาว ดอกไม้คราม XL</v>
          </cell>
          <cell r="E1729">
            <v>0</v>
          </cell>
          <cell r="F1729">
            <v>990</v>
          </cell>
        </row>
        <row r="1730">
          <cell r="A1730" t="str">
            <v>BC0370-L</v>
          </cell>
          <cell r="B1730" t="str">
            <v>C370</v>
          </cell>
          <cell r="C1730" t="str">
            <v>เยื่อไผ่ แขนยาวขายาว ดอกไม้เขียว L</v>
          </cell>
          <cell r="E1730">
            <v>0</v>
          </cell>
          <cell r="F1730">
            <v>990</v>
          </cell>
        </row>
        <row r="1731">
          <cell r="A1731" t="str">
            <v>BC0370-M</v>
          </cell>
          <cell r="B1731" t="str">
            <v>C370</v>
          </cell>
          <cell r="C1731" t="str">
            <v>เยื่อไผ่ แขนยาวขายาว ดอกไม้เขียว M</v>
          </cell>
          <cell r="E1731">
            <v>0</v>
          </cell>
          <cell r="F1731">
            <v>990</v>
          </cell>
        </row>
        <row r="1732">
          <cell r="A1732" t="str">
            <v>BC0370-S</v>
          </cell>
          <cell r="B1732" t="str">
            <v>C370</v>
          </cell>
          <cell r="C1732" t="str">
            <v>เยื่อไผ่ แขนยาวขายาว ดอกไม้เขียว S</v>
          </cell>
          <cell r="E1732">
            <v>0</v>
          </cell>
          <cell r="F1732">
            <v>990</v>
          </cell>
        </row>
        <row r="1733">
          <cell r="A1733" t="str">
            <v>BC0370-XL</v>
          </cell>
          <cell r="B1733" t="str">
            <v>C370</v>
          </cell>
          <cell r="C1733" t="str">
            <v>เยื่อไผ่ แขนยาวขายาว ดอกไม้เขียว XL</v>
          </cell>
          <cell r="E1733">
            <v>0</v>
          </cell>
          <cell r="F1733">
            <v>990</v>
          </cell>
        </row>
        <row r="1734">
          <cell r="A1734" t="str">
            <v>BC0372-L</v>
          </cell>
          <cell r="B1734" t="str">
            <v>C372</v>
          </cell>
          <cell r="C1734" t="str">
            <v>เยื่อไผ่ แขนยาวขายาว พื้นดำ L</v>
          </cell>
          <cell r="E1734">
            <v>0</v>
          </cell>
          <cell r="F1734">
            <v>990</v>
          </cell>
        </row>
        <row r="1735">
          <cell r="A1735" t="str">
            <v>BC0372-M</v>
          </cell>
          <cell r="B1735" t="str">
            <v>C372</v>
          </cell>
          <cell r="C1735" t="str">
            <v>เยื่อไผ่ แขนยาวขายาว พื้นดำ M</v>
          </cell>
          <cell r="E1735">
            <v>0</v>
          </cell>
          <cell r="F1735">
            <v>990</v>
          </cell>
        </row>
        <row r="1736">
          <cell r="A1736" t="str">
            <v>BC0372-S</v>
          </cell>
          <cell r="B1736" t="str">
            <v>C372</v>
          </cell>
          <cell r="C1736" t="str">
            <v>เยื่อไผ่ แขนยาวขายาว พื้นดำ S</v>
          </cell>
          <cell r="E1736">
            <v>2</v>
          </cell>
          <cell r="F1736">
            <v>990</v>
          </cell>
        </row>
        <row r="1737">
          <cell r="A1737" t="str">
            <v>BC0372-XL</v>
          </cell>
          <cell r="B1737" t="str">
            <v>C372</v>
          </cell>
          <cell r="C1737" t="str">
            <v>เยื่อไผ่ แขนยาวขายาว พื้นดำ XL</v>
          </cell>
          <cell r="E1737">
            <v>0</v>
          </cell>
          <cell r="F1737">
            <v>990</v>
          </cell>
        </row>
        <row r="1738">
          <cell r="A1738" t="str">
            <v>BC0373-L</v>
          </cell>
          <cell r="B1738" t="str">
            <v>C373</v>
          </cell>
          <cell r="C1738" t="str">
            <v>เยื่อไผ่ แขนยาวขายาว เสื้อเขียว กางเกงดอก L</v>
          </cell>
          <cell r="E1738">
            <v>0</v>
          </cell>
          <cell r="F1738">
            <v>990</v>
          </cell>
        </row>
        <row r="1739">
          <cell r="A1739" t="str">
            <v>BC0373-M</v>
          </cell>
          <cell r="B1739" t="str">
            <v>C373</v>
          </cell>
          <cell r="C1739" t="str">
            <v>เยื่อไผ่ แขนยาวขายาว เสื้อเขียว กางเกงดอก M</v>
          </cell>
          <cell r="E1739">
            <v>0</v>
          </cell>
          <cell r="F1739">
            <v>990</v>
          </cell>
        </row>
        <row r="1740">
          <cell r="A1740" t="str">
            <v>BC0373-XL</v>
          </cell>
          <cell r="B1740" t="str">
            <v>C373</v>
          </cell>
          <cell r="C1740" t="str">
            <v>เยื่อไผ่ แขนยาวขายาว เสื้อเขียว กางเกงดอก XL</v>
          </cell>
          <cell r="E1740">
            <v>0</v>
          </cell>
          <cell r="F1740">
            <v>990</v>
          </cell>
        </row>
        <row r="1741">
          <cell r="A1741" t="str">
            <v>BC0374-L</v>
          </cell>
          <cell r="B1741" t="str">
            <v>C374</v>
          </cell>
          <cell r="C1741" t="str">
            <v>เยื่อไผ่ แขนยาวขายาว หมาจิ้งจอก พื้นม่วง L</v>
          </cell>
          <cell r="E1741">
            <v>0</v>
          </cell>
          <cell r="F1741">
            <v>990</v>
          </cell>
        </row>
        <row r="1742">
          <cell r="A1742" t="str">
            <v>BC0374-M</v>
          </cell>
          <cell r="B1742" t="str">
            <v>C374</v>
          </cell>
          <cell r="C1742" t="str">
            <v>เยื่อไผ่ แขนยาวขายาว หมาจิ้งจอก พื้นม่วง M</v>
          </cell>
          <cell r="E1742">
            <v>0</v>
          </cell>
          <cell r="F1742">
            <v>990</v>
          </cell>
        </row>
        <row r="1743">
          <cell r="A1743" t="str">
            <v>BC0374-S</v>
          </cell>
          <cell r="B1743" t="str">
            <v>C374</v>
          </cell>
          <cell r="C1743" t="str">
            <v>เยื่อไผ่ แขนยาวขายาว หมาจิ้งจอก พื้นม่วง S</v>
          </cell>
          <cell r="E1743">
            <v>0</v>
          </cell>
          <cell r="F1743">
            <v>990</v>
          </cell>
        </row>
        <row r="1744">
          <cell r="A1744" t="str">
            <v>BC0374-XL</v>
          </cell>
          <cell r="B1744" t="str">
            <v>C374</v>
          </cell>
          <cell r="C1744" t="str">
            <v>เยื่อไผ่ แขนยาวขายาว หมาจิ้งจอก พื้นม่วง XL</v>
          </cell>
          <cell r="E1744">
            <v>0</v>
          </cell>
          <cell r="F1744">
            <v>990</v>
          </cell>
        </row>
        <row r="1745">
          <cell r="A1745" t="str">
            <v>BC0375-L</v>
          </cell>
          <cell r="B1745" t="str">
            <v>C375</v>
          </cell>
          <cell r="C1745" t="str">
            <v>เยื่อไผ่ แขนยาวขายาว ดอกไม้เหลือง พื้นเหลือง L</v>
          </cell>
          <cell r="E1745">
            <v>0</v>
          </cell>
          <cell r="F1745">
            <v>990</v>
          </cell>
        </row>
        <row r="1746">
          <cell r="A1746" t="str">
            <v>BC0375-M</v>
          </cell>
          <cell r="B1746" t="str">
            <v>C375</v>
          </cell>
          <cell r="C1746" t="str">
            <v>เยื่อไผ่ แขนยาวขายาว ดอกไม้เหลือง พื้นเหลือง M</v>
          </cell>
          <cell r="E1746">
            <v>0</v>
          </cell>
          <cell r="F1746">
            <v>990</v>
          </cell>
        </row>
        <row r="1747">
          <cell r="A1747" t="str">
            <v>BC0375-S</v>
          </cell>
          <cell r="B1747" t="str">
            <v>C375</v>
          </cell>
          <cell r="C1747" t="str">
            <v>เยื่อไผ่ แขนยาวขายาว ดอกไม้เหลือง พื้นเหลือง S</v>
          </cell>
          <cell r="E1747">
            <v>0</v>
          </cell>
          <cell r="F1747">
            <v>990</v>
          </cell>
        </row>
        <row r="1748">
          <cell r="A1748" t="str">
            <v>BC0375-XL</v>
          </cell>
          <cell r="B1748" t="str">
            <v>C375</v>
          </cell>
          <cell r="C1748" t="str">
            <v>เยื่อไผ่ แขนยาวขายาว ดอกไม้เหลือง พื้นเหลือง XL</v>
          </cell>
          <cell r="E1748">
            <v>0</v>
          </cell>
          <cell r="F1748">
            <v>990</v>
          </cell>
        </row>
        <row r="1749">
          <cell r="A1749" t="str">
            <v>BC0376-L</v>
          </cell>
          <cell r="B1749" t="str">
            <v>C376</v>
          </cell>
          <cell r="C1749" t="str">
            <v>เยื่อไผ่ แขนยาวขายาว ดอกบัว ลายเส้น L</v>
          </cell>
          <cell r="E1749">
            <v>0</v>
          </cell>
          <cell r="F1749">
            <v>990</v>
          </cell>
        </row>
        <row r="1750">
          <cell r="A1750" t="str">
            <v>BC0376-M</v>
          </cell>
          <cell r="B1750" t="str">
            <v>C376</v>
          </cell>
          <cell r="C1750" t="str">
            <v>เยื่อไผ่ แขนยาวขายาว ดอกบัว ลายเส้น M</v>
          </cell>
          <cell r="E1750">
            <v>0</v>
          </cell>
          <cell r="F1750">
            <v>990</v>
          </cell>
        </row>
        <row r="1751">
          <cell r="A1751" t="str">
            <v>BC0376-S</v>
          </cell>
          <cell r="B1751" t="str">
            <v>C376</v>
          </cell>
          <cell r="C1751" t="str">
            <v>เยื่อไผ่ แขนยาวขายาว ดอกบัว ลายเส้น S</v>
          </cell>
          <cell r="E1751">
            <v>0</v>
          </cell>
          <cell r="F1751">
            <v>990</v>
          </cell>
        </row>
        <row r="1752">
          <cell r="A1752" t="str">
            <v>BC0376-XL</v>
          </cell>
          <cell r="B1752" t="str">
            <v>BC376</v>
          </cell>
          <cell r="C1752" t="str">
            <v>เยื่อไผ่ แขนยาวขายาว ดอกบัว ลายเส้น XL</v>
          </cell>
          <cell r="E1752">
            <v>0</v>
          </cell>
          <cell r="F1752">
            <v>990</v>
          </cell>
        </row>
        <row r="1753">
          <cell r="A1753" t="str">
            <v>BC0377-L</v>
          </cell>
          <cell r="B1753" t="str">
            <v>BC377</v>
          </cell>
          <cell r="C1753" t="str">
            <v>เยื่อไผ่ แขนยาวขายาว ชาวบ้าน เสื้อเขียว L</v>
          </cell>
          <cell r="E1753">
            <v>0</v>
          </cell>
          <cell r="F1753">
            <v>990</v>
          </cell>
        </row>
        <row r="1754">
          <cell r="A1754" t="str">
            <v>BC0377-M</v>
          </cell>
          <cell r="B1754" t="str">
            <v>C377</v>
          </cell>
          <cell r="C1754" t="str">
            <v>เยื่อไผ่ แขนยาวขายาว ชาวบ้าน เสื้อเขียว M</v>
          </cell>
          <cell r="E1754">
            <v>0</v>
          </cell>
          <cell r="F1754">
            <v>990</v>
          </cell>
        </row>
        <row r="1755">
          <cell r="A1755" t="str">
            <v>BC0377-S</v>
          </cell>
          <cell r="B1755" t="str">
            <v>BC377</v>
          </cell>
          <cell r="C1755" t="str">
            <v>เยื่อไผ่ แขนยาวขายาว ชาวบ้าน เสื้อเขียว S</v>
          </cell>
          <cell r="E1755">
            <v>0</v>
          </cell>
          <cell r="F1755">
            <v>990</v>
          </cell>
        </row>
        <row r="1756">
          <cell r="A1756" t="str">
            <v>BC0377-XL</v>
          </cell>
          <cell r="B1756" t="str">
            <v>C377</v>
          </cell>
          <cell r="C1756" t="str">
            <v>เยื่อไผ่ แขนยาวขายาว ชาวบ้าน เสื้อเขียว XL</v>
          </cell>
          <cell r="E1756">
            <v>0</v>
          </cell>
          <cell r="F1756">
            <v>990</v>
          </cell>
        </row>
        <row r="1757">
          <cell r="A1757" t="str">
            <v>BC0378-L</v>
          </cell>
          <cell r="B1757" t="str">
            <v>C378</v>
          </cell>
          <cell r="C1757" t="str">
            <v>เยื่อไผ่ แขนยาวขายาว ทิวลิป ปกเขียว L</v>
          </cell>
          <cell r="E1757">
            <v>0</v>
          </cell>
          <cell r="F1757">
            <v>990</v>
          </cell>
        </row>
        <row r="1758">
          <cell r="A1758" t="str">
            <v>BC0378-M</v>
          </cell>
          <cell r="B1758" t="str">
            <v>C378</v>
          </cell>
          <cell r="C1758" t="str">
            <v>เยื่อไผ่ แขนยาวขายาว ทิวลิป ปกเขียว M</v>
          </cell>
          <cell r="E1758">
            <v>0</v>
          </cell>
          <cell r="F1758">
            <v>990</v>
          </cell>
        </row>
        <row r="1759">
          <cell r="A1759" t="str">
            <v>BC0378-S</v>
          </cell>
          <cell r="B1759" t="str">
            <v>C378</v>
          </cell>
          <cell r="C1759" t="str">
            <v>เยื่อไผ่ แขนยาวขายาว ทิวลิป ปกเขียว S</v>
          </cell>
          <cell r="E1759">
            <v>0</v>
          </cell>
          <cell r="F1759">
            <v>990</v>
          </cell>
        </row>
        <row r="1760">
          <cell r="A1760" t="str">
            <v>BC0378-XL</v>
          </cell>
          <cell r="B1760" t="str">
            <v>C378</v>
          </cell>
          <cell r="C1760" t="str">
            <v>เยื่อไผ่ แขนยาวขายาว ทิวลิป ปกเขียว XL</v>
          </cell>
          <cell r="E1760">
            <v>0</v>
          </cell>
          <cell r="F1760">
            <v>990</v>
          </cell>
        </row>
        <row r="1761">
          <cell r="A1761" t="str">
            <v>BC0379-L</v>
          </cell>
          <cell r="B1761" t="str">
            <v>C379</v>
          </cell>
          <cell r="C1761" t="str">
            <v>เยื่อไผ่ แขนยาวขายาว ทิวลิป ปกชมพู L</v>
          </cell>
          <cell r="E1761">
            <v>0</v>
          </cell>
          <cell r="F1761">
            <v>990</v>
          </cell>
        </row>
        <row r="1762">
          <cell r="A1762" t="str">
            <v>BC0379-M</v>
          </cell>
          <cell r="B1762" t="str">
            <v>C379</v>
          </cell>
          <cell r="C1762" t="str">
            <v>เยื่อไผ่ แขนยาวขายาว ทิวลิป ปกชมพู M</v>
          </cell>
          <cell r="E1762">
            <v>0</v>
          </cell>
          <cell r="F1762">
            <v>990</v>
          </cell>
        </row>
        <row r="1763">
          <cell r="A1763" t="str">
            <v>BC0379-S</v>
          </cell>
          <cell r="B1763" t="str">
            <v>C379</v>
          </cell>
          <cell r="C1763" t="str">
            <v>เยื่อไผ่ แขนยาวขายาว ทิวลิป ปกชมพู S</v>
          </cell>
          <cell r="E1763">
            <v>0</v>
          </cell>
          <cell r="F1763">
            <v>990</v>
          </cell>
        </row>
        <row r="1764">
          <cell r="A1764" t="str">
            <v>BC0379-XL</v>
          </cell>
          <cell r="B1764" t="str">
            <v>C379</v>
          </cell>
          <cell r="C1764" t="str">
            <v>เยื่อไผ่ แขนยาวขายาว ทิวลิป ปกชมพู XL</v>
          </cell>
          <cell r="E1764">
            <v>0</v>
          </cell>
          <cell r="F1764">
            <v>990</v>
          </cell>
        </row>
        <row r="1765">
          <cell r="A1765" t="str">
            <v>BC0380-L</v>
          </cell>
          <cell r="B1765" t="str">
            <v>C380</v>
          </cell>
          <cell r="C1765" t="str">
            <v>เยื่อไผ่ แขนยาวขายาว ดอกอัญชัน พื้นครีม L</v>
          </cell>
          <cell r="E1765">
            <v>0</v>
          </cell>
          <cell r="F1765">
            <v>990</v>
          </cell>
        </row>
        <row r="1766">
          <cell r="A1766" t="str">
            <v>BC0380-M</v>
          </cell>
          <cell r="B1766" t="str">
            <v>C380</v>
          </cell>
          <cell r="C1766" t="str">
            <v>เยื่อไผ่ แขนยาวขายาว ดอกอัญชัน พื้นครีม M</v>
          </cell>
          <cell r="E1766">
            <v>0</v>
          </cell>
          <cell r="F1766">
            <v>990</v>
          </cell>
        </row>
        <row r="1767">
          <cell r="A1767" t="str">
            <v>BC0380-S</v>
          </cell>
          <cell r="B1767" t="str">
            <v>BC380</v>
          </cell>
          <cell r="C1767" t="str">
            <v>เยื่อไผ่ แขนยาวขายาว ดอกอัญชัน พื้นครีม S</v>
          </cell>
          <cell r="E1767">
            <v>0</v>
          </cell>
          <cell r="F1767">
            <v>990</v>
          </cell>
        </row>
        <row r="1768">
          <cell r="A1768" t="str">
            <v>BC0380-XL</v>
          </cell>
          <cell r="B1768" t="str">
            <v>C380</v>
          </cell>
          <cell r="C1768" t="str">
            <v>เยื่อไผ่ แขนยาวขายาว ดอกอัญชัน พื้นครีม XL</v>
          </cell>
          <cell r="E1768">
            <v>0</v>
          </cell>
          <cell r="F1768">
            <v>990</v>
          </cell>
        </row>
        <row r="1769">
          <cell r="A1769" t="str">
            <v>BC0383-L</v>
          </cell>
          <cell r="B1769" t="str">
            <v>C383</v>
          </cell>
          <cell r="C1769" t="str">
            <v>เยื่อไผ่ แขนยาวขายาว Alphabet พื้นครีม L</v>
          </cell>
          <cell r="E1769">
            <v>0</v>
          </cell>
          <cell r="F1769">
            <v>990</v>
          </cell>
        </row>
        <row r="1770">
          <cell r="A1770" t="str">
            <v>BC0383-M</v>
          </cell>
          <cell r="B1770" t="str">
            <v>QC383</v>
          </cell>
          <cell r="C1770" t="str">
            <v>เยื่อไผ่ แขนยาวขายาว Alphabet พื้นครีม M QC</v>
          </cell>
          <cell r="E1770">
            <v>0</v>
          </cell>
          <cell r="F1770">
            <v>990</v>
          </cell>
        </row>
        <row r="1771">
          <cell r="A1771" t="str">
            <v>BC0383-S</v>
          </cell>
          <cell r="B1771" t="str">
            <v>QC383</v>
          </cell>
          <cell r="C1771" t="str">
            <v>เยื่อไผ่ แขนยาวขายาว Alphabet พื้นครีม S QC</v>
          </cell>
          <cell r="E1771">
            <v>0</v>
          </cell>
          <cell r="F1771">
            <v>990</v>
          </cell>
        </row>
        <row r="1772">
          <cell r="A1772" t="str">
            <v>BC0383-XL</v>
          </cell>
          <cell r="B1772" t="str">
            <v>C383</v>
          </cell>
          <cell r="C1772" t="str">
            <v>เยื่อไผ่ แขนยาวขายาว Alphabet พื้นครีม XL</v>
          </cell>
          <cell r="E1772">
            <v>0</v>
          </cell>
          <cell r="F1772">
            <v>990</v>
          </cell>
        </row>
        <row r="1773">
          <cell r="A1773" t="str">
            <v>BC0384-L</v>
          </cell>
          <cell r="B1773" t="str">
            <v>C384</v>
          </cell>
          <cell r="C1773" t="str">
            <v>เยื่อไผ่ แขนยาวขายาว ลายทาง gloomy L</v>
          </cell>
          <cell r="E1773">
            <v>0</v>
          </cell>
          <cell r="F1773">
            <v>990</v>
          </cell>
        </row>
        <row r="1774">
          <cell r="A1774" t="str">
            <v>BC0384-M</v>
          </cell>
          <cell r="B1774" t="str">
            <v>C384</v>
          </cell>
          <cell r="C1774" t="str">
            <v>เยื่อไผ่ แขนยาวขายาว ลายทาง gloomy M</v>
          </cell>
          <cell r="E1774">
            <v>0</v>
          </cell>
          <cell r="F1774">
            <v>990</v>
          </cell>
        </row>
        <row r="1775">
          <cell r="A1775" t="str">
            <v>BC0387-L</v>
          </cell>
          <cell r="B1775" t="str">
            <v>C387</v>
          </cell>
          <cell r="C1775" t="str">
            <v>เยื่อไผ่ แขนยาวขายาว rabbit on christmas L</v>
          </cell>
          <cell r="E1775">
            <v>0</v>
          </cell>
          <cell r="F1775">
            <v>990</v>
          </cell>
        </row>
        <row r="1776">
          <cell r="A1776" t="str">
            <v>BC0387-M</v>
          </cell>
          <cell r="B1776" t="str">
            <v>C387</v>
          </cell>
          <cell r="C1776" t="str">
            <v>เยื่อไผ่ แขนยาวขายาว rabbit on christmas M</v>
          </cell>
          <cell r="E1776">
            <v>0</v>
          </cell>
          <cell r="F1776">
            <v>990</v>
          </cell>
        </row>
        <row r="1777">
          <cell r="A1777" t="str">
            <v>BC0387-S</v>
          </cell>
          <cell r="B1777" t="str">
            <v>C387</v>
          </cell>
          <cell r="C1777" t="str">
            <v>เยื่อไผ่ แขนยาวขายาว rabbit on christmas S</v>
          </cell>
          <cell r="E1777">
            <v>0</v>
          </cell>
          <cell r="F1777">
            <v>990</v>
          </cell>
        </row>
        <row r="1778">
          <cell r="A1778" t="str">
            <v>BC0387-XL</v>
          </cell>
          <cell r="B1778" t="str">
            <v>C387</v>
          </cell>
          <cell r="C1778" t="str">
            <v>เยื่อไผ่ แขนยาวขายาว rabbit on christmas XL</v>
          </cell>
          <cell r="E1778">
            <v>0</v>
          </cell>
          <cell r="F1778">
            <v>990</v>
          </cell>
        </row>
        <row r="1779">
          <cell r="A1779" t="str">
            <v>BC0389-L</v>
          </cell>
          <cell r="B1779" t="str">
            <v>C389</v>
          </cell>
          <cell r="C1779" t="str">
            <v>เยื่อไผ่ แขนยาวขายาว ละครสัตว์ พื้นชมพู L</v>
          </cell>
          <cell r="E1779">
            <v>0</v>
          </cell>
          <cell r="F1779">
            <v>990</v>
          </cell>
        </row>
        <row r="1780">
          <cell r="A1780" t="str">
            <v>BC0389-M</v>
          </cell>
          <cell r="B1780" t="str">
            <v>C389</v>
          </cell>
          <cell r="C1780" t="str">
            <v>เยื่อไผ่ แขนยาวขายาว ละครสัตว์ พื้นชมพู M</v>
          </cell>
          <cell r="E1780">
            <v>0</v>
          </cell>
          <cell r="F1780">
            <v>990</v>
          </cell>
        </row>
        <row r="1781">
          <cell r="A1781" t="str">
            <v>BC0389-XL</v>
          </cell>
          <cell r="B1781" t="str">
            <v>C389</v>
          </cell>
          <cell r="C1781" t="str">
            <v>เยื่อไผ่ แขนยาวขายาว ละครสัตว์ พื้นชมพู XL</v>
          </cell>
          <cell r="E1781">
            <v>0</v>
          </cell>
          <cell r="F1781">
            <v>990</v>
          </cell>
        </row>
        <row r="1782">
          <cell r="A1782" t="str">
            <v>BC0390-L</v>
          </cell>
          <cell r="B1782" t="str">
            <v>C390</v>
          </cell>
          <cell r="C1782" t="str">
            <v>เยื่อไผ่ แขนยาวขายาว Baby Dog พื้นครีม L</v>
          </cell>
          <cell r="E1782">
            <v>0</v>
          </cell>
          <cell r="F1782">
            <v>990</v>
          </cell>
        </row>
        <row r="1783">
          <cell r="A1783" t="str">
            <v>BC0390-M</v>
          </cell>
          <cell r="B1783" t="str">
            <v>C390</v>
          </cell>
          <cell r="C1783" t="str">
            <v>เยื่อไผ่ แขนยาวขายาว Baby Dog พื้นครีม M</v>
          </cell>
          <cell r="E1783">
            <v>0</v>
          </cell>
          <cell r="F1783">
            <v>990</v>
          </cell>
        </row>
        <row r="1784">
          <cell r="A1784" t="str">
            <v>BC0391-L</v>
          </cell>
          <cell r="B1784" t="str">
            <v>C391</v>
          </cell>
          <cell r="C1784" t="str">
            <v>เยื่อไผ่ แขนยาวขายาว น้องหมี บัวชมพู L</v>
          </cell>
          <cell r="E1784">
            <v>0</v>
          </cell>
          <cell r="F1784">
            <v>990</v>
          </cell>
        </row>
        <row r="1785">
          <cell r="A1785" t="str">
            <v>BC0391-M</v>
          </cell>
          <cell r="B1785" t="str">
            <v>C391</v>
          </cell>
          <cell r="C1785" t="str">
            <v>เยื่อไผ่ แขนยาวขายาว น้องหมี บัวชมพู M</v>
          </cell>
          <cell r="E1785">
            <v>0</v>
          </cell>
          <cell r="F1785">
            <v>990</v>
          </cell>
        </row>
        <row r="1786">
          <cell r="A1786" t="str">
            <v>BC0396-L</v>
          </cell>
          <cell r="B1786" t="str">
            <v>C396</v>
          </cell>
          <cell r="C1786" t="str">
            <v>เยื่อไผ่ แขนยาวขายาว รวมหมา พื้นครีม คอปกม่วง L</v>
          </cell>
          <cell r="E1786">
            <v>0</v>
          </cell>
          <cell r="F1786">
            <v>990</v>
          </cell>
        </row>
        <row r="1787">
          <cell r="A1787" t="str">
            <v>BC0396-M</v>
          </cell>
          <cell r="B1787" t="str">
            <v>C396</v>
          </cell>
          <cell r="C1787" t="str">
            <v>เยื่อไผ่ แขนยาวขายาว รวมหมา พื้นครีม คอปกม่วง M</v>
          </cell>
          <cell r="E1787">
            <v>0</v>
          </cell>
          <cell r="F1787">
            <v>990</v>
          </cell>
        </row>
        <row r="1788">
          <cell r="A1788" t="str">
            <v>BC0397-L</v>
          </cell>
          <cell r="B1788" t="str">
            <v>C397</v>
          </cell>
          <cell r="C1788" t="str">
            <v>เยื่อไผ่ แขนยาวขายาว กระต่ายพื้นครีม ขอบเขียว L</v>
          </cell>
          <cell r="E1788">
            <v>0</v>
          </cell>
          <cell r="F1788">
            <v>990</v>
          </cell>
        </row>
        <row r="1789">
          <cell r="A1789" t="str">
            <v>BC0397-M</v>
          </cell>
          <cell r="B1789" t="str">
            <v>C397</v>
          </cell>
          <cell r="C1789" t="str">
            <v>เยื่อไผ่ แขนยาวขายาว กระต่ายพื้นครีม ขอบเขียว M</v>
          </cell>
          <cell r="E1789">
            <v>0</v>
          </cell>
          <cell r="F1789">
            <v>990</v>
          </cell>
        </row>
        <row r="1790">
          <cell r="A1790" t="str">
            <v>BC0397-S</v>
          </cell>
          <cell r="B1790" t="str">
            <v>C397</v>
          </cell>
          <cell r="C1790" t="str">
            <v>เยื่อไผ่ แขนยาวขายาว กระต่ายพื้นครีม ขอบเขียว S</v>
          </cell>
          <cell r="E1790">
            <v>0</v>
          </cell>
          <cell r="F1790">
            <v>990</v>
          </cell>
        </row>
        <row r="1791">
          <cell r="A1791" t="str">
            <v>BC0397-XL</v>
          </cell>
          <cell r="B1791" t="str">
            <v>C397</v>
          </cell>
          <cell r="C1791" t="str">
            <v>เยื่อไผ่ แขนยาวขายาว กระต่ายพื้นครีม ขอบเขียว XL</v>
          </cell>
          <cell r="E1791">
            <v>0</v>
          </cell>
          <cell r="F1791">
            <v>990</v>
          </cell>
        </row>
        <row r="1792">
          <cell r="A1792" t="str">
            <v>BD0001-F</v>
          </cell>
          <cell r="B1792" t="str">
            <v>D1</v>
          </cell>
          <cell r="C1792" t="str">
            <v>เยื่อไผ่ เดรส สีคราม Freesize</v>
          </cell>
          <cell r="E1792">
            <v>0</v>
          </cell>
          <cell r="F1792">
            <v>890</v>
          </cell>
        </row>
        <row r="1793">
          <cell r="A1793" t="str">
            <v>BD0002-F</v>
          </cell>
          <cell r="B1793" t="str">
            <v>D2</v>
          </cell>
          <cell r="C1793" t="str">
            <v>เยื่อไผ่ เดรส สีมิ้น Freesize</v>
          </cell>
          <cell r="E1793">
            <v>0</v>
          </cell>
          <cell r="F1793">
            <v>890</v>
          </cell>
        </row>
        <row r="1794">
          <cell r="A1794" t="str">
            <v>BD0003-F</v>
          </cell>
          <cell r="B1794" t="str">
            <v>D3</v>
          </cell>
          <cell r="C1794" t="str">
            <v>เยื่อไผ่ เดรส สีชมพู Freesize</v>
          </cell>
          <cell r="E1794">
            <v>0</v>
          </cell>
          <cell r="F1794">
            <v>890</v>
          </cell>
        </row>
        <row r="1795">
          <cell r="A1795" t="str">
            <v>BD0004-F</v>
          </cell>
          <cell r="B1795" t="str">
            <v>D4</v>
          </cell>
          <cell r="C1795" t="str">
            <v>เยื่อไผ่ เดรส สีขาว Freesize</v>
          </cell>
          <cell r="E1795">
            <v>0</v>
          </cell>
          <cell r="F1795">
            <v>890</v>
          </cell>
        </row>
        <row r="1796">
          <cell r="A1796" t="str">
            <v>BD0005-F</v>
          </cell>
          <cell r="B1796" t="str">
            <v>D5</v>
          </cell>
          <cell r="C1796" t="str">
            <v>เยื่อไผ่ เดรส ดอกไม้น้ำตาล พื้นฟ้า Freesize</v>
          </cell>
          <cell r="E1796">
            <v>0</v>
          </cell>
          <cell r="F1796">
            <v>890</v>
          </cell>
        </row>
        <row r="1797">
          <cell r="A1797" t="str">
            <v>BD0006-L</v>
          </cell>
          <cell r="B1797" t="str">
            <v>D6</v>
          </cell>
          <cell r="C1797" t="str">
            <v>เยื่อไผ่ เดรส สีโอรส ดอกไม้ม่วงเทา L</v>
          </cell>
          <cell r="E1797">
            <v>0</v>
          </cell>
          <cell r="F1797">
            <v>890</v>
          </cell>
        </row>
        <row r="1798">
          <cell r="A1798" t="str">
            <v>BD0006-M</v>
          </cell>
          <cell r="B1798" t="str">
            <v>D6</v>
          </cell>
          <cell r="C1798" t="str">
            <v>เยื่อไผ่ เดรส สีโอรส ดอกไม้ม่วงเทา M</v>
          </cell>
          <cell r="E1798">
            <v>0</v>
          </cell>
          <cell r="F1798">
            <v>890</v>
          </cell>
        </row>
        <row r="1799">
          <cell r="A1799" t="str">
            <v>BD0006-XL</v>
          </cell>
          <cell r="B1799" t="str">
            <v>D6</v>
          </cell>
          <cell r="C1799" t="str">
            <v>เยื่อไผ่ เดรส สีโอรส ดอกไม้ม่วงเทา XL</v>
          </cell>
          <cell r="E1799">
            <v>0</v>
          </cell>
          <cell r="F1799">
            <v>890</v>
          </cell>
        </row>
        <row r="1800">
          <cell r="A1800" t="str">
            <v>BD0007-L</v>
          </cell>
          <cell r="B1800" t="str">
            <v>D7</v>
          </cell>
          <cell r="C1800" t="str">
            <v>เยื่อไผ่ เดรสสายเดี่ยว เขียวจุด L</v>
          </cell>
          <cell r="E1800">
            <v>0</v>
          </cell>
          <cell r="F1800">
            <v>890</v>
          </cell>
        </row>
        <row r="1801">
          <cell r="A1801" t="str">
            <v>BD0007-M</v>
          </cell>
          <cell r="B1801" t="str">
            <v>D7</v>
          </cell>
          <cell r="C1801" t="str">
            <v>เยื่อไผ่ เดรสสายเดี่ยว เขียวจุด M</v>
          </cell>
          <cell r="E1801">
            <v>0</v>
          </cell>
          <cell r="F1801">
            <v>890</v>
          </cell>
        </row>
        <row r="1802">
          <cell r="A1802" t="str">
            <v>BD0007-S</v>
          </cell>
          <cell r="B1802" t="str">
            <v>D7</v>
          </cell>
          <cell r="C1802" t="str">
            <v>เยื่อไผ่ เดรสสายเดี่ยว เขียวจุด S</v>
          </cell>
          <cell r="E1802">
            <v>0</v>
          </cell>
          <cell r="F1802">
            <v>890</v>
          </cell>
        </row>
        <row r="1803">
          <cell r="A1803" t="str">
            <v>BD0008-L</v>
          </cell>
          <cell r="B1803" t="str">
            <v>D8</v>
          </cell>
          <cell r="C1803" t="str">
            <v>เยื่อไผ่ เดรสสายเดี่ยว แดงจุด L</v>
          </cell>
          <cell r="E1803">
            <v>0</v>
          </cell>
          <cell r="F1803">
            <v>890</v>
          </cell>
        </row>
        <row r="1804">
          <cell r="A1804" t="str">
            <v>BD0008-M</v>
          </cell>
          <cell r="B1804" t="str">
            <v>D8</v>
          </cell>
          <cell r="C1804" t="str">
            <v>เยื่อไผ่ เดรสสายเดี่ยว แดงจุด M</v>
          </cell>
          <cell r="E1804">
            <v>0</v>
          </cell>
          <cell r="F1804">
            <v>890</v>
          </cell>
        </row>
        <row r="1805">
          <cell r="A1805" t="str">
            <v>BD0008-S</v>
          </cell>
          <cell r="B1805" t="str">
            <v>D8</v>
          </cell>
          <cell r="C1805" t="str">
            <v>เยื่อไผ่ เดรสสายเดี่ยว แดงจุด S</v>
          </cell>
          <cell r="E1805">
            <v>0</v>
          </cell>
          <cell r="F1805">
            <v>890</v>
          </cell>
        </row>
        <row r="1806">
          <cell r="A1806" t="str">
            <v>BD0009-L</v>
          </cell>
          <cell r="B1806" t="str">
            <v>D9</v>
          </cell>
          <cell r="C1806" t="str">
            <v>เยื่อไผ่ เดรสสายเดี่ยว ม่วงจุด L</v>
          </cell>
          <cell r="E1806">
            <v>0</v>
          </cell>
          <cell r="F1806">
            <v>890</v>
          </cell>
        </row>
        <row r="1807">
          <cell r="A1807" t="str">
            <v>BD0009-M</v>
          </cell>
          <cell r="B1807" t="str">
            <v>D9</v>
          </cell>
          <cell r="C1807" t="str">
            <v>เยื่อไผ่ เดรสสายเดี่ยว ม่วงจุด M</v>
          </cell>
          <cell r="E1807">
            <v>0</v>
          </cell>
          <cell r="F1807">
            <v>890</v>
          </cell>
        </row>
        <row r="1808">
          <cell r="A1808" t="str">
            <v>BD0009-S</v>
          </cell>
          <cell r="B1808" t="str">
            <v>D9</v>
          </cell>
          <cell r="C1808" t="str">
            <v>เยื่อไผ่ เดรสสายเดี่ยว ม่วงจุด S</v>
          </cell>
          <cell r="E1808">
            <v>0</v>
          </cell>
          <cell r="F1808">
            <v>890</v>
          </cell>
        </row>
        <row r="1809">
          <cell r="A1809" t="str">
            <v>BD0010-L</v>
          </cell>
          <cell r="B1809" t="str">
            <v>D10</v>
          </cell>
          <cell r="C1809" t="str">
            <v>เยื่อไผ่ เดรสสายเดี่ยว ชมพูจุด L</v>
          </cell>
          <cell r="E1809">
            <v>0</v>
          </cell>
          <cell r="F1809">
            <v>890</v>
          </cell>
        </row>
        <row r="1810">
          <cell r="A1810" t="str">
            <v>BD0010-M</v>
          </cell>
          <cell r="B1810" t="str">
            <v>D10</v>
          </cell>
          <cell r="C1810" t="str">
            <v>เยื่อไผ่ เดรสสายเดี่ยว ชมพูจุด M</v>
          </cell>
          <cell r="E1810">
            <v>0</v>
          </cell>
          <cell r="F1810">
            <v>890</v>
          </cell>
        </row>
        <row r="1811">
          <cell r="A1811" t="str">
            <v>BD0010-S</v>
          </cell>
          <cell r="B1811" t="str">
            <v>D10</v>
          </cell>
          <cell r="C1811" t="str">
            <v>เยื่อไผ่ เดรสสายเดี่ยว ชมพูจุด S</v>
          </cell>
          <cell r="E1811">
            <v>0</v>
          </cell>
          <cell r="F1811">
            <v>890</v>
          </cell>
        </row>
        <row r="1812">
          <cell r="A1812" t="str">
            <v>BD0011-L</v>
          </cell>
          <cell r="B1812" t="str">
            <v>D11</v>
          </cell>
          <cell r="C1812" t="str">
            <v>เยื่อไผ่ เดรสสายเดี่ยว ขาวจุด L</v>
          </cell>
          <cell r="E1812">
            <v>0</v>
          </cell>
          <cell r="F1812">
            <v>890</v>
          </cell>
        </row>
        <row r="1813">
          <cell r="A1813" t="str">
            <v>BD0011-M</v>
          </cell>
          <cell r="B1813" t="str">
            <v>D11</v>
          </cell>
          <cell r="C1813" t="str">
            <v>เยื่อไผ่ เดรสสายเดี่ยว ขาวจุด M</v>
          </cell>
          <cell r="E1813">
            <v>0</v>
          </cell>
          <cell r="F1813">
            <v>890</v>
          </cell>
        </row>
        <row r="1814">
          <cell r="A1814" t="str">
            <v>BD0011-S</v>
          </cell>
          <cell r="B1814" t="str">
            <v>D11</v>
          </cell>
          <cell r="C1814" t="str">
            <v>เยื่อไผ่ เดรสสายเดี่ยว ขาวจุด S</v>
          </cell>
          <cell r="E1814">
            <v>0</v>
          </cell>
          <cell r="F1814">
            <v>890</v>
          </cell>
        </row>
        <row r="1815">
          <cell r="A1815" t="str">
            <v>BD0012-L</v>
          </cell>
          <cell r="B1815" t="str">
            <v>D12</v>
          </cell>
          <cell r="C1815" t="str">
            <v>เยื่อไผ่ เดรสแขนสั้น พื้นเขียว L</v>
          </cell>
          <cell r="E1815">
            <v>0</v>
          </cell>
          <cell r="F1815">
            <v>890</v>
          </cell>
        </row>
        <row r="1816">
          <cell r="A1816" t="str">
            <v>BD0012-M</v>
          </cell>
          <cell r="B1816" t="str">
            <v>D12</v>
          </cell>
          <cell r="C1816" t="str">
            <v>เยื่อไผ่ เดรสแขนสั้น พื้นเขียว M</v>
          </cell>
          <cell r="E1816">
            <v>0</v>
          </cell>
          <cell r="F1816">
            <v>890</v>
          </cell>
        </row>
        <row r="1817">
          <cell r="A1817" t="str">
            <v>BD0012-XL</v>
          </cell>
          <cell r="B1817" t="str">
            <v>D12</v>
          </cell>
          <cell r="C1817" t="str">
            <v>เยื่อไผ่ เดรสแขนสั้น พื้นเขียว XL</v>
          </cell>
          <cell r="E1817">
            <v>0</v>
          </cell>
          <cell r="F1817">
            <v>890</v>
          </cell>
        </row>
        <row r="1818">
          <cell r="A1818" t="str">
            <v>BD0013-L</v>
          </cell>
          <cell r="B1818" t="str">
            <v>D13</v>
          </cell>
          <cell r="C1818" t="str">
            <v>เยื่อไผ่ เดรสแขนสั้น พื้นชมพูอ่อน L</v>
          </cell>
          <cell r="E1818">
            <v>0</v>
          </cell>
          <cell r="F1818">
            <v>890</v>
          </cell>
        </row>
        <row r="1819">
          <cell r="A1819" t="str">
            <v>BD0013-M</v>
          </cell>
          <cell r="B1819" t="str">
            <v>D13</v>
          </cell>
          <cell r="C1819" t="str">
            <v>เยื่อไผ่ เดรสแขนสั้น พื้นชมพูอ่อน M</v>
          </cell>
          <cell r="E1819">
            <v>0</v>
          </cell>
          <cell r="F1819">
            <v>890</v>
          </cell>
        </row>
        <row r="1820">
          <cell r="A1820" t="str">
            <v>BD0013-XL</v>
          </cell>
          <cell r="B1820" t="str">
            <v>D13</v>
          </cell>
          <cell r="C1820" t="str">
            <v>เยื่อไผ่ เดรสแขนสั้น พื้นชมพูอ่อน XL</v>
          </cell>
          <cell r="E1820">
            <v>0</v>
          </cell>
          <cell r="F1820">
            <v>890</v>
          </cell>
        </row>
        <row r="1821">
          <cell r="A1821" t="str">
            <v>BD0015-L</v>
          </cell>
          <cell r="B1821" t="str">
            <v>D15</v>
          </cell>
          <cell r="C1821" t="str">
            <v>เยื่อไผ่ เดรสแขนสั้น ดอกชบา พื้นเขียวทะเล L</v>
          </cell>
          <cell r="E1821">
            <v>0</v>
          </cell>
          <cell r="F1821">
            <v>890</v>
          </cell>
        </row>
        <row r="1822">
          <cell r="A1822" t="str">
            <v>BD0015-M</v>
          </cell>
          <cell r="B1822" t="str">
            <v>D15</v>
          </cell>
          <cell r="C1822" t="str">
            <v>เยื่อไผ่ เดรสแขนสั้น ดอกชบา พื้นเขียวทะเล M</v>
          </cell>
          <cell r="E1822">
            <v>0</v>
          </cell>
          <cell r="F1822">
            <v>890</v>
          </cell>
        </row>
        <row r="1823">
          <cell r="A1823" t="str">
            <v>BD0015-XL</v>
          </cell>
          <cell r="B1823" t="str">
            <v>D15</v>
          </cell>
          <cell r="C1823" t="str">
            <v>เยื่อไผ่ เดรสแขนสั้น ดอกชบา พื้นเขียวทะเล XL</v>
          </cell>
          <cell r="E1823">
            <v>0</v>
          </cell>
          <cell r="F1823">
            <v>890</v>
          </cell>
        </row>
        <row r="1824">
          <cell r="A1824" t="str">
            <v>BD0017-L</v>
          </cell>
          <cell r="B1824" t="str">
            <v>D17</v>
          </cell>
          <cell r="C1824" t="str">
            <v>เยื่อไผ่ เดรสแขนสั้น สีกรม ดอกไม้ขาว L</v>
          </cell>
          <cell r="E1824">
            <v>0</v>
          </cell>
          <cell r="F1824">
            <v>890</v>
          </cell>
        </row>
        <row r="1825">
          <cell r="A1825" t="str">
            <v>BD0017-M</v>
          </cell>
          <cell r="B1825" t="str">
            <v>D17</v>
          </cell>
          <cell r="C1825" t="str">
            <v>เยื่อไผ่ เดรสแขนสั้น สีกรม ดอกไม้ขาว M</v>
          </cell>
          <cell r="E1825">
            <v>0</v>
          </cell>
          <cell r="F1825">
            <v>890</v>
          </cell>
        </row>
        <row r="1826">
          <cell r="A1826" t="str">
            <v>BD0018-L</v>
          </cell>
          <cell r="B1826" t="str">
            <v>D18</v>
          </cell>
          <cell r="C1826" t="str">
            <v>เยื่อไผ่ เดรสแขนสั้น ดอกไม้ชมพู พื้นฟ้าอ่อน L</v>
          </cell>
          <cell r="E1826">
            <v>0</v>
          </cell>
          <cell r="F1826">
            <v>890</v>
          </cell>
        </row>
        <row r="1827">
          <cell r="A1827" t="str">
            <v>BD0018-M</v>
          </cell>
          <cell r="B1827" t="str">
            <v>D18</v>
          </cell>
          <cell r="C1827" t="str">
            <v>เยื่อไผ่ เดรสแขนสั้น ดอกไม้ชมพู พื้นฟ้าอ่อน M</v>
          </cell>
          <cell r="E1827">
            <v>0</v>
          </cell>
          <cell r="F1827">
            <v>890</v>
          </cell>
        </row>
        <row r="1828">
          <cell r="A1828" t="str">
            <v>BD0018-XL</v>
          </cell>
          <cell r="B1828" t="str">
            <v>D18</v>
          </cell>
          <cell r="C1828" t="str">
            <v>เยื่อไผ่ เดรสแขนสั้น ดอกไม้ชมพู พื้นฟ้าอ่อน XL</v>
          </cell>
          <cell r="E1828">
            <v>0</v>
          </cell>
          <cell r="F1828">
            <v>890</v>
          </cell>
        </row>
        <row r="1829">
          <cell r="A1829" t="str">
            <v>BD0019-L</v>
          </cell>
          <cell r="B1829" t="str">
            <v>D19</v>
          </cell>
          <cell r="C1829" t="str">
            <v>เยื่อไผ่ เดรสแขนสั้น ดอกไม้ม่วง L</v>
          </cell>
          <cell r="E1829">
            <v>0</v>
          </cell>
          <cell r="F1829">
            <v>890</v>
          </cell>
        </row>
        <row r="1830">
          <cell r="A1830" t="str">
            <v>BD0019-M</v>
          </cell>
          <cell r="B1830" t="str">
            <v>D19</v>
          </cell>
          <cell r="C1830" t="str">
            <v>เยื่อไผ่ เดรสแขนสั้น ดอกไม้ม่วง M</v>
          </cell>
          <cell r="E1830">
            <v>0</v>
          </cell>
          <cell r="F1830">
            <v>890</v>
          </cell>
        </row>
        <row r="1831">
          <cell r="A1831" t="str">
            <v>BD0019-XL</v>
          </cell>
          <cell r="B1831" t="str">
            <v>D19</v>
          </cell>
          <cell r="C1831" t="str">
            <v>เยื่อไผ่ เดรสแขนสั้น ดอกไม้ม่วง XL</v>
          </cell>
          <cell r="E1831">
            <v>0</v>
          </cell>
          <cell r="F1831">
            <v>890</v>
          </cell>
        </row>
        <row r="1832">
          <cell r="A1832" t="str">
            <v>BD0020-L</v>
          </cell>
          <cell r="B1832" t="str">
            <v>D20</v>
          </cell>
          <cell r="C1832" t="str">
            <v>เยื่อไผ่ เดรสแขนสั้น ลายพีช L</v>
          </cell>
          <cell r="E1832">
            <v>0</v>
          </cell>
          <cell r="F1832">
            <v>890</v>
          </cell>
        </row>
        <row r="1833">
          <cell r="A1833" t="str">
            <v>BD0020-M</v>
          </cell>
          <cell r="B1833" t="str">
            <v>D20</v>
          </cell>
          <cell r="C1833" t="str">
            <v>เยื่อไผ่ เดรสแขนสั้น ลายพีช M</v>
          </cell>
          <cell r="E1833">
            <v>0</v>
          </cell>
          <cell r="F1833">
            <v>890</v>
          </cell>
        </row>
        <row r="1834">
          <cell r="A1834" t="str">
            <v>BD0020-XL</v>
          </cell>
          <cell r="B1834" t="str">
            <v>D20</v>
          </cell>
          <cell r="C1834" t="str">
            <v>เยื่อไผ่ เดรสแขนสั้น ลายพีช XL</v>
          </cell>
          <cell r="E1834">
            <v>0</v>
          </cell>
          <cell r="F1834">
            <v>890</v>
          </cell>
        </row>
        <row r="1835">
          <cell r="A1835" t="str">
            <v>BD0021-L</v>
          </cell>
          <cell r="B1835" t="str">
            <v>D21</v>
          </cell>
          <cell r="C1835" t="str">
            <v>เยื่อไผ่ เดรสแขนสั้น ลายจุด L</v>
          </cell>
          <cell r="E1835">
            <v>0</v>
          </cell>
          <cell r="F1835">
            <v>890</v>
          </cell>
        </row>
        <row r="1836">
          <cell r="A1836" t="str">
            <v>BD0021-M</v>
          </cell>
          <cell r="B1836" t="str">
            <v>D21</v>
          </cell>
          <cell r="C1836" t="str">
            <v>เยื่อไผ่ เดรสแขนสั้น ลายจุด M</v>
          </cell>
          <cell r="E1836">
            <v>0</v>
          </cell>
          <cell r="F1836">
            <v>890</v>
          </cell>
        </row>
        <row r="1837">
          <cell r="A1837" t="str">
            <v>BD0021-XL</v>
          </cell>
          <cell r="B1837" t="str">
            <v>D21</v>
          </cell>
          <cell r="C1837" t="str">
            <v>เดรสลายจุดแขนสั้น XL</v>
          </cell>
          <cell r="E1837">
            <v>0</v>
          </cell>
          <cell r="F1837">
            <v>890</v>
          </cell>
        </row>
        <row r="1838">
          <cell r="A1838" t="str">
            <v>BD0024-L</v>
          </cell>
          <cell r="B1838" t="str">
            <v>D24</v>
          </cell>
          <cell r="C1838" t="str">
            <v>เยื่อไผ่ เดรส แขนสั้น หมีการ์ตูน ชมพู L</v>
          </cell>
          <cell r="E1838">
            <v>0</v>
          </cell>
          <cell r="F1838">
            <v>890</v>
          </cell>
        </row>
        <row r="1839">
          <cell r="A1839" t="str">
            <v>BD0024-M</v>
          </cell>
          <cell r="B1839" t="str">
            <v>D24</v>
          </cell>
          <cell r="C1839" t="str">
            <v>เยื่อไผ่ เดรส แขนสั้น หมีการ์ตูน ชมพู M</v>
          </cell>
          <cell r="E1839">
            <v>0</v>
          </cell>
          <cell r="F1839">
            <v>890</v>
          </cell>
        </row>
        <row r="1840">
          <cell r="A1840" t="str">
            <v>BD0025-L</v>
          </cell>
          <cell r="B1840" t="str">
            <v>D25</v>
          </cell>
          <cell r="C1840" t="str">
            <v>เยื่อไผ่ เดรสแขนยาว ลายจุด L</v>
          </cell>
          <cell r="E1840">
            <v>0</v>
          </cell>
          <cell r="F1840">
            <v>890</v>
          </cell>
        </row>
        <row r="1841">
          <cell r="A1841" t="str">
            <v>BD0025-M</v>
          </cell>
          <cell r="B1841" t="str">
            <v>D25</v>
          </cell>
          <cell r="C1841" t="str">
            <v>เยื่อไผ่ เดรสแขนยาว ลายจุด M</v>
          </cell>
          <cell r="E1841">
            <v>0</v>
          </cell>
          <cell r="F1841">
            <v>890</v>
          </cell>
        </row>
        <row r="1842">
          <cell r="A1842" t="str">
            <v>BD0025-XL</v>
          </cell>
          <cell r="B1842" t="str">
            <v>D25</v>
          </cell>
          <cell r="C1842" t="str">
            <v>เยื่อไผ่ เดรสแขนยาว ลายจุด XL</v>
          </cell>
          <cell r="E1842">
            <v>0</v>
          </cell>
          <cell r="F1842">
            <v>890</v>
          </cell>
        </row>
        <row r="1843">
          <cell r="A1843" t="str">
            <v>BD0026-L</v>
          </cell>
          <cell r="B1843" t="str">
            <v>D26</v>
          </cell>
          <cell r="C1843" t="str">
            <v>เยื่อไผ่ เดรสแขนยาว ลายทางเทา น้องหมา L</v>
          </cell>
          <cell r="E1843">
            <v>0</v>
          </cell>
          <cell r="F1843">
            <v>890</v>
          </cell>
        </row>
        <row r="1844">
          <cell r="A1844" t="str">
            <v>BD0026-M</v>
          </cell>
          <cell r="B1844" t="str">
            <v>D26</v>
          </cell>
          <cell r="C1844" t="str">
            <v>เยื่อไผ่ เดรสแขนยาว ลายทางเทา น้องหมา M</v>
          </cell>
          <cell r="E1844">
            <v>0</v>
          </cell>
          <cell r="F1844">
            <v>890</v>
          </cell>
        </row>
        <row r="1845">
          <cell r="A1845" t="str">
            <v>BD0026-S</v>
          </cell>
          <cell r="B1845" t="str">
            <v>D26</v>
          </cell>
          <cell r="C1845" t="str">
            <v>เยื่อไผ่ เดรสแขนยาว ลายทางเทา น้องหมา S</v>
          </cell>
          <cell r="E1845">
            <v>0</v>
          </cell>
          <cell r="F1845">
            <v>890</v>
          </cell>
        </row>
        <row r="1846">
          <cell r="A1846" t="str">
            <v>BD0027-L</v>
          </cell>
          <cell r="B1846" t="str">
            <v>D27</v>
          </cell>
          <cell r="C1846" t="str">
            <v>เยื่อไผ่ เดรสแขนยาว ลายพีช L</v>
          </cell>
          <cell r="E1846">
            <v>0</v>
          </cell>
          <cell r="F1846">
            <v>890</v>
          </cell>
        </row>
        <row r="1847">
          <cell r="A1847" t="str">
            <v>BD0027-M</v>
          </cell>
          <cell r="B1847" t="str">
            <v>D27</v>
          </cell>
          <cell r="C1847" t="str">
            <v>เยื่อไผ่ เดรสแขนยาว ลายพีช M</v>
          </cell>
          <cell r="E1847">
            <v>0</v>
          </cell>
          <cell r="F1847">
            <v>890</v>
          </cell>
        </row>
        <row r="1848">
          <cell r="A1848" t="str">
            <v>BD0027-XL</v>
          </cell>
          <cell r="B1848" t="str">
            <v>D27</v>
          </cell>
          <cell r="C1848" t="str">
            <v>เดรสแขนยาวลายพีช XL</v>
          </cell>
          <cell r="E1848">
            <v>0</v>
          </cell>
          <cell r="F1848">
            <v>890</v>
          </cell>
        </row>
        <row r="1849">
          <cell r="A1849" t="str">
            <v>BD0028-L</v>
          </cell>
          <cell r="B1849" t="str">
            <v>D28</v>
          </cell>
          <cell r="C1849" t="str">
            <v>เยื่อไผ่ เดรสแขนยาว เขียวมิ้น มะพร้าว L</v>
          </cell>
          <cell r="E1849">
            <v>0</v>
          </cell>
          <cell r="F1849">
            <v>890</v>
          </cell>
        </row>
        <row r="1850">
          <cell r="A1850" t="str">
            <v>BD0028-M</v>
          </cell>
          <cell r="B1850" t="str">
            <v>D28</v>
          </cell>
          <cell r="C1850" t="str">
            <v>เยื่อไผ่ เดรสแขนยาว เขียวมิ้น มะพร้าว M</v>
          </cell>
          <cell r="E1850">
            <v>0</v>
          </cell>
          <cell r="F1850">
            <v>890</v>
          </cell>
        </row>
        <row r="1851">
          <cell r="A1851" t="str">
            <v>BD0029-L</v>
          </cell>
          <cell r="B1851" t="str">
            <v>D29</v>
          </cell>
          <cell r="C1851" t="str">
            <v>เยื่อไผ่ เดรสแขนยาว ลายทางพาสเทล L</v>
          </cell>
          <cell r="E1851">
            <v>0</v>
          </cell>
          <cell r="F1851">
            <v>890</v>
          </cell>
        </row>
        <row r="1852">
          <cell r="A1852" t="str">
            <v>BD0029-M</v>
          </cell>
          <cell r="B1852" t="str">
            <v>D29</v>
          </cell>
          <cell r="C1852" t="str">
            <v>เดรสลายทางพาสเทลแขนยาว M</v>
          </cell>
          <cell r="E1852">
            <v>0</v>
          </cell>
          <cell r="F1852">
            <v>890</v>
          </cell>
        </row>
        <row r="1853">
          <cell r="A1853" t="str">
            <v>BD0029-S</v>
          </cell>
          <cell r="B1853" t="str">
            <v>D29</v>
          </cell>
          <cell r="C1853" t="str">
            <v>เยื่อไผ่ เดรสแขนยาว ลายทางพาสเทล S</v>
          </cell>
          <cell r="E1853">
            <v>0</v>
          </cell>
          <cell r="F1853">
            <v>890</v>
          </cell>
        </row>
        <row r="1854">
          <cell r="A1854" t="str">
            <v>BD0030-L</v>
          </cell>
          <cell r="B1854" t="str">
            <v>JD30</v>
          </cell>
          <cell r="C1854" t="str">
            <v>เยื่อไผ่ เดรสแขนยาว ลายทางเขียว L ตัวโชว์</v>
          </cell>
          <cell r="E1854">
            <v>0</v>
          </cell>
          <cell r="F1854">
            <v>890</v>
          </cell>
        </row>
        <row r="1855">
          <cell r="A1855" t="str">
            <v>BD0030-M</v>
          </cell>
          <cell r="B1855" t="str">
            <v>JD30</v>
          </cell>
          <cell r="C1855" t="str">
            <v>เยื่อไผ่ เดรสแขนยาว ลายทางเขียว M ตัวโชว์</v>
          </cell>
          <cell r="E1855">
            <v>0</v>
          </cell>
          <cell r="F1855">
            <v>890</v>
          </cell>
        </row>
        <row r="1856">
          <cell r="A1856" t="str">
            <v>BD0030-S</v>
          </cell>
          <cell r="B1856" t="str">
            <v>JD30</v>
          </cell>
          <cell r="C1856" t="str">
            <v>เยื่อไผ่ เดรสแขนยาว ลายทางเขียว S ตัวโชว์</v>
          </cell>
          <cell r="E1856">
            <v>0</v>
          </cell>
          <cell r="F1856">
            <v>890</v>
          </cell>
        </row>
        <row r="1857">
          <cell r="A1857" t="str">
            <v>BD0031-L</v>
          </cell>
          <cell r="B1857" t="str">
            <v>D31</v>
          </cell>
          <cell r="C1857" t="str">
            <v>เยื่อไผ่ เดรสแขนสี่ส่วน สีชมพูอ่อน ลายจุด ขอบฟ้า</v>
          </cell>
          <cell r="E1857">
            <v>0</v>
          </cell>
          <cell r="F1857">
            <v>890</v>
          </cell>
        </row>
        <row r="1858">
          <cell r="A1858" t="str">
            <v>BD0031-M</v>
          </cell>
          <cell r="B1858" t="str">
            <v>D31</v>
          </cell>
          <cell r="C1858" t="str">
            <v>เยื่อไผ่ เดรสแขนสี่ส่วน สีชมพูอ่อน ลายจุด ขอบฟ้า M</v>
          </cell>
          <cell r="E1858">
            <v>0</v>
          </cell>
          <cell r="F1858">
            <v>890</v>
          </cell>
        </row>
        <row r="1859">
          <cell r="A1859" t="str">
            <v>BD0032-L</v>
          </cell>
          <cell r="B1859" t="str">
            <v>D32</v>
          </cell>
          <cell r="C1859" t="str">
            <v>เยื่อไผ่ เดรสแขนสี่ส่วน สีขาว ลายจุดโอโรส ขอบเขียว L</v>
          </cell>
          <cell r="E1859">
            <v>0</v>
          </cell>
          <cell r="F1859">
            <v>890</v>
          </cell>
        </row>
        <row r="1860">
          <cell r="A1860" t="str">
            <v>BD0032-M</v>
          </cell>
          <cell r="B1860" t="str">
            <v>D32</v>
          </cell>
          <cell r="C1860" t="str">
            <v>เยื่อไผ่ เดรสแขนสี่ส่วน สีขาว ลายจุดโอโรส ขอบเขียว M</v>
          </cell>
          <cell r="E1860">
            <v>0</v>
          </cell>
          <cell r="F1860">
            <v>890</v>
          </cell>
        </row>
        <row r="1861">
          <cell r="A1861" t="str">
            <v>BD0033-L</v>
          </cell>
          <cell r="B1861" t="str">
            <v>D33</v>
          </cell>
          <cell r="C1861" t="str">
            <v>เยื่อไผ่ เดรสคอวี สีชมพู ลายดอกไม้ L</v>
          </cell>
          <cell r="E1861">
            <v>0</v>
          </cell>
          <cell r="F1861">
            <v>890</v>
          </cell>
        </row>
        <row r="1862">
          <cell r="A1862" t="str">
            <v>BD0033-XL</v>
          </cell>
          <cell r="B1862" t="str">
            <v>D33</v>
          </cell>
          <cell r="C1862" t="str">
            <v>เยื่อไผ่ เดรสคอวี สีชมพู ลายดอกไม้ XL</v>
          </cell>
          <cell r="E1862">
            <v>0</v>
          </cell>
          <cell r="F1862">
            <v>890</v>
          </cell>
        </row>
        <row r="1863">
          <cell r="A1863" t="str">
            <v>BD0034-M</v>
          </cell>
          <cell r="B1863" t="str">
            <v>D34</v>
          </cell>
          <cell r="C1863" t="str">
            <v>เยื่อไผ่ สายเดี่ยว ชมพูจุด M</v>
          </cell>
          <cell r="E1863">
            <v>0</v>
          </cell>
          <cell r="F1863">
            <v>890</v>
          </cell>
        </row>
        <row r="1864">
          <cell r="A1864" t="str">
            <v>BD0034-S</v>
          </cell>
          <cell r="B1864" t="str">
            <v>D34</v>
          </cell>
          <cell r="C1864" t="str">
            <v>เยื่อไผ่ สายเดี่ยว ชมพูจุด S</v>
          </cell>
          <cell r="E1864">
            <v>0</v>
          </cell>
          <cell r="F1864">
            <v>890</v>
          </cell>
        </row>
        <row r="1865">
          <cell r="A1865" t="str">
            <v>BD0036-L</v>
          </cell>
          <cell r="B1865" t="str">
            <v>D36</v>
          </cell>
          <cell r="C1865" t="str">
            <v>เยื่อไผ่ เดรส แขนยาว ลายทางดำ น้องหมา L</v>
          </cell>
          <cell r="E1865">
            <v>0</v>
          </cell>
          <cell r="F1865">
            <v>890</v>
          </cell>
        </row>
        <row r="1866">
          <cell r="A1866" t="str">
            <v>BD0036-M</v>
          </cell>
          <cell r="B1866" t="str">
            <v>D36</v>
          </cell>
          <cell r="C1866" t="str">
            <v>เยื่อไผ่ เดรสแขนยาว ลายทางดำ น้องหมา M</v>
          </cell>
          <cell r="E1866">
            <v>0</v>
          </cell>
          <cell r="F1866">
            <v>890</v>
          </cell>
        </row>
        <row r="1867">
          <cell r="A1867" t="str">
            <v>BD0036-S</v>
          </cell>
          <cell r="B1867" t="str">
            <v>D36</v>
          </cell>
          <cell r="C1867" t="str">
            <v>เยื่อไผ่ เดรส แขนยาว ลายทางดำ น้องหมา S</v>
          </cell>
          <cell r="E1867">
            <v>0</v>
          </cell>
          <cell r="F1867">
            <v>890</v>
          </cell>
        </row>
        <row r="1868">
          <cell r="A1868" t="str">
            <v>BD0036-XL</v>
          </cell>
          <cell r="B1868" t="str">
            <v>D36</v>
          </cell>
          <cell r="C1868" t="str">
            <v>เยื่อไผ่ เดรส แขนยาว ลายทางดำ น้องหมา XL</v>
          </cell>
          <cell r="E1868">
            <v>0</v>
          </cell>
          <cell r="F1868">
            <v>890</v>
          </cell>
        </row>
        <row r="1869">
          <cell r="A1869" t="str">
            <v>BD0037-L</v>
          </cell>
          <cell r="B1869" t="str">
            <v>D37</v>
          </cell>
          <cell r="C1869" t="str">
            <v>เยื่อไผ่ เดรสแขนสั้น ลายตาราง มะนาว L</v>
          </cell>
          <cell r="E1869">
            <v>0</v>
          </cell>
          <cell r="F1869">
            <v>890</v>
          </cell>
        </row>
        <row r="1870">
          <cell r="A1870" t="str">
            <v>BD0037-M</v>
          </cell>
          <cell r="B1870" t="str">
            <v>D37</v>
          </cell>
          <cell r="C1870" t="str">
            <v>เยื่อไผ่ เดรสแขนสั้น ลายตาราง มะนาว M</v>
          </cell>
          <cell r="E1870">
            <v>0</v>
          </cell>
          <cell r="F1870">
            <v>890</v>
          </cell>
        </row>
        <row r="1871">
          <cell r="A1871" t="str">
            <v>BD0038-L</v>
          </cell>
          <cell r="B1871" t="str">
            <v>D38</v>
          </cell>
          <cell r="C1871" t="str">
            <v>เยื่อไผ่ เดรสแขนสั้น ส้มอิฐ ลายวิว L</v>
          </cell>
          <cell r="E1871">
            <v>0</v>
          </cell>
          <cell r="F1871">
            <v>890</v>
          </cell>
        </row>
        <row r="1872">
          <cell r="A1872" t="str">
            <v>BD0038-M</v>
          </cell>
          <cell r="B1872" t="str">
            <v>D38</v>
          </cell>
          <cell r="C1872" t="str">
            <v>เยื่อไผ่ เดรสแขนสั้น ส้มอิฐ ลายวิว M</v>
          </cell>
          <cell r="E1872">
            <v>0</v>
          </cell>
          <cell r="F1872">
            <v>890</v>
          </cell>
        </row>
        <row r="1873">
          <cell r="A1873" t="str">
            <v>BD0039-L</v>
          </cell>
          <cell r="B1873" t="str">
            <v>D39</v>
          </cell>
          <cell r="C1873" t="str">
            <v>เยื่อไผ่ เดรสแขนสั้นเหลือง ลายวิว L</v>
          </cell>
          <cell r="E1873">
            <v>0</v>
          </cell>
          <cell r="F1873">
            <v>890</v>
          </cell>
        </row>
        <row r="1874">
          <cell r="A1874" t="str">
            <v>BD0039-M</v>
          </cell>
          <cell r="B1874" t="str">
            <v>D39</v>
          </cell>
          <cell r="C1874" t="str">
            <v>เยื่อไผ่ เดรสแขนสั้นเหลือง ลายวิว M</v>
          </cell>
          <cell r="E1874">
            <v>0</v>
          </cell>
          <cell r="F1874">
            <v>890</v>
          </cell>
        </row>
        <row r="1875">
          <cell r="A1875" t="str">
            <v>BD0040-L</v>
          </cell>
          <cell r="B1875" t="str">
            <v>D40</v>
          </cell>
          <cell r="C1875" t="str">
            <v>เยื่อไผ่ เดรสแขนสั้น กราฟฟริก ขาวดำ L</v>
          </cell>
          <cell r="E1875">
            <v>0</v>
          </cell>
          <cell r="F1875">
            <v>890</v>
          </cell>
        </row>
        <row r="1876">
          <cell r="A1876" t="str">
            <v>BD0040-M</v>
          </cell>
          <cell r="B1876" t="str">
            <v>D40</v>
          </cell>
          <cell r="C1876" t="str">
            <v>เยื่อไผ่ เดรสแขนสั้น กราฟฟริก ขาวดำ M</v>
          </cell>
          <cell r="E1876">
            <v>0</v>
          </cell>
          <cell r="F1876">
            <v>890</v>
          </cell>
        </row>
        <row r="1877">
          <cell r="A1877" t="str">
            <v>BD0041-L</v>
          </cell>
          <cell r="B1877" t="str">
            <v>D41</v>
          </cell>
          <cell r="C1877" t="str">
            <v>เยื่อไผ่ เดรสแขนสั้น ลายทางดำ น้องหมา L</v>
          </cell>
          <cell r="E1877">
            <v>0</v>
          </cell>
          <cell r="F1877">
            <v>890</v>
          </cell>
        </row>
        <row r="1878">
          <cell r="A1878" t="str">
            <v>BD0041-S</v>
          </cell>
          <cell r="B1878" t="str">
            <v>D41</v>
          </cell>
          <cell r="C1878" t="str">
            <v>เยื่อไผ่ เดรสแขนสั้น ลายทางดำ น้องหมา S</v>
          </cell>
          <cell r="E1878">
            <v>0</v>
          </cell>
          <cell r="F1878">
            <v>890</v>
          </cell>
        </row>
        <row r="1879">
          <cell r="A1879" t="str">
            <v>BD0042-L</v>
          </cell>
          <cell r="B1879" t="str">
            <v>D42</v>
          </cell>
          <cell r="C1879" t="str">
            <v>เยื่อไผ่ เดรส แขนสั้น คอบัว สีโอรส L</v>
          </cell>
          <cell r="E1879">
            <v>0</v>
          </cell>
          <cell r="F1879">
            <v>890</v>
          </cell>
        </row>
        <row r="1880">
          <cell r="A1880" t="str">
            <v>BD0042-M</v>
          </cell>
          <cell r="B1880" t="str">
            <v>D42</v>
          </cell>
          <cell r="C1880" t="str">
            <v>เยื่อไผ่ เดรส แขนสั้น คอบัว สีโอรส M</v>
          </cell>
          <cell r="E1880">
            <v>0</v>
          </cell>
          <cell r="F1880">
            <v>890</v>
          </cell>
        </row>
        <row r="1881">
          <cell r="A1881" t="str">
            <v>BD0043-L</v>
          </cell>
          <cell r="B1881" t="str">
            <v>D43</v>
          </cell>
          <cell r="C1881" t="str">
            <v>เยื่อไผ่ เดรสแขนสั้น ดอกไม้เล็ก L</v>
          </cell>
          <cell r="E1881">
            <v>0</v>
          </cell>
          <cell r="F1881">
            <v>890</v>
          </cell>
        </row>
        <row r="1882">
          <cell r="A1882" t="str">
            <v>BD0043-M</v>
          </cell>
          <cell r="B1882" t="str">
            <v>D43</v>
          </cell>
          <cell r="C1882" t="str">
            <v>เยื่อไผ่ เดรสแขนสั้น ดอกไม้เล็ก M</v>
          </cell>
          <cell r="E1882">
            <v>0</v>
          </cell>
          <cell r="F1882">
            <v>890</v>
          </cell>
        </row>
        <row r="1883">
          <cell r="A1883" t="str">
            <v>BD0044-L</v>
          </cell>
          <cell r="B1883" t="str">
            <v>BD44</v>
          </cell>
          <cell r="C1883" t="str">
            <v>เยื่อไผ่ เดรสแขนสั้น ลายทางเทา น้องหมา L</v>
          </cell>
          <cell r="E1883">
            <v>0</v>
          </cell>
          <cell r="F1883">
            <v>890</v>
          </cell>
        </row>
        <row r="1884">
          <cell r="A1884" t="str">
            <v>BD0044-M</v>
          </cell>
          <cell r="B1884" t="str">
            <v>D44</v>
          </cell>
          <cell r="C1884" t="str">
            <v>เยื่อไผ่ เดรสแขนสั้น ลายทางเทา น้องหมา M</v>
          </cell>
          <cell r="E1884">
            <v>0</v>
          </cell>
          <cell r="F1884">
            <v>890</v>
          </cell>
        </row>
        <row r="1885">
          <cell r="A1885" t="str">
            <v>BD0044-S</v>
          </cell>
          <cell r="B1885" t="str">
            <v>D44</v>
          </cell>
          <cell r="C1885" t="str">
            <v>เยื่อไผ่ เดรสแขนสั้น ลายทางเทา น้องหมา S</v>
          </cell>
          <cell r="E1885">
            <v>0</v>
          </cell>
          <cell r="F1885">
            <v>890</v>
          </cell>
        </row>
        <row r="1886">
          <cell r="A1886" t="str">
            <v>BD0045-L</v>
          </cell>
          <cell r="B1886" t="str">
            <v>D45</v>
          </cell>
          <cell r="C1886" t="str">
            <v>เยื่อไผ่ เดรสแขนยาว พื้นชมพูอ่อน L</v>
          </cell>
          <cell r="E1886">
            <v>0</v>
          </cell>
          <cell r="F1886">
            <v>890</v>
          </cell>
        </row>
        <row r="1887">
          <cell r="A1887" t="str">
            <v>BD0045-XL</v>
          </cell>
          <cell r="B1887" t="str">
            <v>D45</v>
          </cell>
          <cell r="C1887" t="str">
            <v>เยื่อไผ่ เดรสแขนยาว พื้นชมพูอ่อน XL</v>
          </cell>
          <cell r="E1887">
            <v>0</v>
          </cell>
          <cell r="F1887">
            <v>890</v>
          </cell>
        </row>
        <row r="1888">
          <cell r="A1888" t="str">
            <v>BD0046-L</v>
          </cell>
          <cell r="B1888" t="str">
            <v>D46</v>
          </cell>
          <cell r="C1888" t="str">
            <v>เยื่อไผ่ เดรสแขนยาว พื้นเขียว L</v>
          </cell>
          <cell r="E1888">
            <v>0</v>
          </cell>
          <cell r="F1888">
            <v>890</v>
          </cell>
        </row>
        <row r="1889">
          <cell r="A1889" t="str">
            <v>BD0046-M</v>
          </cell>
          <cell r="B1889" t="str">
            <v>D46</v>
          </cell>
          <cell r="C1889" t="str">
            <v>เยื่อไผ่ เดรสแขนยาว พื้นเขียว M</v>
          </cell>
          <cell r="E1889">
            <v>0</v>
          </cell>
          <cell r="F1889">
            <v>890</v>
          </cell>
        </row>
        <row r="1890">
          <cell r="A1890" t="str">
            <v>BD0046-XL</v>
          </cell>
          <cell r="B1890" t="str">
            <v>D46</v>
          </cell>
          <cell r="C1890" t="str">
            <v>เยื่อไผ่ เดรสแขนยาว พื้นเขียว XL</v>
          </cell>
          <cell r="E1890">
            <v>0</v>
          </cell>
          <cell r="F1890">
            <v>890</v>
          </cell>
        </row>
        <row r="1891">
          <cell r="A1891" t="str">
            <v>BD0047-L</v>
          </cell>
          <cell r="B1891" t="str">
            <v>D47</v>
          </cell>
          <cell r="C1891" t="str">
            <v>เยื่อไผ่ เดรสแขนสั้น คอบัว ลายจุด L</v>
          </cell>
          <cell r="E1891">
            <v>0</v>
          </cell>
          <cell r="F1891">
            <v>890</v>
          </cell>
        </row>
        <row r="1892">
          <cell r="A1892" t="str">
            <v>BD0047-M</v>
          </cell>
          <cell r="B1892" t="str">
            <v>D47</v>
          </cell>
          <cell r="C1892" t="str">
            <v>เยื่อไผ่ เดรสแขนสั้น คอบัว ลายจุด M</v>
          </cell>
          <cell r="E1892">
            <v>0</v>
          </cell>
          <cell r="F1892">
            <v>890</v>
          </cell>
        </row>
        <row r="1893">
          <cell r="A1893" t="str">
            <v>BD0047-S</v>
          </cell>
          <cell r="B1893" t="str">
            <v>JD47</v>
          </cell>
          <cell r="C1893" t="str">
            <v>เยื่อไผ่ เดรสแขนสั้น คอบัว ลายจุด S ตัวโชว์</v>
          </cell>
          <cell r="E1893">
            <v>0</v>
          </cell>
          <cell r="F1893">
            <v>890</v>
          </cell>
        </row>
        <row r="1894">
          <cell r="A1894" t="str">
            <v>BD0048-L</v>
          </cell>
          <cell r="B1894" t="str">
            <v>D48</v>
          </cell>
          <cell r="C1894" t="str">
            <v>เยื่อไผ่ เดรสแขนยาว โบตั๋น โอรสพื้นเขียว L</v>
          </cell>
          <cell r="E1894">
            <v>0</v>
          </cell>
          <cell r="F1894">
            <v>890</v>
          </cell>
        </row>
        <row r="1895">
          <cell r="A1895" t="str">
            <v>BD0048-M</v>
          </cell>
          <cell r="B1895" t="str">
            <v>D48</v>
          </cell>
          <cell r="C1895" t="str">
            <v>เยื่อไผ่ เดรสแขนยาว โบตั๋น โอรสพื้นเขียว M</v>
          </cell>
          <cell r="E1895">
            <v>0</v>
          </cell>
          <cell r="F1895">
            <v>890</v>
          </cell>
        </row>
        <row r="1896">
          <cell r="A1896" t="str">
            <v>BD0048-S</v>
          </cell>
          <cell r="B1896" t="str">
            <v>D48</v>
          </cell>
          <cell r="C1896" t="str">
            <v>เยื่อไผ่ เดรสแขนยาว โบตั๋น โอรสพื้นเขียว S</v>
          </cell>
          <cell r="E1896">
            <v>0</v>
          </cell>
          <cell r="F1896">
            <v>890</v>
          </cell>
        </row>
        <row r="1897">
          <cell r="A1897" t="str">
            <v>BD0049-L</v>
          </cell>
          <cell r="B1897" t="str">
            <v>D49</v>
          </cell>
          <cell r="C1897" t="str">
            <v>เยื่อไผ่ เดรสแขนยาว คอบัว ลายจุด L</v>
          </cell>
          <cell r="E1897">
            <v>0</v>
          </cell>
          <cell r="F1897">
            <v>890</v>
          </cell>
        </row>
        <row r="1898">
          <cell r="A1898" t="str">
            <v>BD0049-M</v>
          </cell>
          <cell r="B1898" t="str">
            <v>D49</v>
          </cell>
          <cell r="C1898" t="str">
            <v>เยื่อไผ่ เดรสแขนยาว คอบัว ลายจุด M</v>
          </cell>
          <cell r="E1898">
            <v>0</v>
          </cell>
          <cell r="F1898">
            <v>890</v>
          </cell>
        </row>
        <row r="1899">
          <cell r="A1899" t="str">
            <v>BD0049-S</v>
          </cell>
          <cell r="B1899" t="str">
            <v>D49</v>
          </cell>
          <cell r="C1899" t="str">
            <v>เยื่อไผ่ เดรสแขนยาว คอบัว ลายจุด S</v>
          </cell>
          <cell r="E1899">
            <v>0</v>
          </cell>
          <cell r="F1899">
            <v>890</v>
          </cell>
        </row>
        <row r="1900">
          <cell r="A1900" t="str">
            <v>BD0050-L</v>
          </cell>
          <cell r="B1900" t="str">
            <v>D50</v>
          </cell>
          <cell r="C1900" t="str">
            <v>เยื่อไผ่ เดรสแขนยาว คอบัว ลายจุด พื้นโอรส L</v>
          </cell>
          <cell r="E1900">
            <v>0</v>
          </cell>
          <cell r="F1900">
            <v>890</v>
          </cell>
        </row>
        <row r="1901">
          <cell r="A1901" t="str">
            <v>BD0050-M</v>
          </cell>
          <cell r="B1901" t="str">
            <v>D50</v>
          </cell>
          <cell r="C1901" t="str">
            <v>เยื่อไผ่ เดรสแขนยาว คอบัว ลายจุด พื้นโอรส M</v>
          </cell>
          <cell r="E1901">
            <v>0</v>
          </cell>
          <cell r="F1901">
            <v>890</v>
          </cell>
        </row>
        <row r="1902">
          <cell r="A1902" t="str">
            <v>BD0050-S</v>
          </cell>
          <cell r="B1902" t="str">
            <v>D50</v>
          </cell>
          <cell r="C1902" t="str">
            <v>เยื่อไผ่ เดรสแขนยาว คอบัว ลายจุด พื้นโอรส S</v>
          </cell>
          <cell r="E1902">
            <v>0</v>
          </cell>
          <cell r="F1902">
            <v>890</v>
          </cell>
        </row>
        <row r="1903">
          <cell r="A1903" t="str">
            <v>BD0051-L</v>
          </cell>
          <cell r="B1903" t="str">
            <v>D51</v>
          </cell>
          <cell r="C1903" t="str">
            <v>เยื่อไผ่ เดรสแขนสั้น คอบัว พื้นชมพูอ่อน L</v>
          </cell>
          <cell r="E1903">
            <v>0</v>
          </cell>
          <cell r="F1903">
            <v>890</v>
          </cell>
        </row>
        <row r="1904">
          <cell r="A1904" t="str">
            <v>BD0051-M</v>
          </cell>
          <cell r="B1904" t="str">
            <v>D51</v>
          </cell>
          <cell r="C1904" t="str">
            <v>เยื่อไผ่ เดรสแขนสั้น คอบัว พื้นชมพูอ่อน M</v>
          </cell>
          <cell r="E1904">
            <v>0</v>
          </cell>
          <cell r="F1904">
            <v>890</v>
          </cell>
        </row>
        <row r="1905">
          <cell r="A1905" t="str">
            <v>BD0052-L</v>
          </cell>
          <cell r="B1905" t="str">
            <v>D52</v>
          </cell>
          <cell r="C1905" t="str">
            <v>เดรส เยื่อไผ่ แขนสั้น คอบัว ดอกไม้ สีโอรส L</v>
          </cell>
          <cell r="E1905">
            <v>0</v>
          </cell>
          <cell r="F1905">
            <v>890</v>
          </cell>
        </row>
        <row r="1906">
          <cell r="A1906" t="str">
            <v>BD0186-L</v>
          </cell>
          <cell r="B1906" t="str">
            <v>D186</v>
          </cell>
          <cell r="C1906" t="str">
            <v>เยื่อไผ่ เดรสแขนสั้น ตารางชมพู L</v>
          </cell>
          <cell r="E1906">
            <v>0</v>
          </cell>
          <cell r="F1906">
            <v>890</v>
          </cell>
        </row>
        <row r="1907">
          <cell r="A1907" t="str">
            <v>BD0186-M</v>
          </cell>
          <cell r="B1907" t="str">
            <v>D186</v>
          </cell>
          <cell r="C1907" t="str">
            <v>เยื่อไผ่ เดรสแขนสั้น ตารางชมพู M</v>
          </cell>
          <cell r="E1907">
            <v>0</v>
          </cell>
          <cell r="F1907">
            <v>890</v>
          </cell>
        </row>
        <row r="1908">
          <cell r="A1908" t="str">
            <v>BD0191-L</v>
          </cell>
          <cell r="B1908" t="str">
            <v>D191</v>
          </cell>
          <cell r="C1908" t="str">
            <v>เยื่อไผ่ เดรสแขนสั้น โบตั๋น โอรสพื้นเขียว L</v>
          </cell>
          <cell r="E1908">
            <v>0</v>
          </cell>
          <cell r="F1908">
            <v>890</v>
          </cell>
        </row>
        <row r="1909">
          <cell r="A1909" t="str">
            <v>BD0191-M</v>
          </cell>
          <cell r="B1909" t="str">
            <v>D191</v>
          </cell>
          <cell r="C1909" t="str">
            <v>เยื่อไผ่ เดรสแขนสั้น โบตั๋น โอรสพื้นเขียว M</v>
          </cell>
          <cell r="E1909">
            <v>0</v>
          </cell>
          <cell r="F1909">
            <v>890</v>
          </cell>
        </row>
        <row r="1910">
          <cell r="A1910" t="str">
            <v>BD0191-S</v>
          </cell>
          <cell r="B1910" t="str">
            <v>D191</v>
          </cell>
          <cell r="C1910" t="str">
            <v>เยื่อไผ่ เดรสแขนสั้น โบตั๋น โอรสพื้นเขียว S</v>
          </cell>
          <cell r="E1910">
            <v>0</v>
          </cell>
          <cell r="F1910">
            <v>890</v>
          </cell>
        </row>
        <row r="1911">
          <cell r="A1911" t="str">
            <v>BD0192-L</v>
          </cell>
          <cell r="B1911" t="str">
            <v>D192</v>
          </cell>
          <cell r="C1911" t="str">
            <v>เยื่อไผ่ เดรส โอรส ขอบขาว L</v>
          </cell>
          <cell r="E1911">
            <v>0</v>
          </cell>
          <cell r="F1911">
            <v>890</v>
          </cell>
        </row>
        <row r="1912">
          <cell r="A1912" t="str">
            <v>BD0192-M</v>
          </cell>
          <cell r="B1912" t="str">
            <v>D192</v>
          </cell>
          <cell r="C1912" t="str">
            <v>เยื่อไผ่ เดรส โอรส ขอบขาว M</v>
          </cell>
          <cell r="E1912">
            <v>0</v>
          </cell>
          <cell r="F1912">
            <v>890</v>
          </cell>
        </row>
        <row r="1913">
          <cell r="A1913" t="str">
            <v>BD0193-L</v>
          </cell>
          <cell r="B1913" t="str">
            <v>D193</v>
          </cell>
          <cell r="C1913" t="str">
            <v>เยื่อไผ่ เดรสสายเดี่ยว+กางเกง แดงจุด L</v>
          </cell>
          <cell r="E1913">
            <v>0</v>
          </cell>
          <cell r="F1913">
            <v>890</v>
          </cell>
        </row>
        <row r="1914">
          <cell r="A1914" t="str">
            <v>BD0193-M</v>
          </cell>
          <cell r="B1914" t="str">
            <v>D193</v>
          </cell>
          <cell r="C1914" t="str">
            <v>เยื่อไผ่ เดรสสายเดี่ยว+กางเกง แดงจุด M</v>
          </cell>
          <cell r="E1914">
            <v>0</v>
          </cell>
          <cell r="F1914">
            <v>890</v>
          </cell>
        </row>
        <row r="1915">
          <cell r="A1915" t="str">
            <v>BD0193-S</v>
          </cell>
          <cell r="B1915" t="str">
            <v>D193</v>
          </cell>
          <cell r="C1915" t="str">
            <v>เยื่อไผ่ เดรสสายเดี่ยว+กางเกง แดงจุด S</v>
          </cell>
          <cell r="E1915">
            <v>0</v>
          </cell>
          <cell r="F1915">
            <v>890</v>
          </cell>
        </row>
        <row r="1916">
          <cell r="A1916" t="str">
            <v>BD0194-L</v>
          </cell>
          <cell r="B1916" t="str">
            <v>D194</v>
          </cell>
          <cell r="C1916" t="str">
            <v>เยื่อไผ่ เดรสสายเดี่ยว+กางเกง ม่วงจุด L</v>
          </cell>
          <cell r="E1916">
            <v>0</v>
          </cell>
          <cell r="F1916">
            <v>890</v>
          </cell>
        </row>
        <row r="1917">
          <cell r="A1917" t="str">
            <v>BD0194-M</v>
          </cell>
          <cell r="B1917" t="str">
            <v>D194</v>
          </cell>
          <cell r="C1917" t="str">
            <v>เยื่อไผ่ เดรสสายเดี่ยว+กางเกง ม่วงจุด M</v>
          </cell>
          <cell r="E1917">
            <v>0</v>
          </cell>
          <cell r="F1917">
            <v>890</v>
          </cell>
        </row>
        <row r="1918">
          <cell r="A1918" t="str">
            <v>BD0194-S</v>
          </cell>
          <cell r="B1918" t="str">
            <v>D194</v>
          </cell>
          <cell r="C1918" t="str">
            <v>เยื่อไผ่ เดรสสายเดี่ยว+กางเกง ม่วงจุด S</v>
          </cell>
          <cell r="E1918">
            <v>0</v>
          </cell>
          <cell r="F1918">
            <v>890</v>
          </cell>
        </row>
        <row r="1919">
          <cell r="A1919" t="str">
            <v>BD0195-L</v>
          </cell>
          <cell r="B1919" t="str">
            <v>D195</v>
          </cell>
          <cell r="C1919" t="str">
            <v>เยื่อไผ่ เดรสสายเดี่ยว+กางเกง ชมพูจุด L</v>
          </cell>
          <cell r="E1919">
            <v>0</v>
          </cell>
          <cell r="F1919">
            <v>890</v>
          </cell>
        </row>
        <row r="1920">
          <cell r="A1920" t="str">
            <v>BD0195-M</v>
          </cell>
          <cell r="B1920" t="str">
            <v>D195</v>
          </cell>
          <cell r="C1920" t="str">
            <v>เยื่อไผ่ เดรสสายเดี่ยว+กางเกง ชมพูจุด M</v>
          </cell>
          <cell r="E1920">
            <v>0</v>
          </cell>
          <cell r="F1920">
            <v>890</v>
          </cell>
        </row>
        <row r="1921">
          <cell r="A1921" t="str">
            <v>BD0195-S</v>
          </cell>
          <cell r="B1921" t="str">
            <v>D195</v>
          </cell>
          <cell r="C1921" t="str">
            <v>เยื่อไผ่ เดรสสายเดี่ยว+กางเกง ชมพูอ่อนจุด S</v>
          </cell>
          <cell r="E1921">
            <v>0</v>
          </cell>
          <cell r="F1921">
            <v>890</v>
          </cell>
        </row>
        <row r="1922">
          <cell r="A1922" t="str">
            <v>BD0196-L</v>
          </cell>
          <cell r="B1922" t="str">
            <v>D196</v>
          </cell>
          <cell r="C1922" t="str">
            <v>เยื่อไผ่ สายเดี่ยว จุดครีม พื้นโอรส L</v>
          </cell>
          <cell r="E1922">
            <v>0</v>
          </cell>
          <cell r="F1922">
            <v>890</v>
          </cell>
        </row>
        <row r="1923">
          <cell r="A1923" t="str">
            <v>BD0196-M</v>
          </cell>
          <cell r="B1923" t="str">
            <v>D196</v>
          </cell>
          <cell r="C1923" t="str">
            <v>เยื่อไผ่ สายเดี่ยว จุดครีม พื้นโอรส M</v>
          </cell>
          <cell r="E1923">
            <v>0</v>
          </cell>
          <cell r="F1923">
            <v>890</v>
          </cell>
        </row>
        <row r="1924">
          <cell r="A1924" t="str">
            <v>BD0196-XL</v>
          </cell>
          <cell r="B1924" t="str">
            <v>D196</v>
          </cell>
          <cell r="C1924" t="str">
            <v>เยื่อไผ่ สายเดี่ยว จุดครีม พื้นโอรส XL</v>
          </cell>
          <cell r="E1924">
            <v>0</v>
          </cell>
          <cell r="F1924">
            <v>890</v>
          </cell>
        </row>
        <row r="1925">
          <cell r="A1925" t="str">
            <v>BD0197-L</v>
          </cell>
          <cell r="B1925" t="str">
            <v>D197</v>
          </cell>
          <cell r="C1925" t="str">
            <v>เยื่อไผ่ สายเดี่ยว จุดโอรส พื้นครีม L</v>
          </cell>
          <cell r="E1925">
            <v>0</v>
          </cell>
          <cell r="F1925">
            <v>890</v>
          </cell>
        </row>
        <row r="1926">
          <cell r="A1926" t="str">
            <v>BD0197-M</v>
          </cell>
          <cell r="B1926" t="str">
            <v>D197</v>
          </cell>
          <cell r="C1926" t="str">
            <v>เยื่อไผ่ สายเดี่ยว จุดโอรส พื้นครีม M</v>
          </cell>
          <cell r="E1926">
            <v>0</v>
          </cell>
          <cell r="F1926">
            <v>890</v>
          </cell>
        </row>
        <row r="1927">
          <cell r="A1927" t="str">
            <v>BD0197-XL</v>
          </cell>
          <cell r="B1927" t="str">
            <v>D197</v>
          </cell>
          <cell r="C1927" t="str">
            <v>เยื่อไผ่ สายเดี่ยว จุดโอรส พื้นครีม XL</v>
          </cell>
          <cell r="E1927">
            <v>0</v>
          </cell>
          <cell r="F1927">
            <v>890</v>
          </cell>
        </row>
        <row r="1928">
          <cell r="A1928" t="str">
            <v>BD0198-L</v>
          </cell>
          <cell r="B1928" t="str">
            <v>D198</v>
          </cell>
          <cell r="C1928" t="str">
            <v>เยื่อไผ่ สายเดี่ยว ดอกไม้เหลือง L</v>
          </cell>
          <cell r="E1928">
            <v>0</v>
          </cell>
          <cell r="F1928">
            <v>890</v>
          </cell>
        </row>
        <row r="1929">
          <cell r="A1929" t="str">
            <v>BD0198-M</v>
          </cell>
          <cell r="B1929" t="str">
            <v>D198</v>
          </cell>
          <cell r="C1929" t="str">
            <v>เยื่อไผ่ สายเดี่ยว ดอกไม้เหลือง M</v>
          </cell>
          <cell r="E1929">
            <v>0</v>
          </cell>
          <cell r="F1929">
            <v>890</v>
          </cell>
        </row>
        <row r="1930">
          <cell r="A1930" t="str">
            <v>BD0198-XL</v>
          </cell>
          <cell r="B1930" t="str">
            <v>D198</v>
          </cell>
          <cell r="C1930" t="str">
            <v>เยื่อไผ่ สายเดี่ยว ดอกไม้เหลือง XL</v>
          </cell>
          <cell r="E1930">
            <v>0</v>
          </cell>
          <cell r="F1930">
            <v>890</v>
          </cell>
        </row>
        <row r="1931">
          <cell r="A1931" t="str">
            <v>BD0199-L</v>
          </cell>
          <cell r="B1931" t="str">
            <v>D199</v>
          </cell>
          <cell r="C1931" t="str">
            <v>เยื่อไผ่ สายเดี่ยว ดอกไม้โอรส พื้นฟ้า L</v>
          </cell>
          <cell r="E1931">
            <v>0</v>
          </cell>
          <cell r="F1931">
            <v>890</v>
          </cell>
        </row>
        <row r="1932">
          <cell r="A1932" t="str">
            <v>BD0199-M</v>
          </cell>
          <cell r="B1932" t="str">
            <v>D199</v>
          </cell>
          <cell r="C1932" t="str">
            <v>เยื่อไผ่ สายเดี่ยว ดอกไม้โอรส พื้นฟ้า M</v>
          </cell>
          <cell r="E1932">
            <v>0</v>
          </cell>
          <cell r="F1932">
            <v>890</v>
          </cell>
        </row>
        <row r="1933">
          <cell r="A1933" t="str">
            <v>BD0199-XL</v>
          </cell>
          <cell r="B1933" t="str">
            <v>D199</v>
          </cell>
          <cell r="C1933" t="str">
            <v>เยื่อไผ่ สายเดี่ยวแดอกไม้โอรส พื้นฟ้า XL</v>
          </cell>
          <cell r="E1933">
            <v>0</v>
          </cell>
          <cell r="F1933">
            <v>890</v>
          </cell>
        </row>
        <row r="1934">
          <cell r="A1934" t="str">
            <v>BD0200-L</v>
          </cell>
          <cell r="B1934" t="str">
            <v>D200</v>
          </cell>
          <cell r="C1934" t="str">
            <v>เยื่อไผ่ สายเดี่ยว+กางเกง เขียวจุด  L</v>
          </cell>
          <cell r="E1934">
            <v>0</v>
          </cell>
          <cell r="F1934">
            <v>890</v>
          </cell>
        </row>
        <row r="1935">
          <cell r="A1935" t="str">
            <v>BD0200-M</v>
          </cell>
          <cell r="B1935" t="str">
            <v>D200</v>
          </cell>
          <cell r="C1935" t="str">
            <v>เยื่อไผ่ สายเดี่ยว+กางเกง เขียวจุด  M</v>
          </cell>
          <cell r="E1935">
            <v>0</v>
          </cell>
          <cell r="F1935">
            <v>890</v>
          </cell>
        </row>
        <row r="1936">
          <cell r="A1936" t="str">
            <v>BD0200-S</v>
          </cell>
          <cell r="B1936" t="str">
            <v>D200</v>
          </cell>
          <cell r="C1936" t="str">
            <v>เยื่อไผ่ สายเดี่ยว+กางเกง เขียวจุด  S</v>
          </cell>
          <cell r="E1936">
            <v>0</v>
          </cell>
          <cell r="F1936">
            <v>890</v>
          </cell>
        </row>
        <row r="1937">
          <cell r="A1937" t="str">
            <v>BD0201-M</v>
          </cell>
          <cell r="B1937" t="str">
            <v>D201</v>
          </cell>
          <cell r="C1937" t="str">
            <v>เยื่อไผ่ สายเดี่ยว ดอกไม้แดงเล็ก พื้นขาว M</v>
          </cell>
          <cell r="E1937">
            <v>0</v>
          </cell>
          <cell r="F1937">
            <v>890</v>
          </cell>
        </row>
        <row r="1938">
          <cell r="A1938" t="str">
            <v>BD0201-XL</v>
          </cell>
          <cell r="B1938" t="str">
            <v>D201</v>
          </cell>
          <cell r="C1938" t="str">
            <v>เยื่อไผ่ สายเดี่ยว ดอกไม้แดงเล็ก พื้นขาว XL</v>
          </cell>
          <cell r="E1938">
            <v>0</v>
          </cell>
          <cell r="F1938">
            <v>890</v>
          </cell>
        </row>
        <row r="1939">
          <cell r="A1939" t="str">
            <v>BD0202-L</v>
          </cell>
          <cell r="B1939" t="str">
            <v>D202</v>
          </cell>
          <cell r="C1939" t="str">
            <v>เยื่อไผ่ สายเดี่ยว+กางเกง ขาวจุด L</v>
          </cell>
          <cell r="E1939">
            <v>0</v>
          </cell>
          <cell r="F1939">
            <v>890</v>
          </cell>
        </row>
        <row r="1940">
          <cell r="A1940" t="str">
            <v>BD0202-M</v>
          </cell>
          <cell r="B1940" t="str">
            <v>D202</v>
          </cell>
          <cell r="C1940" t="str">
            <v>เยื่อไผ่ สายเดี่ยว+กางเกง ขาวจุด M</v>
          </cell>
          <cell r="E1940">
            <v>0</v>
          </cell>
          <cell r="F1940">
            <v>890</v>
          </cell>
        </row>
        <row r="1941">
          <cell r="A1941" t="str">
            <v>BD0203-L</v>
          </cell>
          <cell r="B1941" t="str">
            <v>D203</v>
          </cell>
          <cell r="C1941" t="str">
            <v>เยื่อไผ่ เดรสแขนห้าส่วน ดอกไม้เล็ก ชมพู พื้นฟ้า L</v>
          </cell>
          <cell r="E1941">
            <v>0</v>
          </cell>
          <cell r="F1941">
            <v>890</v>
          </cell>
        </row>
        <row r="1942">
          <cell r="A1942" t="str">
            <v>BD0203-M</v>
          </cell>
          <cell r="B1942" t="str">
            <v>D203</v>
          </cell>
          <cell r="C1942" t="str">
            <v>เยื่อไผ่ เดรสแขนห้าส่วน ดอกไม้เล็ก ชมพู พื้นฟ้า M</v>
          </cell>
          <cell r="E1942">
            <v>0</v>
          </cell>
          <cell r="F1942">
            <v>890</v>
          </cell>
        </row>
        <row r="1943">
          <cell r="A1943" t="str">
            <v>BD0203-XL</v>
          </cell>
          <cell r="B1943" t="str">
            <v>D203</v>
          </cell>
          <cell r="C1943" t="str">
            <v>เยื่อไผ่ เดรสแขนห้าส่วน ดอกไม้เล็ก ชมพู พื้นฟ้า XL</v>
          </cell>
          <cell r="E1943">
            <v>0</v>
          </cell>
          <cell r="F1943">
            <v>890</v>
          </cell>
        </row>
        <row r="1944">
          <cell r="A1944" t="str">
            <v>BD0204-L</v>
          </cell>
          <cell r="B1944" t="str">
            <v>D204</v>
          </cell>
          <cell r="C1944" t="str">
            <v>เยื่อไผ่ เดรส แขนสั้น ดอกไม้เล็ก พื้นขาว คอปก L</v>
          </cell>
          <cell r="E1944">
            <v>0</v>
          </cell>
          <cell r="F1944">
            <v>890</v>
          </cell>
        </row>
        <row r="1945">
          <cell r="A1945" t="str">
            <v>BD0204-M</v>
          </cell>
          <cell r="B1945" t="str">
            <v>D204</v>
          </cell>
          <cell r="C1945" t="str">
            <v>เยื่อไผ่ เดรส แขนสั้น ดอกไม้เล็ก พื้นขาว คอปก M</v>
          </cell>
          <cell r="E1945">
            <v>0</v>
          </cell>
          <cell r="F1945">
            <v>890</v>
          </cell>
        </row>
        <row r="1946">
          <cell r="A1946" t="str">
            <v>BD0204-XL</v>
          </cell>
          <cell r="B1946" t="str">
            <v>D204</v>
          </cell>
          <cell r="C1946" t="str">
            <v>เยื่อไผ่ เดรส แขนสั้น ดอกไม้เล็ก พื้นขาว คอปก XL</v>
          </cell>
          <cell r="E1946">
            <v>0</v>
          </cell>
          <cell r="F1946">
            <v>890</v>
          </cell>
        </row>
        <row r="1947">
          <cell r="A1947" t="str">
            <v>BD0205-L</v>
          </cell>
          <cell r="B1947" t="str">
            <v>D205</v>
          </cell>
          <cell r="C1947" t="str">
            <v>เยื่อไผ่ เดรส แขนสั้น Wall Flower L</v>
          </cell>
          <cell r="E1947">
            <v>0</v>
          </cell>
          <cell r="F1947">
            <v>890</v>
          </cell>
        </row>
        <row r="1948">
          <cell r="A1948" t="str">
            <v>BD0205-M</v>
          </cell>
          <cell r="B1948" t="str">
            <v>D205</v>
          </cell>
          <cell r="C1948" t="str">
            <v>เยื่อไผ่ เดรส แขนสั้น Wall Flower M</v>
          </cell>
          <cell r="E1948">
            <v>0</v>
          </cell>
          <cell r="F1948">
            <v>890</v>
          </cell>
        </row>
        <row r="1949">
          <cell r="A1949" t="str">
            <v>BD0205-XL</v>
          </cell>
          <cell r="B1949" t="str">
            <v>D205</v>
          </cell>
          <cell r="C1949" t="str">
            <v>เยื่อไผ่ เดรส แขนสั้น Wall Flower XL</v>
          </cell>
          <cell r="E1949">
            <v>0</v>
          </cell>
          <cell r="F1949">
            <v>890</v>
          </cell>
        </row>
        <row r="1950">
          <cell r="A1950" t="str">
            <v>BD0206-2XL</v>
          </cell>
          <cell r="B1950" t="str">
            <v>D206</v>
          </cell>
          <cell r="C1950" t="str">
            <v>เยื่อไผ่ เดรส สายเดี่ยว ตาราง ครีมดำ 2XL</v>
          </cell>
          <cell r="E1950">
            <v>0</v>
          </cell>
          <cell r="F1950">
            <v>890</v>
          </cell>
        </row>
        <row r="1951">
          <cell r="A1951" t="str">
            <v>BD0206-L</v>
          </cell>
          <cell r="B1951" t="str">
            <v>D206</v>
          </cell>
          <cell r="C1951" t="str">
            <v>เยื่อไผ่ เดรส สายเดี่ยว ตาราง ครีมดำ L</v>
          </cell>
          <cell r="E1951">
            <v>0</v>
          </cell>
          <cell r="F1951">
            <v>890</v>
          </cell>
        </row>
        <row r="1952">
          <cell r="A1952" t="str">
            <v>BD0206-M</v>
          </cell>
          <cell r="B1952" t="str">
            <v>D206</v>
          </cell>
          <cell r="C1952" t="str">
            <v>เยื่อไผ่ เดรส สายเดี่ยว ตาราง ครีมดำ M</v>
          </cell>
          <cell r="E1952">
            <v>0</v>
          </cell>
          <cell r="F1952">
            <v>890</v>
          </cell>
        </row>
        <row r="1953">
          <cell r="A1953" t="str">
            <v>BD0206-XL</v>
          </cell>
          <cell r="B1953" t="str">
            <v>D206</v>
          </cell>
          <cell r="C1953" t="str">
            <v>เยื่อไผ่ เดรส สายเดี่ยว ตาราง ครีมดำ XL</v>
          </cell>
          <cell r="E1953">
            <v>0</v>
          </cell>
          <cell r="F1953">
            <v>890</v>
          </cell>
        </row>
        <row r="1954">
          <cell r="A1954" t="str">
            <v>BD0207-2XL</v>
          </cell>
          <cell r="B1954" t="str">
            <v>D207</v>
          </cell>
          <cell r="C1954" t="str">
            <v>เยื่อไผ่ เดรส สายเดี่ยว ตาราง ครีมแดง 2XL</v>
          </cell>
          <cell r="E1954">
            <v>0</v>
          </cell>
          <cell r="F1954">
            <v>890</v>
          </cell>
        </row>
        <row r="1955">
          <cell r="A1955" t="str">
            <v>BD0207-L</v>
          </cell>
          <cell r="B1955" t="str">
            <v>D207</v>
          </cell>
          <cell r="C1955" t="str">
            <v>เยื่อไผ่ เดรส สายเดี่ยว ตาราง ครีมแดง L</v>
          </cell>
          <cell r="E1955">
            <v>0</v>
          </cell>
          <cell r="F1955">
            <v>890</v>
          </cell>
        </row>
        <row r="1956">
          <cell r="A1956" t="str">
            <v>BD0207-M</v>
          </cell>
          <cell r="B1956" t="str">
            <v>D207</v>
          </cell>
          <cell r="C1956" t="str">
            <v>เยื่อไผ่ เดรส สายเดี่ยว ตาราง ครีมแดง M</v>
          </cell>
          <cell r="E1956">
            <v>0</v>
          </cell>
          <cell r="F1956">
            <v>890</v>
          </cell>
        </row>
        <row r="1957">
          <cell r="A1957" t="str">
            <v>BD0207-XL</v>
          </cell>
          <cell r="B1957" t="str">
            <v>D207</v>
          </cell>
          <cell r="C1957" t="str">
            <v>เยื่อไผ่ เดรส สายเดี่ยว ตาราง ครีมแดง XL</v>
          </cell>
          <cell r="E1957">
            <v>1</v>
          </cell>
          <cell r="F1957">
            <v>890</v>
          </cell>
        </row>
        <row r="1958">
          <cell r="A1958" t="str">
            <v>BD0208-2XL</v>
          </cell>
          <cell r="B1958" t="str">
            <v>D208</v>
          </cell>
          <cell r="C1958" t="str">
            <v>เยื่อไผ่ เดรส สายเดี่ยว ตาราง ครีมน้ำตาล 2XL</v>
          </cell>
          <cell r="E1958">
            <v>0</v>
          </cell>
          <cell r="F1958">
            <v>890</v>
          </cell>
        </row>
        <row r="1959">
          <cell r="A1959" t="str">
            <v>BD0208-L</v>
          </cell>
          <cell r="B1959" t="str">
            <v>D208</v>
          </cell>
          <cell r="C1959" t="str">
            <v>เยื่อไผ่ เดรส สายเดี่ยว ตาราง ครีมน้ำตาล L</v>
          </cell>
          <cell r="E1959">
            <v>0</v>
          </cell>
          <cell r="F1959">
            <v>890</v>
          </cell>
        </row>
        <row r="1960">
          <cell r="A1960" t="str">
            <v>BD0208-M</v>
          </cell>
          <cell r="B1960" t="str">
            <v>D208</v>
          </cell>
          <cell r="C1960" t="str">
            <v>เยื่อไผ่ เดรส สายเดี่ยว ตาราง ครีมน้ำตาล M</v>
          </cell>
          <cell r="E1960">
            <v>0</v>
          </cell>
          <cell r="F1960">
            <v>890</v>
          </cell>
        </row>
        <row r="1961">
          <cell r="A1961" t="str">
            <v>BD0208-XL</v>
          </cell>
          <cell r="B1961" t="str">
            <v>D208</v>
          </cell>
          <cell r="C1961" t="str">
            <v>เยื่อไผ่ เดรส สายเดี่ยว ตาราง ครีมน้ำตาล XL</v>
          </cell>
          <cell r="E1961">
            <v>0</v>
          </cell>
          <cell r="F1961">
            <v>890</v>
          </cell>
        </row>
        <row r="1962">
          <cell r="A1962" t="str">
            <v>BD0209-L</v>
          </cell>
          <cell r="B1962" t="str">
            <v>D209</v>
          </cell>
          <cell r="C1962" t="str">
            <v>เยื่อไผ่ เดรส ดอกไม้เล็กชมพู L</v>
          </cell>
          <cell r="E1962">
            <v>0</v>
          </cell>
          <cell r="F1962">
            <v>890</v>
          </cell>
        </row>
        <row r="1963">
          <cell r="A1963" t="str">
            <v>BD0209-M</v>
          </cell>
          <cell r="B1963" t="str">
            <v>D209</v>
          </cell>
          <cell r="C1963" t="str">
            <v>เยื่อไผ่ เดรส ดอกไม้เล็กชมพู M</v>
          </cell>
          <cell r="E1963">
            <v>0</v>
          </cell>
          <cell r="F1963">
            <v>890</v>
          </cell>
        </row>
        <row r="1964">
          <cell r="A1964" t="str">
            <v>BD0209-XL</v>
          </cell>
          <cell r="B1964" t="str">
            <v>D209</v>
          </cell>
          <cell r="C1964" t="str">
            <v>เยื่อไผ่ เดรส ดอกไม้เล็กชมพู XL</v>
          </cell>
          <cell r="E1964">
            <v>0</v>
          </cell>
          <cell r="F1964">
            <v>890</v>
          </cell>
        </row>
        <row r="1965">
          <cell r="A1965" t="str">
            <v>BD0210-L</v>
          </cell>
          <cell r="B1965" t="str">
            <v>JD210</v>
          </cell>
          <cell r="C1965" t="str">
            <v>เยื่อไผ่ เดรส ดอกไม้ขาว พื้นฟ้า L ตัวโชว์</v>
          </cell>
          <cell r="E1965">
            <v>0</v>
          </cell>
          <cell r="F1965">
            <v>890</v>
          </cell>
        </row>
        <row r="1966">
          <cell r="A1966" t="str">
            <v>BD0210-M</v>
          </cell>
          <cell r="B1966" t="str">
            <v>JD210</v>
          </cell>
          <cell r="C1966" t="str">
            <v>เยื่อไผ่ เดรส ดอกไม้ขาว พื้นฟ้า M ตัวโชว์</v>
          </cell>
          <cell r="E1966">
            <v>0</v>
          </cell>
          <cell r="F1966">
            <v>890</v>
          </cell>
        </row>
        <row r="1967">
          <cell r="A1967" t="str">
            <v>BD0210-XL</v>
          </cell>
          <cell r="B1967" t="str">
            <v>JD210</v>
          </cell>
          <cell r="C1967" t="str">
            <v>เยื่อไผ่ เดรส ดอกไม้ขาว พื้นฟ้า XL ตัวโชว์</v>
          </cell>
          <cell r="E1967">
            <v>0</v>
          </cell>
          <cell r="F1967">
            <v>890</v>
          </cell>
        </row>
        <row r="1968">
          <cell r="A1968" t="str">
            <v>BD0211-L</v>
          </cell>
          <cell r="B1968" t="str">
            <v>D211</v>
          </cell>
          <cell r="C1968" t="str">
            <v>เยื่อไผ่ เดรสแขนยาว พื้นขาว ดอกไม้เล็ก เขียวชมพู L</v>
          </cell>
          <cell r="E1968">
            <v>0</v>
          </cell>
          <cell r="F1968">
            <v>890</v>
          </cell>
        </row>
        <row r="1969">
          <cell r="A1969" t="str">
            <v>BD0211-M</v>
          </cell>
          <cell r="B1969" t="str">
            <v>D211</v>
          </cell>
          <cell r="C1969" t="str">
            <v>เยื่อไผ่ เดรสแขนยาว พื้นขาว ดอกไม้เล็ก เขียวชมพู M</v>
          </cell>
          <cell r="E1969">
            <v>0</v>
          </cell>
          <cell r="F1969">
            <v>890</v>
          </cell>
        </row>
        <row r="1970">
          <cell r="A1970" t="str">
            <v>BD0211-S</v>
          </cell>
          <cell r="B1970" t="str">
            <v>D211</v>
          </cell>
          <cell r="C1970" t="str">
            <v>เยื่อไผ่ เดรสแขนยาว พื้นขาว ดอกไม้เล็ก เขียวชมพู S</v>
          </cell>
          <cell r="E1970">
            <v>0</v>
          </cell>
          <cell r="F1970">
            <v>890</v>
          </cell>
        </row>
        <row r="1971">
          <cell r="A1971" t="str">
            <v>BD0212-L</v>
          </cell>
          <cell r="B1971" t="str">
            <v>D212</v>
          </cell>
          <cell r="C1971" t="str">
            <v>เยื่อไผ่ เสื้อกล้าม ขาสั้น ดอกไม้ส้ม L</v>
          </cell>
          <cell r="E1971">
            <v>0</v>
          </cell>
          <cell r="F1971">
            <v>890</v>
          </cell>
        </row>
        <row r="1972">
          <cell r="A1972" t="str">
            <v>BD0212-M</v>
          </cell>
          <cell r="B1972" t="str">
            <v>D212</v>
          </cell>
          <cell r="C1972" t="str">
            <v>เยื่อไผ่ เสื้อกล้าม ขาสั้น ดอกไม้ส้ม M</v>
          </cell>
          <cell r="E1972">
            <v>0</v>
          </cell>
          <cell r="F1972">
            <v>890</v>
          </cell>
        </row>
        <row r="1973">
          <cell r="A1973" t="str">
            <v>BD0213-M</v>
          </cell>
          <cell r="B1973" t="str">
            <v>D213</v>
          </cell>
          <cell r="C1973" t="str">
            <v>เยื่อไผ่ เดรส สายเดี่ยว ดอกไม้ชบาชมพู M</v>
          </cell>
          <cell r="E1973">
            <v>0</v>
          </cell>
          <cell r="F1973">
            <v>890</v>
          </cell>
        </row>
        <row r="1974">
          <cell r="A1974" t="str">
            <v>BD0213-S</v>
          </cell>
          <cell r="B1974" t="str">
            <v>D213</v>
          </cell>
          <cell r="C1974" t="str">
            <v>เยื่อไผ่ เดรส สายเดี่ยว ดอกไม้ชบาชมพู S</v>
          </cell>
          <cell r="E1974">
            <v>0</v>
          </cell>
          <cell r="F1974">
            <v>890</v>
          </cell>
        </row>
        <row r="1975">
          <cell r="A1975" t="str">
            <v>BD0213-XL</v>
          </cell>
          <cell r="B1975" t="str">
            <v>D213</v>
          </cell>
          <cell r="C1975" t="str">
            <v>เยื่อไผ่ เดรส สายเดี่ยว ดอกไม้ชบาชมพู XL</v>
          </cell>
          <cell r="E1975">
            <v>0</v>
          </cell>
          <cell r="F1975">
            <v>890</v>
          </cell>
        </row>
        <row r="1976">
          <cell r="A1976" t="str">
            <v>BD0214-L</v>
          </cell>
          <cell r="B1976" t="str">
            <v>D214</v>
          </cell>
          <cell r="C1976" t="str">
            <v>เยื่อไผ่ เดรสแขนสี่ส่วน พื้นสีขาว ดอกไม้ชมพู ก้านสีเขียว L</v>
          </cell>
          <cell r="E1976">
            <v>0</v>
          </cell>
          <cell r="F1976">
            <v>890</v>
          </cell>
        </row>
        <row r="1977">
          <cell r="A1977" t="str">
            <v>BD0214-M</v>
          </cell>
          <cell r="B1977" t="str">
            <v>D214</v>
          </cell>
          <cell r="C1977" t="str">
            <v>เยื่อไผ่ เดรสแขนสี่ส่วน พื้นสีขาว ดอกไม้ชมพู ก้านสีเขียว M</v>
          </cell>
          <cell r="E1977">
            <v>0</v>
          </cell>
          <cell r="F1977">
            <v>890</v>
          </cell>
        </row>
        <row r="1978">
          <cell r="A1978" t="str">
            <v>BD0215-L</v>
          </cell>
          <cell r="B1978" t="str">
            <v>D215</v>
          </cell>
          <cell r="C1978" t="str">
            <v>เยื่อไผ่ เดรสแขนสี่ส่วน พื้นขาว แตงโม L</v>
          </cell>
          <cell r="E1978">
            <v>0</v>
          </cell>
          <cell r="F1978">
            <v>890</v>
          </cell>
        </row>
        <row r="1979">
          <cell r="A1979" t="str">
            <v>BD0215-M</v>
          </cell>
          <cell r="B1979" t="str">
            <v>D215</v>
          </cell>
          <cell r="C1979" t="str">
            <v>เยื่อไผ่ เดรสแขนสี่ส่วน พื้นขาว แตงโม M</v>
          </cell>
          <cell r="E1979">
            <v>0</v>
          </cell>
          <cell r="F1979">
            <v>890</v>
          </cell>
        </row>
        <row r="1980">
          <cell r="A1980" t="str">
            <v>BD0216-L</v>
          </cell>
          <cell r="B1980" t="str">
            <v>QD216</v>
          </cell>
          <cell r="C1980" t="str">
            <v>เยื่อไผ่ เดรสแขนกุด พื้นสีขาว ลายลูกไม้ L QC</v>
          </cell>
          <cell r="E1980">
            <v>0</v>
          </cell>
          <cell r="F1980">
            <v>890</v>
          </cell>
        </row>
        <row r="1981">
          <cell r="A1981" t="str">
            <v>BD0216-M</v>
          </cell>
          <cell r="B1981" t="str">
            <v>D216</v>
          </cell>
          <cell r="C1981" t="str">
            <v>เยื่อไผ่ เดรสแขนกุด พื้นสีขาว ลายลูกไม้ M</v>
          </cell>
          <cell r="E1981">
            <v>0</v>
          </cell>
          <cell r="F1981">
            <v>590</v>
          </cell>
        </row>
        <row r="1982">
          <cell r="A1982" t="str">
            <v>BD0216-S</v>
          </cell>
          <cell r="B1982" t="str">
            <v>QD216</v>
          </cell>
          <cell r="C1982" t="str">
            <v>เยื่อไผ่ เดรสแขนกุด พื้นสีขาว ลายลูกไม้ S QC</v>
          </cell>
          <cell r="E1982">
            <v>0</v>
          </cell>
          <cell r="F1982">
            <v>890</v>
          </cell>
        </row>
        <row r="1983">
          <cell r="A1983" t="str">
            <v>BD0217-L</v>
          </cell>
          <cell r="B1983" t="str">
            <v>D217</v>
          </cell>
          <cell r="C1983" t="str">
            <v>เยื่อไผ่ เดรส สายเดี่ยว ขาสั้น พื้นขาว ดอกไม้ สดใส L</v>
          </cell>
          <cell r="E1983">
            <v>0</v>
          </cell>
          <cell r="F1983">
            <v>890</v>
          </cell>
        </row>
        <row r="1984">
          <cell r="A1984" t="str">
            <v>BD0217-M</v>
          </cell>
          <cell r="B1984" t="str">
            <v>D217</v>
          </cell>
          <cell r="C1984" t="str">
            <v>เยื่อไผ่ เดรส สายเดี่ยว ขาสั้น พื้นขาว ดอกไม้ สดใส M</v>
          </cell>
          <cell r="E1984">
            <v>0</v>
          </cell>
          <cell r="F1984">
            <v>890</v>
          </cell>
        </row>
        <row r="1985">
          <cell r="A1985" t="str">
            <v>BD0217-S</v>
          </cell>
          <cell r="B1985" t="str">
            <v>D217</v>
          </cell>
          <cell r="C1985" t="str">
            <v>เยื่อไผ่ เดรส สายเดี่ยว ขาสั้น พื้นขาว ดอกไม้ สดใส S</v>
          </cell>
          <cell r="E1985">
            <v>0</v>
          </cell>
          <cell r="F1985">
            <v>890</v>
          </cell>
        </row>
        <row r="1986">
          <cell r="A1986" t="str">
            <v>BD0218-L</v>
          </cell>
          <cell r="B1986" t="str">
            <v>D218</v>
          </cell>
          <cell r="C1986" t="str">
            <v>เยื่อไผ่ เดรส สายเดี่ยว ขาสั้น พืนเหลือง L</v>
          </cell>
          <cell r="E1986">
            <v>0</v>
          </cell>
          <cell r="F1986">
            <v>890</v>
          </cell>
        </row>
        <row r="1987">
          <cell r="A1987" t="str">
            <v>BD0218-M</v>
          </cell>
          <cell r="B1987" t="str">
            <v>D218</v>
          </cell>
          <cell r="C1987" t="str">
            <v>เยื่อไผ่ เดรส สายเดี่ยว ขาสั้น พืนเหลือง M</v>
          </cell>
          <cell r="E1987">
            <v>0</v>
          </cell>
          <cell r="F1987">
            <v>890</v>
          </cell>
        </row>
        <row r="1988">
          <cell r="A1988" t="str">
            <v>BD0218-S</v>
          </cell>
          <cell r="B1988" t="str">
            <v>D218</v>
          </cell>
          <cell r="C1988" t="str">
            <v>เยื่อไผ่ เดรส สายเดี่ยว ขาสั้น พืนเหลือง S</v>
          </cell>
          <cell r="E1988">
            <v>0</v>
          </cell>
          <cell r="F1988">
            <v>890</v>
          </cell>
        </row>
        <row r="1989">
          <cell r="A1989" t="str">
            <v>BD0220-L</v>
          </cell>
          <cell r="B1989" t="str">
            <v>D220</v>
          </cell>
          <cell r="C1989" t="str">
            <v>เยื่อไผ่ เดรส แขนสั้น ดอกไม้จิ๋ว พื้นครีม L</v>
          </cell>
          <cell r="E1989">
            <v>0</v>
          </cell>
          <cell r="F1989">
            <v>890</v>
          </cell>
        </row>
        <row r="1990">
          <cell r="A1990" t="str">
            <v>BD0220-M</v>
          </cell>
          <cell r="B1990" t="str">
            <v>D220</v>
          </cell>
          <cell r="C1990" t="str">
            <v>เยื่อไผ่ เดรส แขนสั้น ดอกไม้จิ๋ว พื้นครีม M</v>
          </cell>
          <cell r="E1990">
            <v>0</v>
          </cell>
          <cell r="F1990">
            <v>490</v>
          </cell>
        </row>
        <row r="1991">
          <cell r="A1991" t="str">
            <v>BD0222-L</v>
          </cell>
          <cell r="B1991" t="str">
            <v>QD222</v>
          </cell>
          <cell r="C1991" t="str">
            <v>เยื่อไผ่ เดรส แขนสั้น พื้นชมพู ดอกไม้เหลือง L QC</v>
          </cell>
          <cell r="E1991">
            <v>0</v>
          </cell>
          <cell r="F1991">
            <v>890</v>
          </cell>
        </row>
        <row r="1992">
          <cell r="A1992" t="str">
            <v>BD0222-M</v>
          </cell>
          <cell r="B1992" t="str">
            <v>QD222</v>
          </cell>
          <cell r="C1992" t="str">
            <v>เยื่อไผ่ เดรส แขนสั้น พื้นชมพู ดอกไม้เหลือง M QC</v>
          </cell>
          <cell r="E1992">
            <v>0</v>
          </cell>
          <cell r="F1992">
            <v>890</v>
          </cell>
        </row>
        <row r="1993">
          <cell r="A1993" t="str">
            <v>BD0223-L</v>
          </cell>
          <cell r="B1993" t="str">
            <v>D223</v>
          </cell>
          <cell r="C1993" t="str">
            <v>เยื่อไผ่ เดรส แขนยาว ดอกมะลิ พื้นชมพู L</v>
          </cell>
          <cell r="E1993">
            <v>0</v>
          </cell>
          <cell r="F1993">
            <v>890</v>
          </cell>
        </row>
        <row r="1994">
          <cell r="A1994" t="str">
            <v>BD0223-M</v>
          </cell>
          <cell r="B1994" t="str">
            <v>D223</v>
          </cell>
          <cell r="C1994" t="str">
            <v>เยื่อไผ่ เดรส แขนยาว ดอกมะลิ พื้นชมพู M</v>
          </cell>
          <cell r="E1994">
            <v>0</v>
          </cell>
          <cell r="F1994">
            <v>890</v>
          </cell>
        </row>
        <row r="1995">
          <cell r="A1995" t="str">
            <v>BD0223-XL</v>
          </cell>
          <cell r="B1995" t="str">
            <v>D223</v>
          </cell>
          <cell r="C1995" t="str">
            <v>เยื่อไผ่ เดรส แขนยาว ดอกมะลิ พื้นชมพู XL</v>
          </cell>
          <cell r="E1995">
            <v>0</v>
          </cell>
          <cell r="F1995">
            <v>890</v>
          </cell>
        </row>
        <row r="1996">
          <cell r="A1996" t="str">
            <v>BD0224-L</v>
          </cell>
          <cell r="B1996" t="str">
            <v>D224</v>
          </cell>
          <cell r="C1996" t="str">
            <v>เยื่อไผ่ เดรส แขนยาว ใบไม้เขียว พื้นครีม L</v>
          </cell>
          <cell r="E1996">
            <v>0</v>
          </cell>
          <cell r="F1996">
            <v>890</v>
          </cell>
        </row>
        <row r="1997">
          <cell r="A1997" t="str">
            <v>BD0224-M</v>
          </cell>
          <cell r="B1997" t="str">
            <v>D224</v>
          </cell>
          <cell r="C1997" t="str">
            <v>เยื่อไผ่ เดรส แขนยาว ใบไม้เขียว พื้นครีม M</v>
          </cell>
          <cell r="E1997">
            <v>0</v>
          </cell>
          <cell r="F1997">
            <v>890</v>
          </cell>
        </row>
        <row r="1998">
          <cell r="A1998" t="str">
            <v>BD0224-XL</v>
          </cell>
          <cell r="B1998" t="str">
            <v>D224</v>
          </cell>
          <cell r="C1998" t="str">
            <v>เยื่อไผ่ เดรส แขนยาว ใบไม้เขียว พื้นครีม XL</v>
          </cell>
          <cell r="E1998">
            <v>0</v>
          </cell>
          <cell r="F1998">
            <v>890</v>
          </cell>
        </row>
        <row r="1999">
          <cell r="A1999" t="str">
            <v>BD0225-L</v>
          </cell>
          <cell r="B1999" t="str">
            <v>D225</v>
          </cell>
          <cell r="C1999" t="str">
            <v>เยื่อไผ่ เดรส แขนยาว กล้วยไม้ขาว พื้นฟ้า L</v>
          </cell>
          <cell r="E1999">
            <v>0</v>
          </cell>
          <cell r="F1999">
            <v>890</v>
          </cell>
        </row>
        <row r="2000">
          <cell r="A2000" t="str">
            <v>BD0225-M</v>
          </cell>
          <cell r="B2000" t="str">
            <v>D225</v>
          </cell>
          <cell r="C2000" t="str">
            <v>เยื่อไผ่ เดรส แขนยาว กล้วยไม้ขาว พื้นฟ้า M</v>
          </cell>
          <cell r="E2000">
            <v>0</v>
          </cell>
          <cell r="F2000">
            <v>890</v>
          </cell>
        </row>
        <row r="2001">
          <cell r="A2001" t="str">
            <v>BD0225-XL</v>
          </cell>
          <cell r="B2001" t="str">
            <v>D225</v>
          </cell>
          <cell r="C2001" t="str">
            <v>เยื่อไผ่ เดรส แขนยาว กล้วยไม้ขาว พื้นฟ้า XL</v>
          </cell>
          <cell r="E2001">
            <v>0</v>
          </cell>
          <cell r="F2001">
            <v>890</v>
          </cell>
        </row>
        <row r="2002">
          <cell r="A2002" t="str">
            <v>BD0346-L</v>
          </cell>
          <cell r="B2002" t="str">
            <v>D346</v>
          </cell>
          <cell r="C2002" t="str">
            <v>เยื่อไผ่ เดรส แขนยาว ไทเกอร์ แอนด์ โคอะล่า L</v>
          </cell>
          <cell r="E2002">
            <v>0</v>
          </cell>
          <cell r="F2002">
            <v>890</v>
          </cell>
        </row>
        <row r="2003">
          <cell r="A2003" t="str">
            <v>BD0346-M</v>
          </cell>
          <cell r="B2003" t="str">
            <v>QD346</v>
          </cell>
          <cell r="C2003" t="str">
            <v>เยื่อไผ่ เดรส แขนยาว ไทเกอร์ แอนด์ โคอะล่า M QC</v>
          </cell>
          <cell r="E2003">
            <v>0</v>
          </cell>
          <cell r="F2003">
            <v>890</v>
          </cell>
        </row>
        <row r="2004">
          <cell r="A2004" t="str">
            <v>BD0346-XL</v>
          </cell>
          <cell r="B2004" t="str">
            <v>D346</v>
          </cell>
          <cell r="C2004" t="str">
            <v>เยื่อไผ่ เดรส แขนยาว ไทเกอร์ แอนด์ โคอะล่า XL</v>
          </cell>
          <cell r="E2004">
            <v>0</v>
          </cell>
          <cell r="F2004">
            <v>890</v>
          </cell>
        </row>
        <row r="2005">
          <cell r="A2005" t="str">
            <v>BE0002-L</v>
          </cell>
          <cell r="B2005" t="str">
            <v>E2</v>
          </cell>
          <cell r="C2005" t="str">
            <v>เยื่อไผ่ สี่ส่วน ผีเสื้อ สีนู้ด L</v>
          </cell>
          <cell r="E2005">
            <v>0</v>
          </cell>
          <cell r="F2005">
            <v>790</v>
          </cell>
        </row>
        <row r="2006">
          <cell r="A2006" t="str">
            <v>BE0002-M</v>
          </cell>
          <cell r="B2006" t="str">
            <v>E2</v>
          </cell>
          <cell r="C2006" t="str">
            <v>เยื่อไผ่ สี่ส่วน ผีเสื้อ สีนู้ด M</v>
          </cell>
          <cell r="E2006">
            <v>0</v>
          </cell>
          <cell r="F2006">
            <v>790</v>
          </cell>
        </row>
        <row r="2007">
          <cell r="A2007" t="str">
            <v>BE0002-XL</v>
          </cell>
          <cell r="B2007" t="str">
            <v>E2</v>
          </cell>
          <cell r="C2007" t="str">
            <v>เยื่อไผ่ สี่ส่วน ผีเสื้อ สีนู้ด XL</v>
          </cell>
          <cell r="E2007">
            <v>0</v>
          </cell>
          <cell r="F2007">
            <v>790</v>
          </cell>
        </row>
        <row r="2008">
          <cell r="A2008" t="str">
            <v>BE0005-L</v>
          </cell>
          <cell r="B2008" t="str">
            <v>E5</v>
          </cell>
          <cell r="C2008" t="str">
            <v>เยื่อไผ่ สี่ส่วน นกนู้ด L</v>
          </cell>
          <cell r="E2008">
            <v>0</v>
          </cell>
          <cell r="F2008">
            <v>790</v>
          </cell>
        </row>
        <row r="2009">
          <cell r="A2009" t="str">
            <v>BE0005-M</v>
          </cell>
          <cell r="B2009" t="str">
            <v>E5</v>
          </cell>
          <cell r="C2009" t="str">
            <v>เยื่อไผ่ สี่ส่วน นกนู้ด M</v>
          </cell>
          <cell r="E2009">
            <v>0</v>
          </cell>
          <cell r="F2009">
            <v>790</v>
          </cell>
        </row>
        <row r="2010">
          <cell r="A2010" t="str">
            <v>BE0005-XL</v>
          </cell>
          <cell r="B2010" t="str">
            <v>E5</v>
          </cell>
          <cell r="C2010" t="str">
            <v>เยื่อไผ่ สี่ส่วน นก นู้ด XL</v>
          </cell>
          <cell r="E2010">
            <v>0</v>
          </cell>
          <cell r="F2010">
            <v>790</v>
          </cell>
        </row>
        <row r="2011">
          <cell r="A2011" t="str">
            <v>BE0006-L</v>
          </cell>
          <cell r="B2011" t="str">
            <v>E6</v>
          </cell>
          <cell r="C2011" t="str">
            <v>เยื่อไผ่ สี่ส่วน นกครีม L</v>
          </cell>
          <cell r="E2011">
            <v>0</v>
          </cell>
          <cell r="F2011">
            <v>790</v>
          </cell>
        </row>
        <row r="2012">
          <cell r="A2012" t="str">
            <v>BE0006-M</v>
          </cell>
          <cell r="B2012" t="str">
            <v>E6</v>
          </cell>
          <cell r="C2012" t="str">
            <v>เยื่อไผ่ สี่ส่วน นกครีม M</v>
          </cell>
          <cell r="E2012">
            <v>0</v>
          </cell>
          <cell r="F2012">
            <v>790</v>
          </cell>
        </row>
        <row r="2013">
          <cell r="A2013" t="str">
            <v>BE0006-XL</v>
          </cell>
          <cell r="B2013" t="str">
            <v>E6</v>
          </cell>
          <cell r="C2013" t="str">
            <v>เยื่อไผ่ สี่ส่วน นกครีม XL</v>
          </cell>
          <cell r="E2013">
            <v>0</v>
          </cell>
          <cell r="F2013">
            <v>790</v>
          </cell>
        </row>
        <row r="2014">
          <cell r="A2014" t="str">
            <v>BE0007-L</v>
          </cell>
          <cell r="B2014" t="str">
            <v>E7</v>
          </cell>
          <cell r="C2014" t="str">
            <v>เยื่อไผ่ สี่ส่วน นกชมพู L</v>
          </cell>
          <cell r="E2014">
            <v>0</v>
          </cell>
          <cell r="F2014">
            <v>790</v>
          </cell>
        </row>
        <row r="2015">
          <cell r="A2015" t="str">
            <v>BE0007-M</v>
          </cell>
          <cell r="B2015" t="str">
            <v>E7</v>
          </cell>
          <cell r="C2015" t="str">
            <v>เยื่อไผ่ สี่ส่วน นกชมพู M</v>
          </cell>
          <cell r="E2015">
            <v>0</v>
          </cell>
          <cell r="F2015">
            <v>790</v>
          </cell>
        </row>
        <row r="2016">
          <cell r="A2016" t="str">
            <v>BE0007-XL</v>
          </cell>
          <cell r="B2016" t="str">
            <v>E7</v>
          </cell>
          <cell r="C2016" t="str">
            <v>เยื่อไผ่ สี่ส่วน นกชมพู XL</v>
          </cell>
          <cell r="E2016">
            <v>0</v>
          </cell>
          <cell r="F2016">
            <v>790</v>
          </cell>
        </row>
        <row r="2017">
          <cell r="A2017" t="str">
            <v>BE0016-L</v>
          </cell>
          <cell r="B2017" t="str">
            <v>E16</v>
          </cell>
          <cell r="C2017" t="str">
            <v>เยื่อไผ่ สี่ส่วน กวาง พื้นกรม L</v>
          </cell>
          <cell r="E2017">
            <v>0</v>
          </cell>
          <cell r="F2017">
            <v>790</v>
          </cell>
        </row>
        <row r="2018">
          <cell r="A2018" t="str">
            <v>BE0016-M</v>
          </cell>
          <cell r="B2018" t="str">
            <v>E16</v>
          </cell>
          <cell r="C2018" t="str">
            <v>เยื่อไผ่ สี่ส่วน กวาง พื้นกรม M</v>
          </cell>
          <cell r="E2018">
            <v>0</v>
          </cell>
          <cell r="F2018">
            <v>790</v>
          </cell>
        </row>
        <row r="2019">
          <cell r="A2019" t="str">
            <v>BE0016-XL</v>
          </cell>
          <cell r="B2019" t="str">
            <v>E16</v>
          </cell>
          <cell r="C2019" t="str">
            <v>เยื่อไผ่ สี่ส่วน กวาง พื้นกรม XL</v>
          </cell>
          <cell r="E2019">
            <v>0</v>
          </cell>
          <cell r="F2019">
            <v>790</v>
          </cell>
        </row>
        <row r="2020">
          <cell r="A2020" t="str">
            <v>BE0017-L</v>
          </cell>
          <cell r="B2020" t="str">
            <v>E17</v>
          </cell>
          <cell r="C2020" t="str">
            <v>เยื่อไผ่ สี่ส่วน กวาง พื้นฟ้า L</v>
          </cell>
          <cell r="E2020">
            <v>0</v>
          </cell>
          <cell r="F2020">
            <v>790</v>
          </cell>
        </row>
        <row r="2021">
          <cell r="A2021" t="str">
            <v>BE0017-M</v>
          </cell>
          <cell r="B2021" t="str">
            <v>E17</v>
          </cell>
          <cell r="C2021" t="str">
            <v>เยื่อไผ่ สี่ส่วน กวาง พื้นฟ้า M</v>
          </cell>
          <cell r="E2021">
            <v>0</v>
          </cell>
          <cell r="F2021">
            <v>790</v>
          </cell>
        </row>
        <row r="2022">
          <cell r="A2022" t="str">
            <v>BE0017-XL</v>
          </cell>
          <cell r="B2022" t="str">
            <v>E17</v>
          </cell>
          <cell r="C2022" t="str">
            <v>เยื่อไผ่ สี่ส่วน กวาง พื้นฟ้า XL</v>
          </cell>
          <cell r="E2022">
            <v>0</v>
          </cell>
          <cell r="F2022">
            <v>790</v>
          </cell>
        </row>
        <row r="2023">
          <cell r="A2023" t="str">
            <v>BE0018-L</v>
          </cell>
          <cell r="B2023" t="str">
            <v>E18</v>
          </cell>
          <cell r="C2023" t="str">
            <v>เยื่อไผ่ สี่ส่วน กวาง พื้นชมพู L</v>
          </cell>
          <cell r="E2023">
            <v>0</v>
          </cell>
          <cell r="F2023">
            <v>790</v>
          </cell>
        </row>
        <row r="2024">
          <cell r="A2024" t="str">
            <v>BE0018-M</v>
          </cell>
          <cell r="B2024" t="str">
            <v>E18</v>
          </cell>
          <cell r="C2024" t="str">
            <v>เยื่อไผ่ สี่ส่วน กวาง พื้นชมพู M</v>
          </cell>
          <cell r="E2024">
            <v>0</v>
          </cell>
          <cell r="F2024">
            <v>790</v>
          </cell>
        </row>
        <row r="2025">
          <cell r="A2025" t="str">
            <v>BE0018-XL</v>
          </cell>
          <cell r="B2025" t="str">
            <v>E18</v>
          </cell>
          <cell r="C2025" t="str">
            <v>เยื่อไผ่ สี่ส่วน กวาง พื้นชมพู XL</v>
          </cell>
          <cell r="E2025">
            <v>0</v>
          </cell>
          <cell r="F2025">
            <v>790</v>
          </cell>
        </row>
        <row r="2026">
          <cell r="A2026" t="str">
            <v>BE0019-L</v>
          </cell>
          <cell r="B2026" t="str">
            <v>E19</v>
          </cell>
          <cell r="C2026" t="str">
            <v>เยื่อไผ่ สี่ส่วน TropicaL ใบไม้เขียว L</v>
          </cell>
          <cell r="E2026">
            <v>0</v>
          </cell>
          <cell r="F2026">
            <v>790</v>
          </cell>
        </row>
        <row r="2027">
          <cell r="A2027" t="str">
            <v>BE0019-M</v>
          </cell>
          <cell r="B2027" t="str">
            <v>E19</v>
          </cell>
          <cell r="C2027" t="str">
            <v>เยื่อไผ่ สี่ส่วน TropicaL ใบไม้เขียว M</v>
          </cell>
          <cell r="E2027">
            <v>0</v>
          </cell>
          <cell r="F2027">
            <v>790</v>
          </cell>
        </row>
        <row r="2028">
          <cell r="A2028" t="str">
            <v>BE0019-XL</v>
          </cell>
          <cell r="B2028" t="str">
            <v>E19</v>
          </cell>
          <cell r="C2028" t="str">
            <v>เยื่อไผ่ สี่ส่วน TropicaL ใบไม้เขียว XL</v>
          </cell>
          <cell r="E2028">
            <v>0</v>
          </cell>
          <cell r="F2028">
            <v>790</v>
          </cell>
        </row>
        <row r="2029">
          <cell r="A2029" t="str">
            <v>BE0027-L</v>
          </cell>
          <cell r="B2029" t="str">
            <v>E27</v>
          </cell>
          <cell r="C2029" t="str">
            <v>เยื่อไผ่ สี่ส่วน ใบไม้ส้ม พื้นฟ้า L</v>
          </cell>
          <cell r="E2029">
            <v>0</v>
          </cell>
          <cell r="F2029">
            <v>790</v>
          </cell>
        </row>
        <row r="2030">
          <cell r="A2030" t="str">
            <v>BE0027-M</v>
          </cell>
          <cell r="B2030" t="str">
            <v>E27</v>
          </cell>
          <cell r="C2030" t="str">
            <v>เยื่อไผ่ สี่ส่วน ใบไม้ส้ม พื้นฟ้า M</v>
          </cell>
          <cell r="E2030">
            <v>0</v>
          </cell>
          <cell r="F2030">
            <v>790</v>
          </cell>
        </row>
        <row r="2031">
          <cell r="A2031" t="str">
            <v>BE0027-XL</v>
          </cell>
          <cell r="B2031" t="str">
            <v>E27</v>
          </cell>
          <cell r="C2031" t="str">
            <v>เยื่อไผ่ สี่ส่วน ใบไม้ส้ม พื้นฟ้า XL</v>
          </cell>
          <cell r="E2031">
            <v>0</v>
          </cell>
          <cell r="F2031">
            <v>790</v>
          </cell>
        </row>
        <row r="2032">
          <cell r="A2032" t="str">
            <v>BE0029-L</v>
          </cell>
          <cell r="B2032" t="str">
            <v>E29</v>
          </cell>
          <cell r="C2032" t="str">
            <v>เยื่อไผ่ สี่ส่วน สีเขียวน้ำทะเล L</v>
          </cell>
          <cell r="E2032">
            <v>0</v>
          </cell>
          <cell r="F2032">
            <v>790</v>
          </cell>
        </row>
        <row r="2033">
          <cell r="A2033" t="str">
            <v>BE0029-M</v>
          </cell>
          <cell r="B2033" t="str">
            <v>E29</v>
          </cell>
          <cell r="C2033" t="str">
            <v>เยื่อไผ่ สี่ส่วน สีเขียวน้ำทะเล M</v>
          </cell>
          <cell r="E2033">
            <v>0</v>
          </cell>
          <cell r="F2033">
            <v>790</v>
          </cell>
        </row>
        <row r="2034">
          <cell r="A2034" t="str">
            <v>BE0029-XL</v>
          </cell>
          <cell r="B2034" t="str">
            <v>E29</v>
          </cell>
          <cell r="C2034" t="str">
            <v>เยื่อไผ่ สี่ส่วน สีเขียวน้ำทะเล XL</v>
          </cell>
          <cell r="E2034">
            <v>0</v>
          </cell>
          <cell r="F2034">
            <v>790</v>
          </cell>
        </row>
        <row r="2035">
          <cell r="A2035" t="str">
            <v>BE0033-L</v>
          </cell>
          <cell r="B2035" t="str">
            <v>E33</v>
          </cell>
          <cell r="C2035" t="str">
            <v>เยื่อไผ่ สี่ส่วน ฮาวาย เหลือง L</v>
          </cell>
          <cell r="E2035">
            <v>0</v>
          </cell>
          <cell r="F2035">
            <v>790</v>
          </cell>
        </row>
        <row r="2036">
          <cell r="A2036" t="str">
            <v>BE0033-M</v>
          </cell>
          <cell r="B2036" t="str">
            <v>E33</v>
          </cell>
          <cell r="C2036" t="str">
            <v>เยื่อไผ่ สี่ส่วน ฮาวาย เหลือง M</v>
          </cell>
          <cell r="E2036">
            <v>0</v>
          </cell>
          <cell r="F2036">
            <v>790</v>
          </cell>
        </row>
        <row r="2037">
          <cell r="A2037" t="str">
            <v>BE0033-XL</v>
          </cell>
          <cell r="B2037" t="str">
            <v>E33</v>
          </cell>
          <cell r="C2037" t="str">
            <v>เยื่อไผ่ สี่ส่วน ฮาวาย เหลือง XL</v>
          </cell>
          <cell r="E2037">
            <v>0</v>
          </cell>
          <cell r="F2037">
            <v>790</v>
          </cell>
        </row>
        <row r="2038">
          <cell r="A2038" t="str">
            <v>BE0036-L</v>
          </cell>
          <cell r="B2038" t="str">
            <v>E36</v>
          </cell>
          <cell r="C2038" t="str">
            <v>เยื่อไผ่ สี่ส่วน ดอกไม้ขาวใหญ่ พื้นเขียว L</v>
          </cell>
          <cell r="E2038">
            <v>0</v>
          </cell>
          <cell r="F2038">
            <v>790</v>
          </cell>
        </row>
        <row r="2039">
          <cell r="A2039" t="str">
            <v>BE0036-M</v>
          </cell>
          <cell r="B2039" t="str">
            <v>E36</v>
          </cell>
          <cell r="C2039" t="str">
            <v>เยื่อไผ่ สี่ส่วน ดอกไม้ขาวใหญ่ พื้นเขียว M</v>
          </cell>
          <cell r="E2039">
            <v>0</v>
          </cell>
          <cell r="F2039">
            <v>790</v>
          </cell>
        </row>
        <row r="2040">
          <cell r="A2040" t="str">
            <v>BE0036-XL</v>
          </cell>
          <cell r="B2040" t="str">
            <v>E36</v>
          </cell>
          <cell r="C2040" t="str">
            <v>เยื่อไผ่ สี่ส่วน ดอกไม้ขาวใหญ่ พื้นเขียว XL</v>
          </cell>
          <cell r="E2040">
            <v>0</v>
          </cell>
          <cell r="F2040">
            <v>790</v>
          </cell>
        </row>
        <row r="2041">
          <cell r="A2041" t="str">
            <v>BE0037-L</v>
          </cell>
          <cell r="B2041" t="str">
            <v>E37</v>
          </cell>
          <cell r="C2041" t="str">
            <v>เยื่อไผ่ สี่ส่วน สีกรม ดอกไม้ขาว L</v>
          </cell>
          <cell r="E2041">
            <v>0</v>
          </cell>
          <cell r="F2041">
            <v>790</v>
          </cell>
        </row>
        <row r="2042">
          <cell r="A2042" t="str">
            <v>BE0037-M</v>
          </cell>
          <cell r="B2042" t="str">
            <v>E37</v>
          </cell>
          <cell r="C2042" t="str">
            <v>เยื่อไผ่ สี่ส่วน สีกรม ดอกไม้ขาว M</v>
          </cell>
          <cell r="E2042">
            <v>0</v>
          </cell>
          <cell r="F2042">
            <v>790</v>
          </cell>
        </row>
        <row r="2043">
          <cell r="A2043" t="str">
            <v>BE0037-XL</v>
          </cell>
          <cell r="B2043" t="str">
            <v>E37</v>
          </cell>
          <cell r="C2043" t="str">
            <v>เยื่อไผ่ สี่ส่วน สีกรม ดอกไม้ขาว XL</v>
          </cell>
          <cell r="E2043">
            <v>0</v>
          </cell>
          <cell r="F2043">
            <v>790</v>
          </cell>
        </row>
        <row r="2044">
          <cell r="A2044" t="str">
            <v>BE0040-L</v>
          </cell>
          <cell r="B2044" t="str">
            <v>E40</v>
          </cell>
          <cell r="C2044" t="str">
            <v>เยื่อไผ่ สี่ส่วน สีน้ำเงิน ดอกไม้ขาว L</v>
          </cell>
          <cell r="E2044">
            <v>0</v>
          </cell>
          <cell r="F2044">
            <v>790</v>
          </cell>
        </row>
        <row r="2045">
          <cell r="A2045" t="str">
            <v>BE0040-M</v>
          </cell>
          <cell r="B2045" t="str">
            <v>E40</v>
          </cell>
          <cell r="C2045" t="str">
            <v>เยื่อไผ่ สี่ส่วน สีน้ำเงิน ดอกไม้ขาว M</v>
          </cell>
          <cell r="E2045">
            <v>0</v>
          </cell>
          <cell r="F2045">
            <v>790</v>
          </cell>
        </row>
        <row r="2046">
          <cell r="A2046" t="str">
            <v>BE0040-XL</v>
          </cell>
          <cell r="B2046" t="str">
            <v>E40</v>
          </cell>
          <cell r="C2046" t="str">
            <v>เยื่อไผ่ สี่ส่วน สีน้ำเงิน ดอกไม้ขาว XL</v>
          </cell>
          <cell r="E2046">
            <v>0</v>
          </cell>
          <cell r="F2046">
            <v>790</v>
          </cell>
        </row>
        <row r="2047">
          <cell r="A2047" t="str">
            <v>BE0041-L</v>
          </cell>
          <cell r="B2047" t="str">
            <v>E41</v>
          </cell>
          <cell r="C2047" t="str">
            <v>เยื่อไผ่ สี่ส่วน ดอกไม้ขาว พื้นเทาอ่อน L</v>
          </cell>
          <cell r="E2047">
            <v>0</v>
          </cell>
          <cell r="F2047">
            <v>790</v>
          </cell>
        </row>
        <row r="2048">
          <cell r="A2048" t="str">
            <v>BE0041-M</v>
          </cell>
          <cell r="B2048" t="str">
            <v>E41</v>
          </cell>
          <cell r="C2048" t="str">
            <v>เยื่อไผ่ สี่ส่วน ดอกไม้ขาว พื้นเทาอ่อน M</v>
          </cell>
          <cell r="E2048">
            <v>0</v>
          </cell>
          <cell r="F2048">
            <v>790</v>
          </cell>
        </row>
        <row r="2049">
          <cell r="A2049" t="str">
            <v>BE0041-XL</v>
          </cell>
          <cell r="B2049" t="str">
            <v>E41</v>
          </cell>
          <cell r="C2049" t="str">
            <v>เยื่อไผ่ สี่ส่วน ดอกไม้ขาว พื้นเทาอ่อน XL</v>
          </cell>
          <cell r="E2049">
            <v>0</v>
          </cell>
          <cell r="F2049">
            <v>790</v>
          </cell>
        </row>
        <row r="2050">
          <cell r="A2050" t="str">
            <v>BE0042-L</v>
          </cell>
          <cell r="B2050" t="str">
            <v>E42</v>
          </cell>
          <cell r="C2050" t="str">
            <v>เยื่อไผ่ สี่ส่วน ดอกไม้ขาว พื้นกรม L</v>
          </cell>
          <cell r="E2050">
            <v>0</v>
          </cell>
          <cell r="F2050">
            <v>790</v>
          </cell>
        </row>
        <row r="2051">
          <cell r="A2051" t="str">
            <v>BE0042-M</v>
          </cell>
          <cell r="B2051" t="str">
            <v>E42</v>
          </cell>
          <cell r="C2051" t="str">
            <v>เยื่อไผ่ สี่ส่วน ดอกไม้ขาว พื้นกรม M</v>
          </cell>
          <cell r="E2051">
            <v>0</v>
          </cell>
          <cell r="F2051">
            <v>790</v>
          </cell>
        </row>
        <row r="2052">
          <cell r="A2052" t="str">
            <v>BE0042-XL</v>
          </cell>
          <cell r="B2052" t="str">
            <v>E42</v>
          </cell>
          <cell r="C2052" t="str">
            <v>เยื่อไผ่ สี่ส่วน ดอกไม้ขาว พื้นกรม XL</v>
          </cell>
          <cell r="E2052">
            <v>0</v>
          </cell>
          <cell r="F2052">
            <v>790</v>
          </cell>
        </row>
        <row r="2053">
          <cell r="A2053" t="str">
            <v>BE0052-L</v>
          </cell>
          <cell r="B2053" t="str">
            <v>E52</v>
          </cell>
          <cell r="C2053" t="str">
            <v>เยื่อไผ่ สี่ส่วน ดอกไม้แดง สีกรม L</v>
          </cell>
          <cell r="E2053">
            <v>0</v>
          </cell>
          <cell r="F2053">
            <v>790</v>
          </cell>
        </row>
        <row r="2054">
          <cell r="A2054" t="str">
            <v>BE0052-M</v>
          </cell>
          <cell r="B2054" t="str">
            <v>E52</v>
          </cell>
          <cell r="C2054" t="str">
            <v>เยื่อไผ่ สี่ส่วน ดอกไม้แดง สีกรม M</v>
          </cell>
          <cell r="E2054">
            <v>0</v>
          </cell>
          <cell r="F2054">
            <v>790</v>
          </cell>
        </row>
        <row r="2055">
          <cell r="A2055" t="str">
            <v>BE0052-XL</v>
          </cell>
          <cell r="B2055" t="str">
            <v>E52</v>
          </cell>
          <cell r="C2055" t="str">
            <v>เยื่อไผ่ สี่ส่วน ดอกไม้แดง สีกรม XL</v>
          </cell>
          <cell r="E2055">
            <v>0</v>
          </cell>
          <cell r="F2055">
            <v>790</v>
          </cell>
        </row>
        <row r="2056">
          <cell r="A2056" t="str">
            <v>BE0053-L</v>
          </cell>
          <cell r="B2056" t="str">
            <v>E53</v>
          </cell>
          <cell r="C2056" t="str">
            <v>เยื่อไผ่ สี่ส่วน เทาเข้ม ดอกไม้แดง L</v>
          </cell>
          <cell r="E2056">
            <v>0</v>
          </cell>
          <cell r="F2056">
            <v>790</v>
          </cell>
        </row>
        <row r="2057">
          <cell r="A2057" t="str">
            <v>BE0053-M</v>
          </cell>
          <cell r="B2057" t="str">
            <v>E53</v>
          </cell>
          <cell r="C2057" t="str">
            <v>เยื่อไผ่ สี่ส่วน เทาเข้ม ดอกไม้แดง M</v>
          </cell>
          <cell r="E2057">
            <v>0</v>
          </cell>
          <cell r="F2057">
            <v>790</v>
          </cell>
        </row>
        <row r="2058">
          <cell r="A2058" t="str">
            <v>BE0053-XL</v>
          </cell>
          <cell r="B2058" t="str">
            <v>E53</v>
          </cell>
          <cell r="C2058" t="str">
            <v>เยื่อไผ่ สี่ส่วน เทาเข้ม ดอกไม้แดง XL</v>
          </cell>
          <cell r="E2058">
            <v>0</v>
          </cell>
          <cell r="F2058">
            <v>790</v>
          </cell>
        </row>
        <row r="2059">
          <cell r="A2059" t="str">
            <v>BE0058-L</v>
          </cell>
          <cell r="B2059" t="str">
            <v>E58</v>
          </cell>
          <cell r="C2059" t="str">
            <v>เยื่อไผ่ สี่ส่วน ดอกไม้กรม ชมพู พื้นครีม L</v>
          </cell>
          <cell r="E2059">
            <v>0</v>
          </cell>
          <cell r="F2059">
            <v>790</v>
          </cell>
        </row>
        <row r="2060">
          <cell r="A2060" t="str">
            <v>BE0058-M</v>
          </cell>
          <cell r="B2060" t="str">
            <v>E58</v>
          </cell>
          <cell r="C2060" t="str">
            <v>เยื่อไผ่ สี่ส่วน ดอกไม้กรม ชมพู พื้นครีม M</v>
          </cell>
          <cell r="E2060">
            <v>0</v>
          </cell>
          <cell r="F2060">
            <v>790</v>
          </cell>
        </row>
        <row r="2061">
          <cell r="A2061" t="str">
            <v>BE0058-XL</v>
          </cell>
          <cell r="B2061" t="str">
            <v>E58</v>
          </cell>
          <cell r="C2061" t="str">
            <v>เยื่อไผ่ สี่ส่วน ดอกไม้กรม ชมพู พื้นครีม XL</v>
          </cell>
          <cell r="E2061">
            <v>0</v>
          </cell>
          <cell r="F2061">
            <v>790</v>
          </cell>
        </row>
        <row r="2062">
          <cell r="A2062" t="str">
            <v>BE0059-L</v>
          </cell>
          <cell r="B2062" t="str">
            <v>E59</v>
          </cell>
          <cell r="C2062" t="str">
            <v>เยื่อไผ่ สี่ส่วน ดอกไม้ กรมชมพู พื้นครีม L</v>
          </cell>
          <cell r="E2062">
            <v>0</v>
          </cell>
          <cell r="F2062">
            <v>790</v>
          </cell>
        </row>
        <row r="2063">
          <cell r="A2063" t="str">
            <v>BE0059-M</v>
          </cell>
          <cell r="B2063" t="str">
            <v>E59</v>
          </cell>
          <cell r="C2063" t="str">
            <v>เยื่อไผ่ สี่ส่วน ดอกไม้ กรมชมพู พื้นครีม M</v>
          </cell>
          <cell r="E2063">
            <v>0</v>
          </cell>
          <cell r="F2063">
            <v>790</v>
          </cell>
        </row>
        <row r="2064">
          <cell r="A2064" t="str">
            <v>BE0059-XL</v>
          </cell>
          <cell r="B2064" t="str">
            <v>E59</v>
          </cell>
          <cell r="C2064" t="str">
            <v>เยื่อไผ่ สี่ส่วน ดอกไม้ กรมชมพู พื้นครีม XL</v>
          </cell>
          <cell r="E2064">
            <v>0</v>
          </cell>
          <cell r="F2064">
            <v>790</v>
          </cell>
        </row>
        <row r="2065">
          <cell r="A2065" t="str">
            <v>BE0060-L</v>
          </cell>
          <cell r="B2065" t="str">
            <v>E60</v>
          </cell>
          <cell r="C2065" t="str">
            <v>เยื่อไผ่ สี่ส่วน ดอกไม้ชมพู L</v>
          </cell>
          <cell r="E2065">
            <v>0</v>
          </cell>
          <cell r="F2065">
            <v>790</v>
          </cell>
        </row>
        <row r="2066">
          <cell r="A2066" t="str">
            <v>BE0060-M</v>
          </cell>
          <cell r="B2066" t="str">
            <v>E60</v>
          </cell>
          <cell r="C2066" t="str">
            <v>เยื่อไผ่ สี่ส่วน ดอกไม้ชมพู M</v>
          </cell>
          <cell r="E2066">
            <v>0</v>
          </cell>
          <cell r="F2066">
            <v>790</v>
          </cell>
        </row>
        <row r="2067">
          <cell r="A2067" t="str">
            <v>BE0060-XL</v>
          </cell>
          <cell r="B2067" t="str">
            <v>E60</v>
          </cell>
          <cell r="C2067" t="str">
            <v>เยื่อไผ่ สี่ส่วน ดอกไม้ชมพู XL</v>
          </cell>
          <cell r="E2067">
            <v>0</v>
          </cell>
          <cell r="F2067">
            <v>790</v>
          </cell>
        </row>
        <row r="2068">
          <cell r="A2068" t="str">
            <v>BE0061-L</v>
          </cell>
          <cell r="B2068" t="str">
            <v>E61</v>
          </cell>
          <cell r="C2068" t="str">
            <v>เยื่อไผ่ สี่ส่วน ดอกไม้ชมพู นู้ด New L</v>
          </cell>
          <cell r="E2068">
            <v>0</v>
          </cell>
          <cell r="F2068">
            <v>790</v>
          </cell>
        </row>
        <row r="2069">
          <cell r="A2069" t="str">
            <v>BE0061-M</v>
          </cell>
          <cell r="B2069" t="str">
            <v>E61</v>
          </cell>
          <cell r="C2069" t="str">
            <v>เยื่อไผ่ สี่ส่วน ดอกไม้ชมพู นู้ด New M</v>
          </cell>
          <cell r="E2069">
            <v>0</v>
          </cell>
          <cell r="F2069">
            <v>790</v>
          </cell>
        </row>
        <row r="2070">
          <cell r="A2070" t="str">
            <v>BE0061-XL</v>
          </cell>
          <cell r="B2070" t="str">
            <v>E61</v>
          </cell>
          <cell r="C2070" t="str">
            <v>เยื่อไผ่ สี่ส่วน ดอกไม้ชมพู นู้ด New XL</v>
          </cell>
          <cell r="E2070">
            <v>0</v>
          </cell>
          <cell r="F2070">
            <v>790</v>
          </cell>
        </row>
        <row r="2071">
          <cell r="A2071" t="str">
            <v>BE0062-L</v>
          </cell>
          <cell r="B2071" t="str">
            <v>E62</v>
          </cell>
          <cell r="C2071" t="str">
            <v>เยื่อไผ่ สี่ส่วน ดอกไม้ชมพู พื้นกรม L</v>
          </cell>
          <cell r="E2071">
            <v>0</v>
          </cell>
          <cell r="F2071">
            <v>790</v>
          </cell>
        </row>
        <row r="2072">
          <cell r="A2072" t="str">
            <v>BE0062-M</v>
          </cell>
          <cell r="B2072" t="str">
            <v>E62</v>
          </cell>
          <cell r="C2072" t="str">
            <v>เยื่อไผ่ สี่ส่วน ดอกไม้ชมพู พื้นกรม M</v>
          </cell>
          <cell r="E2072">
            <v>0</v>
          </cell>
          <cell r="F2072">
            <v>790</v>
          </cell>
        </row>
        <row r="2073">
          <cell r="A2073" t="str">
            <v>BE0062-XL</v>
          </cell>
          <cell r="B2073" t="str">
            <v>E62</v>
          </cell>
          <cell r="C2073" t="str">
            <v>เยื่อไผ่ สี่ส่วน ดอกไม้ชมพู พื้นกรม XL</v>
          </cell>
          <cell r="E2073">
            <v>0</v>
          </cell>
          <cell r="F2073">
            <v>790</v>
          </cell>
        </row>
        <row r="2074">
          <cell r="A2074" t="str">
            <v>BE0063-L</v>
          </cell>
          <cell r="B2074" t="str">
            <v>E63</v>
          </cell>
          <cell r="C2074" t="str">
            <v>เยื่อไผ่ สี่ส่วน ดอกไม้ชมพู น้ำเงิน L</v>
          </cell>
          <cell r="E2074">
            <v>0</v>
          </cell>
          <cell r="F2074">
            <v>790</v>
          </cell>
        </row>
        <row r="2075">
          <cell r="A2075" t="str">
            <v>BE0063-M</v>
          </cell>
          <cell r="B2075" t="str">
            <v>E63</v>
          </cell>
          <cell r="C2075" t="str">
            <v>เยื่อไผ่ สี่ส่วน ดอกไม้ชมพู น้ำเงิน M</v>
          </cell>
          <cell r="E2075">
            <v>0</v>
          </cell>
          <cell r="F2075">
            <v>790</v>
          </cell>
        </row>
        <row r="2076">
          <cell r="A2076" t="str">
            <v>BE0063-XL</v>
          </cell>
          <cell r="B2076" t="str">
            <v>E63</v>
          </cell>
          <cell r="C2076" t="str">
            <v>เยื่อไผ่ สี่ส่วน ดอกไม้ชมพู น้ำเงิน XL</v>
          </cell>
          <cell r="E2076">
            <v>0</v>
          </cell>
          <cell r="F2076">
            <v>790</v>
          </cell>
        </row>
        <row r="2077">
          <cell r="A2077" t="str">
            <v>BE0064-L</v>
          </cell>
          <cell r="B2077" t="str">
            <v>E64</v>
          </cell>
          <cell r="C2077" t="str">
            <v>เยื่อไผ่ สี่ส่วน พื้นกรม ดอกชมพูใหญ่ L</v>
          </cell>
          <cell r="E2077">
            <v>0</v>
          </cell>
          <cell r="F2077">
            <v>790</v>
          </cell>
        </row>
        <row r="2078">
          <cell r="A2078" t="str">
            <v>BE0064-M</v>
          </cell>
          <cell r="B2078" t="str">
            <v>E64</v>
          </cell>
          <cell r="C2078" t="str">
            <v>เยื่อไผ่ สี่ส่วน พื้นกรม ดอกชมพูใหญ่ M</v>
          </cell>
          <cell r="E2078">
            <v>0</v>
          </cell>
          <cell r="F2078">
            <v>790</v>
          </cell>
        </row>
        <row r="2079">
          <cell r="A2079" t="str">
            <v>BE0064-XL</v>
          </cell>
          <cell r="B2079" t="str">
            <v>E64</v>
          </cell>
          <cell r="C2079" t="str">
            <v>เยื่อไผ่ สี่ส่วน พื้นกรม ดอกชมพูใหญ่ XL</v>
          </cell>
          <cell r="E2079">
            <v>0</v>
          </cell>
          <cell r="F2079">
            <v>790</v>
          </cell>
        </row>
        <row r="2080">
          <cell r="A2080" t="str">
            <v>BE0070-L</v>
          </cell>
          <cell r="B2080" t="str">
            <v>E70</v>
          </cell>
          <cell r="C2080" t="str">
            <v>เยื่อไผ่ สี่ส่วน ดอกไม้ม่วง L</v>
          </cell>
          <cell r="E2080">
            <v>0</v>
          </cell>
          <cell r="F2080">
            <v>790</v>
          </cell>
        </row>
        <row r="2081">
          <cell r="A2081" t="str">
            <v>BE0070-M</v>
          </cell>
          <cell r="B2081" t="str">
            <v>E70</v>
          </cell>
          <cell r="C2081" t="str">
            <v>เยื่อไผ่ สี่ส่วน ดอกไม้ม่วง M</v>
          </cell>
          <cell r="E2081">
            <v>0</v>
          </cell>
          <cell r="F2081">
            <v>790</v>
          </cell>
        </row>
        <row r="2082">
          <cell r="A2082" t="str">
            <v>BE0070-XL</v>
          </cell>
          <cell r="B2082" t="str">
            <v>E70</v>
          </cell>
          <cell r="C2082" t="str">
            <v>เยื่อไผ่ สี่ส่วน ดอกไม้ม่วง XL</v>
          </cell>
          <cell r="E2082">
            <v>0</v>
          </cell>
          <cell r="F2082">
            <v>790</v>
          </cell>
        </row>
        <row r="2083">
          <cell r="A2083" t="str">
            <v>BE0079-L</v>
          </cell>
          <cell r="B2083" t="str">
            <v>E79</v>
          </cell>
          <cell r="C2083" t="str">
            <v>เยื่อไผ่ สี่ส่วน ดอกไม้เทา L</v>
          </cell>
          <cell r="E2083">
            <v>0</v>
          </cell>
          <cell r="F2083">
            <v>790</v>
          </cell>
        </row>
        <row r="2084">
          <cell r="A2084" t="str">
            <v>BE0079-M</v>
          </cell>
          <cell r="B2084" t="str">
            <v>E79</v>
          </cell>
          <cell r="C2084" t="str">
            <v>เยื่อไผ่ สี่ส่วน ดอกไม้เทา M</v>
          </cell>
          <cell r="E2084">
            <v>0</v>
          </cell>
          <cell r="F2084">
            <v>790</v>
          </cell>
        </row>
        <row r="2085">
          <cell r="A2085" t="str">
            <v>BE0079-XL</v>
          </cell>
          <cell r="B2085" t="str">
            <v>E79</v>
          </cell>
          <cell r="C2085" t="str">
            <v>เยื่อไผ่ สี่ส่วน ดอกไม้เทา XL</v>
          </cell>
          <cell r="E2085">
            <v>0</v>
          </cell>
          <cell r="F2085">
            <v>790</v>
          </cell>
        </row>
        <row r="2086">
          <cell r="A2086" t="str">
            <v>BE0081-L</v>
          </cell>
          <cell r="B2086" t="str">
            <v>E81</v>
          </cell>
          <cell r="C2086" t="str">
            <v>เยื่อไผ่ สี่ส่วน ดอกไม้เงิน พื้นชมพู L</v>
          </cell>
          <cell r="E2086">
            <v>0</v>
          </cell>
          <cell r="F2086">
            <v>790</v>
          </cell>
        </row>
        <row r="2087">
          <cell r="A2087" t="str">
            <v>BE0081-M</v>
          </cell>
          <cell r="B2087" t="str">
            <v>E81</v>
          </cell>
          <cell r="C2087" t="str">
            <v>เยื่อไผ่ สี่ส่วน ดอกไม้เงิน พื้นชมพู M</v>
          </cell>
          <cell r="E2087">
            <v>0</v>
          </cell>
          <cell r="F2087">
            <v>790</v>
          </cell>
        </row>
        <row r="2088">
          <cell r="A2088" t="str">
            <v>BE0081-XL</v>
          </cell>
          <cell r="B2088" t="str">
            <v>E81</v>
          </cell>
          <cell r="C2088" t="str">
            <v>เยื่อไผ่ สี่ส่วน ดอกไม้เงิน พื้นชมพู XL</v>
          </cell>
          <cell r="E2088">
            <v>0</v>
          </cell>
          <cell r="F2088">
            <v>790</v>
          </cell>
        </row>
        <row r="2089">
          <cell r="A2089" t="str">
            <v>BE0082-L</v>
          </cell>
          <cell r="B2089" t="str">
            <v>E82</v>
          </cell>
          <cell r="C2089" t="str">
            <v>เยื่อไผ่ สี่ส่วน ดอกไม้เงิน พื้นกรม L</v>
          </cell>
          <cell r="E2089">
            <v>0</v>
          </cell>
          <cell r="F2089">
            <v>790</v>
          </cell>
        </row>
        <row r="2090">
          <cell r="A2090" t="str">
            <v>BE0082-M</v>
          </cell>
          <cell r="B2090" t="str">
            <v>E82</v>
          </cell>
          <cell r="C2090" t="str">
            <v>เยื่อไผ่ สี่ส่วน ดอกไม้เงิน พื้นกรม M</v>
          </cell>
          <cell r="E2090">
            <v>0</v>
          </cell>
          <cell r="F2090">
            <v>790</v>
          </cell>
        </row>
        <row r="2091">
          <cell r="A2091" t="str">
            <v>BE0082-XL</v>
          </cell>
          <cell r="B2091" t="str">
            <v>E82</v>
          </cell>
          <cell r="C2091" t="str">
            <v>เยื่อไผ่ สี่ส่วน ดอกไม้เงิน พื้นกรม XL</v>
          </cell>
          <cell r="E2091">
            <v>0</v>
          </cell>
          <cell r="F2091">
            <v>790</v>
          </cell>
        </row>
        <row r="2092">
          <cell r="A2092" t="str">
            <v>BE0083-L</v>
          </cell>
          <cell r="B2092" t="str">
            <v>E83</v>
          </cell>
          <cell r="C2092" t="str">
            <v>เยื่อไผ่ สี่ส่วน สีฟ้า ดอกไม้ L</v>
          </cell>
          <cell r="E2092">
            <v>0</v>
          </cell>
          <cell r="F2092">
            <v>790</v>
          </cell>
        </row>
        <row r="2093">
          <cell r="A2093" t="str">
            <v>BE0083-M</v>
          </cell>
          <cell r="B2093" t="str">
            <v>E83</v>
          </cell>
          <cell r="C2093" t="str">
            <v>เยื่อไผ่ สี่ส่วน สีฟ้า ดอกไม้ M</v>
          </cell>
          <cell r="E2093">
            <v>0</v>
          </cell>
          <cell r="F2093">
            <v>790</v>
          </cell>
        </row>
        <row r="2094">
          <cell r="A2094" t="str">
            <v>BE0083-XL</v>
          </cell>
          <cell r="B2094" t="str">
            <v>E83</v>
          </cell>
          <cell r="C2094" t="str">
            <v>เยื่อไผ่ สี่ส่วน สีฟ้า ดอกไม้ XL</v>
          </cell>
          <cell r="E2094">
            <v>0</v>
          </cell>
          <cell r="F2094">
            <v>790</v>
          </cell>
        </row>
        <row r="2095">
          <cell r="A2095" t="str">
            <v>BE0084-L</v>
          </cell>
          <cell r="B2095" t="str">
            <v>E84</v>
          </cell>
          <cell r="C2095" t="str">
            <v>เยื่อไผ่ สี่ส่วน ดอกไม้ สีฟ้าอ่อน L</v>
          </cell>
          <cell r="E2095">
            <v>0</v>
          </cell>
          <cell r="F2095">
            <v>790</v>
          </cell>
        </row>
        <row r="2096">
          <cell r="A2096" t="str">
            <v>BE0084-M</v>
          </cell>
          <cell r="B2096" t="str">
            <v>E84</v>
          </cell>
          <cell r="C2096" t="str">
            <v>เยื่อไผ่ สี่ส่วน ดอกไม้ สีฟ้าอ่อน M</v>
          </cell>
          <cell r="E2096">
            <v>0</v>
          </cell>
          <cell r="F2096">
            <v>790</v>
          </cell>
        </row>
        <row r="2097">
          <cell r="A2097" t="str">
            <v>BE0084-XL</v>
          </cell>
          <cell r="B2097" t="str">
            <v>E84</v>
          </cell>
          <cell r="C2097" t="str">
            <v>เยื่อไผ่ สี่ส่วน ดอกไม้ สีฟ้าอ่อน XL</v>
          </cell>
          <cell r="E2097">
            <v>0</v>
          </cell>
          <cell r="F2097">
            <v>790</v>
          </cell>
        </row>
        <row r="2098">
          <cell r="A2098" t="str">
            <v>BE0085-L</v>
          </cell>
          <cell r="B2098" t="str">
            <v>E85</v>
          </cell>
          <cell r="C2098" t="str">
            <v>เยื่อไผ่ สี่ส่วน ดอกไม้ พื้นฟ้า L</v>
          </cell>
          <cell r="E2098">
            <v>0</v>
          </cell>
          <cell r="F2098">
            <v>790</v>
          </cell>
        </row>
        <row r="2099">
          <cell r="A2099" t="str">
            <v>BE0085-M</v>
          </cell>
          <cell r="B2099" t="str">
            <v>E85</v>
          </cell>
          <cell r="C2099" t="str">
            <v>เยื่อไผ่ สี่ส่วน ดอกไม้ พื้นฟ้า M</v>
          </cell>
          <cell r="E2099">
            <v>0</v>
          </cell>
          <cell r="F2099">
            <v>790</v>
          </cell>
        </row>
        <row r="2100">
          <cell r="A2100" t="str">
            <v>BE0085-XL</v>
          </cell>
          <cell r="B2100" t="str">
            <v>E85</v>
          </cell>
          <cell r="C2100" t="str">
            <v>เยื่อไผ่ สี่ส่วน ดอกไม้ พื้นฟ้า XL</v>
          </cell>
          <cell r="E2100">
            <v>0</v>
          </cell>
          <cell r="F2100">
            <v>790</v>
          </cell>
        </row>
        <row r="2101">
          <cell r="A2101" t="str">
            <v>BE0099-L</v>
          </cell>
          <cell r="B2101" t="str">
            <v>E99</v>
          </cell>
          <cell r="C2101" t="str">
            <v>เยื่อไผ่ สี่ส่วน โบตั่น สีฟ้า L</v>
          </cell>
          <cell r="E2101">
            <v>0</v>
          </cell>
          <cell r="F2101">
            <v>790</v>
          </cell>
        </row>
        <row r="2102">
          <cell r="A2102" t="str">
            <v>BE0099-M</v>
          </cell>
          <cell r="B2102" t="str">
            <v>E99</v>
          </cell>
          <cell r="C2102" t="str">
            <v>เยื่อไผ่ สี่ส่วน โบตั่น สีฟ้า M</v>
          </cell>
          <cell r="E2102">
            <v>0</v>
          </cell>
          <cell r="F2102">
            <v>790</v>
          </cell>
        </row>
        <row r="2103">
          <cell r="A2103" t="str">
            <v>BE0099-XL</v>
          </cell>
          <cell r="B2103" t="str">
            <v>E99</v>
          </cell>
          <cell r="C2103" t="str">
            <v>เยื่อไผ่ สี่ส่วน โบตั่น สีฟ้า XL</v>
          </cell>
          <cell r="E2103">
            <v>0</v>
          </cell>
          <cell r="F2103">
            <v>790</v>
          </cell>
        </row>
        <row r="2104">
          <cell r="A2104" t="str">
            <v>BE0100-L</v>
          </cell>
          <cell r="B2104" t="str">
            <v>E100</v>
          </cell>
          <cell r="C2104" t="str">
            <v>เยื่อไผ่ สี่ส่วน โบตั๋น สีมิ้น L</v>
          </cell>
          <cell r="E2104">
            <v>0</v>
          </cell>
          <cell r="F2104">
            <v>790</v>
          </cell>
        </row>
        <row r="2105">
          <cell r="A2105" t="str">
            <v>BE0100-M</v>
          </cell>
          <cell r="B2105" t="str">
            <v>E100</v>
          </cell>
          <cell r="C2105" t="str">
            <v>เยื่อไผ่ สี่ส่วน โบตั๋น สีมิ้น M</v>
          </cell>
          <cell r="E2105">
            <v>0</v>
          </cell>
          <cell r="F2105">
            <v>790</v>
          </cell>
        </row>
        <row r="2106">
          <cell r="A2106" t="str">
            <v>BE0100-XL</v>
          </cell>
          <cell r="B2106" t="str">
            <v>E100</v>
          </cell>
          <cell r="C2106" t="str">
            <v>เยื่อไผ่ สี่ส่วน โบตั๋น สีมิ้น XL</v>
          </cell>
          <cell r="E2106">
            <v>0</v>
          </cell>
          <cell r="F2106">
            <v>790</v>
          </cell>
        </row>
        <row r="2107">
          <cell r="A2107" t="str">
            <v>BE0101-L</v>
          </cell>
          <cell r="B2107" t="str">
            <v>E101</v>
          </cell>
          <cell r="C2107" t="str">
            <v>เยื่อไผ่ สี่ส่วน โบตั๋น สีเหลือง-L</v>
          </cell>
          <cell r="E2107">
            <v>0</v>
          </cell>
          <cell r="F2107">
            <v>790</v>
          </cell>
        </row>
        <row r="2108">
          <cell r="A2108" t="str">
            <v>BE0101-M</v>
          </cell>
          <cell r="B2108" t="str">
            <v>E101</v>
          </cell>
          <cell r="C2108" t="str">
            <v>เยื่อไผ่ สี่ส่วน โบตั๋น สีเหลือง-M</v>
          </cell>
          <cell r="E2108">
            <v>0</v>
          </cell>
          <cell r="F2108">
            <v>790</v>
          </cell>
        </row>
        <row r="2109">
          <cell r="A2109" t="str">
            <v>BE0101-XL</v>
          </cell>
          <cell r="B2109" t="str">
            <v>E101</v>
          </cell>
          <cell r="C2109" t="str">
            <v>เยื่อไผ่ สี่ส่วน โบตั๋น สีเหลือง-XL</v>
          </cell>
          <cell r="E2109">
            <v>0</v>
          </cell>
          <cell r="F2109">
            <v>790</v>
          </cell>
        </row>
        <row r="2110">
          <cell r="A2110" t="str">
            <v>BE0102-L</v>
          </cell>
          <cell r="B2110" t="str">
            <v>E102</v>
          </cell>
          <cell r="C2110" t="str">
            <v>เยื่อไผ่ สี่ส่วน โบตั๋น สีชมพู L</v>
          </cell>
          <cell r="E2110">
            <v>0</v>
          </cell>
          <cell r="F2110">
            <v>790</v>
          </cell>
        </row>
        <row r="2111">
          <cell r="A2111" t="str">
            <v>BE0102-M</v>
          </cell>
          <cell r="B2111" t="str">
            <v>E102</v>
          </cell>
          <cell r="C2111" t="str">
            <v>เยื่อไผ่ สี่ส่วน โบตั๋น สีชมพู M</v>
          </cell>
          <cell r="E2111">
            <v>0</v>
          </cell>
          <cell r="F2111">
            <v>790</v>
          </cell>
        </row>
        <row r="2112">
          <cell r="A2112" t="str">
            <v>BE0102-XL</v>
          </cell>
          <cell r="B2112" t="str">
            <v>E102</v>
          </cell>
          <cell r="C2112" t="str">
            <v>เยื่อไผ่ สี่ส่วน โบตั๋น สีชมพู XL</v>
          </cell>
          <cell r="E2112">
            <v>0</v>
          </cell>
          <cell r="F2112">
            <v>790</v>
          </cell>
        </row>
        <row r="2113">
          <cell r="A2113" t="str">
            <v>BE0104-L</v>
          </cell>
          <cell r="B2113" t="str">
            <v>E104</v>
          </cell>
          <cell r="C2113" t="str">
            <v>เยื่อไผ่ สี่ส่วน ดอกกุหลาบ พื้นครีม L</v>
          </cell>
          <cell r="E2113">
            <v>0</v>
          </cell>
          <cell r="F2113">
            <v>790</v>
          </cell>
        </row>
        <row r="2114">
          <cell r="A2114" t="str">
            <v>BE0104-M</v>
          </cell>
          <cell r="B2114" t="str">
            <v>E104</v>
          </cell>
          <cell r="C2114" t="str">
            <v>เยื่อไผ่ สี่ส่วน ดอกกุหลาบ พื้นครีม M</v>
          </cell>
          <cell r="E2114">
            <v>0</v>
          </cell>
          <cell r="F2114">
            <v>790</v>
          </cell>
        </row>
        <row r="2115">
          <cell r="A2115" t="str">
            <v>BE0104-XL</v>
          </cell>
          <cell r="B2115" t="str">
            <v>E104</v>
          </cell>
          <cell r="C2115" t="str">
            <v>เยื่อไผ่ สี่ส่วน ดอกกุหลาบ พื้นครีม XL</v>
          </cell>
          <cell r="E2115">
            <v>0</v>
          </cell>
          <cell r="F2115">
            <v>790</v>
          </cell>
        </row>
        <row r="2116">
          <cell r="A2116" t="str">
            <v>BE0106-L</v>
          </cell>
          <cell r="B2116" t="str">
            <v>E106</v>
          </cell>
          <cell r="C2116" t="str">
            <v>เยื่อไผ่ สี่ส่วน ลูกพีช L</v>
          </cell>
          <cell r="E2116">
            <v>0</v>
          </cell>
          <cell r="F2116">
            <v>790</v>
          </cell>
        </row>
        <row r="2117">
          <cell r="A2117" t="str">
            <v>BE0106-M</v>
          </cell>
          <cell r="B2117" t="str">
            <v>E106</v>
          </cell>
          <cell r="C2117" t="str">
            <v>เยื่อไผ่ สี่ส่วน ลูกพีช M</v>
          </cell>
          <cell r="E2117">
            <v>0</v>
          </cell>
          <cell r="F2117">
            <v>790</v>
          </cell>
        </row>
        <row r="2118">
          <cell r="A2118" t="str">
            <v>BE0106-XL</v>
          </cell>
          <cell r="B2118" t="str">
            <v>E106</v>
          </cell>
          <cell r="C2118" t="str">
            <v>เยื่อไผ่ สี่ส่วน ลูกพีช XL</v>
          </cell>
          <cell r="E2118">
            <v>0</v>
          </cell>
          <cell r="F2118">
            <v>790</v>
          </cell>
        </row>
        <row r="2119">
          <cell r="A2119" t="str">
            <v>BE0128-L</v>
          </cell>
          <cell r="B2119" t="str">
            <v>E128</v>
          </cell>
          <cell r="C2119" t="str">
            <v>เยื่อไผ่ สี่ส่วน จุดน้ำเงินเหลือง พื้นครีม L</v>
          </cell>
          <cell r="E2119">
            <v>0</v>
          </cell>
          <cell r="F2119">
            <v>790</v>
          </cell>
        </row>
        <row r="2120">
          <cell r="A2120" t="str">
            <v>BE0128-M</v>
          </cell>
          <cell r="B2120" t="str">
            <v>E128</v>
          </cell>
          <cell r="C2120" t="str">
            <v>เยื่อไผ่ สี่ส่วน จุดน้ำเงินเหลือง พื้นครีม  M</v>
          </cell>
          <cell r="E2120">
            <v>0</v>
          </cell>
          <cell r="F2120">
            <v>790</v>
          </cell>
        </row>
        <row r="2121">
          <cell r="A2121" t="str">
            <v>BE0128-XL</v>
          </cell>
          <cell r="B2121" t="str">
            <v>E128</v>
          </cell>
          <cell r="C2121" t="str">
            <v>เยื่อไผ่ สี่ส่วน จุดน้ำเงินเหลือง พื้นครีม  XL</v>
          </cell>
          <cell r="E2121">
            <v>0</v>
          </cell>
          <cell r="F2121">
            <v>790</v>
          </cell>
        </row>
        <row r="2122">
          <cell r="A2122" t="str">
            <v>BE0138-L</v>
          </cell>
          <cell r="B2122" t="str">
            <v>E138</v>
          </cell>
          <cell r="C2122" t="str">
            <v>เยื่อไผ่ สี่ส่วน ต้นสน สีฟ้า L</v>
          </cell>
          <cell r="E2122">
            <v>0</v>
          </cell>
          <cell r="F2122">
            <v>790</v>
          </cell>
        </row>
        <row r="2123">
          <cell r="A2123" t="str">
            <v>BE0138-M</v>
          </cell>
          <cell r="B2123" t="str">
            <v>E138</v>
          </cell>
          <cell r="C2123" t="str">
            <v>เยื่อไผ่ สี่ส่วน ต้นสน สีฟ้า M</v>
          </cell>
          <cell r="E2123">
            <v>0</v>
          </cell>
          <cell r="F2123">
            <v>790</v>
          </cell>
        </row>
        <row r="2124">
          <cell r="A2124" t="str">
            <v>BE0138-XL</v>
          </cell>
          <cell r="B2124" t="str">
            <v>E138</v>
          </cell>
          <cell r="C2124" t="str">
            <v>เยื่อไผ่ สี่ส่วน ต้นสน สีฟ้า XL</v>
          </cell>
          <cell r="E2124">
            <v>0</v>
          </cell>
          <cell r="F2124">
            <v>790</v>
          </cell>
        </row>
        <row r="2125">
          <cell r="A2125" t="str">
            <v>BE0200-L</v>
          </cell>
          <cell r="B2125" t="str">
            <v>E200</v>
          </cell>
          <cell r="C2125" t="str">
            <v>เยื่อไผ่ สี่ส่วน ใบไม้ทอง พื้นเขียว L</v>
          </cell>
          <cell r="E2125">
            <v>0</v>
          </cell>
          <cell r="F2125">
            <v>790</v>
          </cell>
        </row>
        <row r="2126">
          <cell r="A2126" t="str">
            <v>BE0200-M</v>
          </cell>
          <cell r="B2126" t="str">
            <v>E200</v>
          </cell>
          <cell r="C2126" t="str">
            <v>เยื่อไผ่ สี่ส่วน ใบไม้ทอง พื้นเขียว M</v>
          </cell>
          <cell r="E2126">
            <v>0</v>
          </cell>
          <cell r="F2126">
            <v>790</v>
          </cell>
        </row>
        <row r="2127">
          <cell r="A2127" t="str">
            <v>BE0200-XL</v>
          </cell>
          <cell r="B2127" t="str">
            <v>E200</v>
          </cell>
          <cell r="C2127" t="str">
            <v>เยื่อไผ่ สี่ส่วน ใบไม้ทอง พื้นเขียว XL</v>
          </cell>
          <cell r="E2127">
            <v>0</v>
          </cell>
          <cell r="F2127">
            <v>790</v>
          </cell>
        </row>
        <row r="2128">
          <cell r="A2128" t="str">
            <v>BE0201-L</v>
          </cell>
          <cell r="B2128" t="str">
            <v>E201</v>
          </cell>
          <cell r="C2128" t="str">
            <v>เยื่อไผ่ สี่ส่วน ดอกไม้ฟ้า พื้นครีม L</v>
          </cell>
          <cell r="E2128">
            <v>0</v>
          </cell>
          <cell r="F2128">
            <v>790</v>
          </cell>
        </row>
        <row r="2129">
          <cell r="A2129" t="str">
            <v>BE0201-M</v>
          </cell>
          <cell r="B2129" t="str">
            <v>E201</v>
          </cell>
          <cell r="C2129" t="str">
            <v>เยื่อไผ่ สี่ส่วน ดอกไม้ฟ้า พื้นครีม M</v>
          </cell>
          <cell r="E2129">
            <v>0</v>
          </cell>
          <cell r="F2129">
            <v>790</v>
          </cell>
        </row>
        <row r="2130">
          <cell r="A2130" t="str">
            <v>BE0201-XL</v>
          </cell>
          <cell r="B2130" t="str">
            <v>E201</v>
          </cell>
          <cell r="C2130" t="str">
            <v>เยื่อไผ่ สี่ส่วน ดอกไม้ฟ้า พื้นครีม XL</v>
          </cell>
          <cell r="E2130">
            <v>0</v>
          </cell>
          <cell r="F2130">
            <v>790</v>
          </cell>
        </row>
        <row r="2131">
          <cell r="A2131" t="str">
            <v>BE0202-L</v>
          </cell>
          <cell r="B2131" t="str">
            <v>E202</v>
          </cell>
          <cell r="C2131" t="str">
            <v>เยื่อไผ่ สี่ส่วน กล้วย L</v>
          </cell>
          <cell r="E2131">
            <v>0</v>
          </cell>
          <cell r="F2131">
            <v>790</v>
          </cell>
        </row>
        <row r="2132">
          <cell r="A2132" t="str">
            <v>BE0202-M</v>
          </cell>
          <cell r="B2132" t="str">
            <v>E202</v>
          </cell>
          <cell r="C2132" t="str">
            <v>เยื่อไผ่ สี่ส่วน กล้วย M</v>
          </cell>
          <cell r="E2132">
            <v>0</v>
          </cell>
          <cell r="F2132">
            <v>790</v>
          </cell>
        </row>
        <row r="2133">
          <cell r="A2133" t="str">
            <v>BE0202-XL</v>
          </cell>
          <cell r="B2133" t="str">
            <v>E202</v>
          </cell>
          <cell r="C2133" t="str">
            <v>เยื่อไผ่ สี่ส่วน กล้วย XL</v>
          </cell>
          <cell r="E2133">
            <v>0</v>
          </cell>
          <cell r="F2133">
            <v>790</v>
          </cell>
        </row>
        <row r="2134">
          <cell r="A2134" t="str">
            <v>BE0203-L</v>
          </cell>
          <cell r="B2134" t="str">
            <v>E203</v>
          </cell>
          <cell r="C2134" t="str">
            <v>เยื่อไผ่ สี่ส่วน ดอกไม้ ดอกไม้ พื้นเทา L</v>
          </cell>
          <cell r="E2134">
            <v>0</v>
          </cell>
          <cell r="F2134">
            <v>790</v>
          </cell>
        </row>
        <row r="2135">
          <cell r="A2135" t="str">
            <v>BE0203-M</v>
          </cell>
          <cell r="B2135" t="str">
            <v>E203</v>
          </cell>
          <cell r="C2135" t="str">
            <v>เยื่อไผ่ สี่ส่วน ดอกไม้ ดอกไม้ พื้นเทา M</v>
          </cell>
          <cell r="E2135">
            <v>0</v>
          </cell>
          <cell r="F2135">
            <v>790</v>
          </cell>
        </row>
        <row r="2136">
          <cell r="A2136" t="str">
            <v>BE0203-XL</v>
          </cell>
          <cell r="B2136" t="str">
            <v>E203</v>
          </cell>
          <cell r="C2136" t="str">
            <v>เยื่อไผ่ สี่ส่วน ดอกไม้ ดอกไม้ พื้นเทา XL</v>
          </cell>
          <cell r="E2136">
            <v>0</v>
          </cell>
          <cell r="F2136">
            <v>790</v>
          </cell>
        </row>
        <row r="2137">
          <cell r="A2137" t="str">
            <v>BE0204-L</v>
          </cell>
          <cell r="B2137" t="str">
            <v>E204</v>
          </cell>
          <cell r="C2137" t="str">
            <v>เยื่อไผ่ สี่ส่วน ดอกไม้ส้ม พื้นฟ้า L</v>
          </cell>
          <cell r="E2137">
            <v>0</v>
          </cell>
          <cell r="F2137">
            <v>790</v>
          </cell>
        </row>
        <row r="2138">
          <cell r="A2138" t="str">
            <v>BE0204-M</v>
          </cell>
          <cell r="B2138" t="str">
            <v>E204</v>
          </cell>
          <cell r="C2138" t="str">
            <v>เยื่อไผ่ สี่ส่วน ดอกไม้ส้ม พื้นฟ้า M</v>
          </cell>
          <cell r="E2138">
            <v>0</v>
          </cell>
          <cell r="F2138">
            <v>790</v>
          </cell>
        </row>
        <row r="2139">
          <cell r="A2139" t="str">
            <v>BE0204-XL</v>
          </cell>
          <cell r="B2139" t="str">
            <v>E204</v>
          </cell>
          <cell r="C2139" t="str">
            <v>เยื่อไผ่ สี่ส่วน ดอกไม้ส้ม พื้นฟ้า XL</v>
          </cell>
          <cell r="E2139">
            <v>0</v>
          </cell>
          <cell r="F2139">
            <v>790</v>
          </cell>
        </row>
        <row r="2140">
          <cell r="A2140" t="str">
            <v>BE0205-L</v>
          </cell>
          <cell r="B2140" t="str">
            <v>E205</v>
          </cell>
          <cell r="C2140" t="str">
            <v>เยื่อไผ่ สี่ส่วน จุดน้ำเงิน ส้ม ขาว พื้นครีม L</v>
          </cell>
          <cell r="E2140">
            <v>0</v>
          </cell>
          <cell r="F2140">
            <v>790</v>
          </cell>
        </row>
        <row r="2141">
          <cell r="A2141" t="str">
            <v>BE0205-M</v>
          </cell>
          <cell r="B2141" t="str">
            <v>E205</v>
          </cell>
          <cell r="C2141" t="str">
            <v>เยื่อไผ่ สี่ส่วน จุดน้ำเงิน ส้ม ขาว พื้นครีม M</v>
          </cell>
          <cell r="E2141">
            <v>0</v>
          </cell>
          <cell r="F2141">
            <v>790</v>
          </cell>
        </row>
        <row r="2142">
          <cell r="A2142" t="str">
            <v>BE0205-XL</v>
          </cell>
          <cell r="B2142" t="str">
            <v>E205</v>
          </cell>
          <cell r="C2142" t="str">
            <v>เยื่อไผ่ สี่ส่วน จุดน้ำเงิน ส้ม ขาว พื้นครีม XL</v>
          </cell>
          <cell r="E2142">
            <v>0</v>
          </cell>
          <cell r="F2142">
            <v>790</v>
          </cell>
        </row>
        <row r="2143">
          <cell r="A2143" t="str">
            <v>BE0259-L</v>
          </cell>
          <cell r="B2143" t="str">
            <v>E259</v>
          </cell>
          <cell r="C2143" t="str">
            <v>เยื่อไผ่ สี่ส่วน ช้างน้อยพ่นน้ำ L</v>
          </cell>
          <cell r="E2143">
            <v>0</v>
          </cell>
          <cell r="F2143">
            <v>790</v>
          </cell>
        </row>
        <row r="2144">
          <cell r="A2144" t="str">
            <v>BE0259-M</v>
          </cell>
          <cell r="B2144" t="str">
            <v>E259</v>
          </cell>
          <cell r="C2144" t="str">
            <v>เยื่อไผ่ สี่ส่วน ช้างน้อยพ่นน้ำ M</v>
          </cell>
          <cell r="E2144">
            <v>0</v>
          </cell>
          <cell r="F2144">
            <v>790</v>
          </cell>
        </row>
        <row r="2145">
          <cell r="A2145" t="str">
            <v>BE0259-XL</v>
          </cell>
          <cell r="B2145" t="str">
            <v>E259</v>
          </cell>
          <cell r="C2145" t="str">
            <v>เยื่อไผ่ สี่ส่วน ช้างน้อยพ่นน้ำ XL</v>
          </cell>
          <cell r="E2145">
            <v>0</v>
          </cell>
          <cell r="F2145">
            <v>790</v>
          </cell>
        </row>
        <row r="2146">
          <cell r="A2146" t="str">
            <v>BE0274-L</v>
          </cell>
          <cell r="B2146" t="str">
            <v>E274</v>
          </cell>
          <cell r="C2146" t="str">
            <v>เยื่อไผ่ สี่ส่วน เสือส้มดำ พื้นเขียว L</v>
          </cell>
          <cell r="E2146">
            <v>0</v>
          </cell>
          <cell r="F2146">
            <v>790</v>
          </cell>
        </row>
        <row r="2147">
          <cell r="A2147" t="str">
            <v>BE0274-M</v>
          </cell>
          <cell r="B2147" t="str">
            <v>E274</v>
          </cell>
          <cell r="C2147" t="str">
            <v>เยื่อไผ่ สี่ส่วน เสือส้มดำ พื้นเขียว M</v>
          </cell>
          <cell r="E2147">
            <v>0</v>
          </cell>
          <cell r="F2147">
            <v>790</v>
          </cell>
        </row>
        <row r="2148">
          <cell r="A2148" t="str">
            <v>BE0274-XL</v>
          </cell>
          <cell r="B2148" t="str">
            <v>E274</v>
          </cell>
          <cell r="C2148" t="str">
            <v>เยื่อไผ่ สี่ส่วน เสือส้มดำ พื้นเขียว XL</v>
          </cell>
          <cell r="E2148">
            <v>0</v>
          </cell>
          <cell r="F2148">
            <v>790</v>
          </cell>
        </row>
        <row r="2149">
          <cell r="A2149" t="str">
            <v>BE0275-L</v>
          </cell>
          <cell r="B2149" t="str">
            <v>E275</v>
          </cell>
          <cell r="C2149" t="str">
            <v>เยื่อไผ่ สี่ส่วน เสือน้ำตาลดำ พื้นขาว L</v>
          </cell>
          <cell r="E2149">
            <v>0</v>
          </cell>
          <cell r="F2149">
            <v>790</v>
          </cell>
        </row>
        <row r="2150">
          <cell r="A2150" t="str">
            <v>BE0275-M</v>
          </cell>
          <cell r="B2150" t="str">
            <v>E275</v>
          </cell>
          <cell r="C2150" t="str">
            <v>เยื่อไผ่ สี่ส่วน เสือน้ำตาลดำ พื้นขาว M</v>
          </cell>
          <cell r="E2150">
            <v>0</v>
          </cell>
          <cell r="F2150">
            <v>790</v>
          </cell>
        </row>
        <row r="2151">
          <cell r="A2151" t="str">
            <v>BE0275-XL</v>
          </cell>
          <cell r="B2151" t="str">
            <v>E275</v>
          </cell>
          <cell r="C2151" t="str">
            <v>เยื่อไผ่ สี่ส่วน เสือน้ำตาลดำ พื้นขาว XL</v>
          </cell>
          <cell r="E2151">
            <v>0</v>
          </cell>
          <cell r="F2151">
            <v>790</v>
          </cell>
        </row>
        <row r="2152">
          <cell r="A2152" t="str">
            <v>BE0276-L</v>
          </cell>
          <cell r="B2152" t="str">
            <v>E276</v>
          </cell>
          <cell r="C2152" t="str">
            <v>เยื่อไผ่ สี่ส่วน ดอกไม้ดำ พื้นน้ำตาล L</v>
          </cell>
          <cell r="E2152">
            <v>0</v>
          </cell>
          <cell r="F2152">
            <v>790</v>
          </cell>
        </row>
        <row r="2153">
          <cell r="A2153" t="str">
            <v>BE0276-M</v>
          </cell>
          <cell r="B2153" t="str">
            <v>E276</v>
          </cell>
          <cell r="C2153" t="str">
            <v>เยื่อไผ่ สี่ส่วน ดอกไม้ดำ พื้นน้ำตาล M</v>
          </cell>
          <cell r="E2153">
            <v>0</v>
          </cell>
          <cell r="F2153">
            <v>790</v>
          </cell>
        </row>
        <row r="2154">
          <cell r="A2154" t="str">
            <v>BE0276-XL</v>
          </cell>
          <cell r="B2154" t="str">
            <v>E276</v>
          </cell>
          <cell r="C2154" t="str">
            <v>เยื่อไผ่ สี่ส่วน ดอกไม้ดำ พื้นน้ำตาล XL</v>
          </cell>
          <cell r="E2154">
            <v>0</v>
          </cell>
          <cell r="F2154">
            <v>790</v>
          </cell>
        </row>
        <row r="2155">
          <cell r="A2155" t="str">
            <v>BE0277-L</v>
          </cell>
          <cell r="B2155" t="str">
            <v>E277</v>
          </cell>
          <cell r="C2155" t="str">
            <v>เยื่อไผ่ สี่ส่วน ดอกลิลลี่แดง ชมพู พื้นเขียว L</v>
          </cell>
          <cell r="E2155">
            <v>0</v>
          </cell>
          <cell r="F2155">
            <v>790</v>
          </cell>
        </row>
        <row r="2156">
          <cell r="A2156" t="str">
            <v>BE0277-M</v>
          </cell>
          <cell r="B2156" t="str">
            <v>E277</v>
          </cell>
          <cell r="C2156" t="str">
            <v>เยื่อไผ่ สี่ส่วน ดอกลิลลี่แดง ชมพู พื้นเขียว M</v>
          </cell>
          <cell r="E2156">
            <v>0</v>
          </cell>
          <cell r="F2156">
            <v>790</v>
          </cell>
        </row>
        <row r="2157">
          <cell r="A2157" t="str">
            <v>BE0277-XL</v>
          </cell>
          <cell r="B2157" t="str">
            <v>E277</v>
          </cell>
          <cell r="C2157" t="str">
            <v>เยื่อไผ่ สี่ส่วน ดอกลิลลี่แดง ชมพู พื้นเขียว XL</v>
          </cell>
          <cell r="E2157">
            <v>0</v>
          </cell>
          <cell r="F2157">
            <v>790</v>
          </cell>
        </row>
        <row r="2158">
          <cell r="A2158" t="str">
            <v>BE0278-L</v>
          </cell>
          <cell r="B2158" t="str">
            <v>E278</v>
          </cell>
          <cell r="C2158" t="str">
            <v>เยื่อไผ่ สี่ส่วน ลายทางดำ ขาว ครีม แดง L</v>
          </cell>
          <cell r="E2158">
            <v>0</v>
          </cell>
          <cell r="F2158">
            <v>790</v>
          </cell>
        </row>
        <row r="2159">
          <cell r="A2159" t="str">
            <v>BE0278-M</v>
          </cell>
          <cell r="B2159" t="str">
            <v>E278</v>
          </cell>
          <cell r="C2159" t="str">
            <v>เยื่อไผ่ สี่ส่วน ลายทางดำ ขาว ครีม แดงM</v>
          </cell>
          <cell r="E2159">
            <v>0</v>
          </cell>
          <cell r="F2159">
            <v>790</v>
          </cell>
        </row>
        <row r="2160">
          <cell r="A2160" t="str">
            <v>BE0278-XL</v>
          </cell>
          <cell r="B2160" t="str">
            <v>E278</v>
          </cell>
          <cell r="C2160" t="str">
            <v>เยื่อไผ่ สี่ส่วน ลายทางดำ ขาว ครีม แดง XL</v>
          </cell>
          <cell r="E2160">
            <v>0</v>
          </cell>
          <cell r="F2160">
            <v>790</v>
          </cell>
        </row>
        <row r="2161">
          <cell r="A2161" t="str">
            <v>BE0279-L</v>
          </cell>
          <cell r="B2161" t="str">
            <v>E279</v>
          </cell>
          <cell r="C2161" t="str">
            <v>เยื่อไผ่ สี่ส่วน ชบาชมพู พื้นเขียวL</v>
          </cell>
          <cell r="E2161">
            <v>0</v>
          </cell>
          <cell r="F2161">
            <v>790</v>
          </cell>
        </row>
        <row r="2162">
          <cell r="A2162" t="str">
            <v>BE0279-M</v>
          </cell>
          <cell r="B2162" t="str">
            <v>E279</v>
          </cell>
          <cell r="C2162" t="str">
            <v>เยื่อไผ่ สี่ส่วน ชบาชมพู พื้นเขียวM</v>
          </cell>
          <cell r="E2162">
            <v>0</v>
          </cell>
          <cell r="F2162">
            <v>790</v>
          </cell>
        </row>
        <row r="2163">
          <cell r="A2163" t="str">
            <v>BE0279-XL</v>
          </cell>
          <cell r="B2163" t="str">
            <v>E279</v>
          </cell>
          <cell r="C2163" t="str">
            <v>เยื่อไผ่ สี่ส่วน ชบาชมพู พื้นเขียวXL</v>
          </cell>
          <cell r="E2163">
            <v>0</v>
          </cell>
          <cell r="F2163">
            <v>790</v>
          </cell>
        </row>
        <row r="2164">
          <cell r="A2164" t="str">
            <v>BG0001-L</v>
          </cell>
          <cell r="B2164" t="str">
            <v>G1</v>
          </cell>
          <cell r="C2164" t="str">
            <v>เยื่อไผ่ แขนสั้นขาห้าส่วน ผีเสื้อ L</v>
          </cell>
          <cell r="E2164">
            <v>6</v>
          </cell>
          <cell r="F2164">
            <v>890</v>
          </cell>
        </row>
        <row r="2165">
          <cell r="A2165" t="str">
            <v>BG0001-M</v>
          </cell>
          <cell r="B2165" t="str">
            <v>G1</v>
          </cell>
          <cell r="C2165" t="str">
            <v>เยื่อไผ่ แขนสั้นขาห้าส่วน ผีเสื้อ M</v>
          </cell>
          <cell r="E2165">
            <v>9</v>
          </cell>
          <cell r="F2165">
            <v>890</v>
          </cell>
        </row>
        <row r="2166">
          <cell r="A2166" t="str">
            <v>BG0001-S</v>
          </cell>
          <cell r="B2166" t="str">
            <v>G1</v>
          </cell>
          <cell r="C2166" t="str">
            <v>เยื่อไผ่ แขนสั้นขาห้าส่วน ผีเสื้อ S</v>
          </cell>
          <cell r="E2166">
            <v>2</v>
          </cell>
          <cell r="F2166">
            <v>890</v>
          </cell>
        </row>
        <row r="2167">
          <cell r="A2167" t="str">
            <v>BG0001-XL</v>
          </cell>
          <cell r="B2167" t="str">
            <v>G1</v>
          </cell>
          <cell r="C2167" t="str">
            <v>เยื่อไผ่ แขนสั้นขาห้าส่วน ผีเสื้อ XL</v>
          </cell>
          <cell r="E2167">
            <v>9</v>
          </cell>
          <cell r="F2167">
            <v>890</v>
          </cell>
        </row>
        <row r="2168">
          <cell r="A2168" t="str">
            <v>BG0013-L</v>
          </cell>
          <cell r="B2168" t="str">
            <v>G13</v>
          </cell>
          <cell r="C2168" t="str">
            <v>เยื่อไผ่ ห้าส่วน แมว ฟ้า L</v>
          </cell>
          <cell r="E2168">
            <v>0</v>
          </cell>
          <cell r="F2168">
            <v>890</v>
          </cell>
        </row>
        <row r="2169">
          <cell r="A2169" t="str">
            <v>BG0013-M</v>
          </cell>
          <cell r="B2169" t="str">
            <v>G13</v>
          </cell>
          <cell r="C2169" t="str">
            <v>เยื่อไผ่ ห้าส่วน แมว ฟ้า M</v>
          </cell>
          <cell r="E2169">
            <v>0</v>
          </cell>
          <cell r="F2169">
            <v>890</v>
          </cell>
        </row>
        <row r="2170">
          <cell r="A2170" t="str">
            <v>BG0013-S</v>
          </cell>
          <cell r="B2170" t="str">
            <v>G13</v>
          </cell>
          <cell r="C2170" t="str">
            <v>เยื่อไผ่ ห้าส่วน แมว ฟ้า S</v>
          </cell>
          <cell r="E2170">
            <v>0</v>
          </cell>
          <cell r="F2170">
            <v>890</v>
          </cell>
        </row>
        <row r="2171">
          <cell r="A2171" t="str">
            <v>BG0013-XL</v>
          </cell>
          <cell r="B2171" t="str">
            <v>G13</v>
          </cell>
          <cell r="C2171" t="str">
            <v>เยื่อไผ่ ห้าส่วน แมว ฟ้า XL</v>
          </cell>
          <cell r="E2171">
            <v>0</v>
          </cell>
          <cell r="F2171">
            <v>890</v>
          </cell>
        </row>
        <row r="2172">
          <cell r="A2172" t="str">
            <v>BG0020-L</v>
          </cell>
          <cell r="B2172" t="str">
            <v>G20</v>
          </cell>
          <cell r="C2172" t="str">
            <v>เยื่อไผ่ ห้าส่วน ใบไม้เขียว NEW L Oversize</v>
          </cell>
          <cell r="E2172">
            <v>11</v>
          </cell>
          <cell r="F2172">
            <v>890</v>
          </cell>
        </row>
        <row r="2173">
          <cell r="A2173" t="str">
            <v>BG0020-M</v>
          </cell>
          <cell r="B2173" t="str">
            <v>G20</v>
          </cell>
          <cell r="C2173" t="str">
            <v>เยื่อไผ่ ห้าส่วน ใบไม้เขียว NEW M Oversize</v>
          </cell>
          <cell r="E2173">
            <v>11</v>
          </cell>
          <cell r="F2173">
            <v>890</v>
          </cell>
        </row>
        <row r="2174">
          <cell r="A2174" t="str">
            <v>BG0020-S</v>
          </cell>
          <cell r="B2174" t="str">
            <v>G20</v>
          </cell>
          <cell r="C2174" t="str">
            <v>เยื่อไผ่ ห้าส่วน ใบไม้เขียว NEW S Oversize</v>
          </cell>
          <cell r="E2174">
            <v>8</v>
          </cell>
          <cell r="F2174">
            <v>890</v>
          </cell>
        </row>
        <row r="2175">
          <cell r="A2175" t="str">
            <v>BG0020-XL</v>
          </cell>
          <cell r="B2175" t="str">
            <v>G20</v>
          </cell>
          <cell r="C2175" t="str">
            <v>เยื่อไผ่ ห้าส่วน ใบไม้เขียว NEW XL Oversize</v>
          </cell>
          <cell r="E2175">
            <v>8</v>
          </cell>
          <cell r="F2175">
            <v>890</v>
          </cell>
        </row>
        <row r="2176">
          <cell r="A2176" t="str">
            <v>BG0023-L</v>
          </cell>
          <cell r="B2176" t="str">
            <v>G23</v>
          </cell>
          <cell r="C2176" t="str">
            <v>เยื่อไผ่ แขนสั้นขายาว TropicaL ใบไม้เหลือง OverSize L</v>
          </cell>
          <cell r="E2176">
            <v>0</v>
          </cell>
          <cell r="F2176">
            <v>890</v>
          </cell>
        </row>
        <row r="2177">
          <cell r="A2177" t="str">
            <v>BG0023-M</v>
          </cell>
          <cell r="B2177" t="str">
            <v>G23</v>
          </cell>
          <cell r="C2177" t="str">
            <v>เยื่อไผ่ แขนสั้นขายาว TropicaL ใบไม้เหลือง OverSize M</v>
          </cell>
          <cell r="E2177">
            <v>0</v>
          </cell>
          <cell r="F2177">
            <v>890</v>
          </cell>
        </row>
        <row r="2178">
          <cell r="A2178" t="str">
            <v>BG0023-S</v>
          </cell>
          <cell r="B2178" t="str">
            <v>G23</v>
          </cell>
          <cell r="C2178" t="str">
            <v>เยื่อไผ่ แขนสั้นขายาว TropicaL ใบไม้เหลือง OverSize S</v>
          </cell>
          <cell r="E2178">
            <v>0</v>
          </cell>
          <cell r="F2178">
            <v>890</v>
          </cell>
        </row>
        <row r="2179">
          <cell r="A2179" t="str">
            <v>BG0023-XL</v>
          </cell>
          <cell r="B2179" t="str">
            <v>G23</v>
          </cell>
          <cell r="C2179" t="str">
            <v>เยื่อไผ่ แขนสั้นขายาว TropicaL ใบไม้เหลือง OverSize XL</v>
          </cell>
          <cell r="E2179">
            <v>0</v>
          </cell>
          <cell r="F2179">
            <v>890</v>
          </cell>
        </row>
        <row r="2180">
          <cell r="A2180" t="str">
            <v>BG0034-L</v>
          </cell>
          <cell r="B2180" t="str">
            <v>G34</v>
          </cell>
          <cell r="C2180" t="str">
            <v>เยื่อไผ่ ห้าส่วน ใบบัวน้ำตาล พื้นม่วง L</v>
          </cell>
          <cell r="E2180">
            <v>0</v>
          </cell>
          <cell r="F2180">
            <v>890</v>
          </cell>
        </row>
        <row r="2181">
          <cell r="A2181" t="str">
            <v>BG0034-M</v>
          </cell>
          <cell r="B2181" t="str">
            <v>G34</v>
          </cell>
          <cell r="C2181" t="str">
            <v>เยื่อไผ่ ห้าส่วน ใบบัวน้ำตาล พื้นม่วง M</v>
          </cell>
          <cell r="E2181">
            <v>0</v>
          </cell>
          <cell r="F2181">
            <v>890</v>
          </cell>
        </row>
        <row r="2182">
          <cell r="A2182" t="str">
            <v>BG0034-S</v>
          </cell>
          <cell r="B2182" t="str">
            <v>G34</v>
          </cell>
          <cell r="C2182" t="str">
            <v>เยื่อไผ่ ห้าส่วน ใบบัวน้ำตาล พื้นม่วง S</v>
          </cell>
          <cell r="E2182">
            <v>0</v>
          </cell>
          <cell r="F2182">
            <v>890</v>
          </cell>
        </row>
        <row r="2183">
          <cell r="A2183" t="str">
            <v>BG0057-L</v>
          </cell>
          <cell r="B2183" t="str">
            <v>G57</v>
          </cell>
          <cell r="C2183" t="str">
            <v>เยื่อไผ่ ห้าส่วน ดอกไม้ พื้นครีม Oversize L</v>
          </cell>
          <cell r="E2183">
            <v>0</v>
          </cell>
          <cell r="F2183">
            <v>890</v>
          </cell>
        </row>
        <row r="2184">
          <cell r="A2184" t="str">
            <v>BG0057-M</v>
          </cell>
          <cell r="B2184" t="str">
            <v>G57</v>
          </cell>
          <cell r="C2184" t="str">
            <v>เยื่อไผ่ ห้าส่วน ดอกไม้ พื้นครีม Oversize M</v>
          </cell>
          <cell r="E2184">
            <v>0</v>
          </cell>
          <cell r="F2184">
            <v>890</v>
          </cell>
        </row>
        <row r="2185">
          <cell r="A2185" t="str">
            <v>BG0057-S</v>
          </cell>
          <cell r="B2185" t="str">
            <v>QG57</v>
          </cell>
          <cell r="C2185" t="str">
            <v>เยื่อไผ่ ห้าส่วน ดอกไม้ พื้นครีม Oversize S QC</v>
          </cell>
          <cell r="E2185">
            <v>0</v>
          </cell>
          <cell r="F2185">
            <v>890</v>
          </cell>
        </row>
        <row r="2186">
          <cell r="A2186" t="str">
            <v>BG0057-XL</v>
          </cell>
          <cell r="B2186" t="str">
            <v>G57</v>
          </cell>
          <cell r="C2186" t="str">
            <v>เยื่อไผ่ ห้าส่วน ดอกไม้ พื้นครีม Oversize XL</v>
          </cell>
          <cell r="E2186">
            <v>0</v>
          </cell>
          <cell r="F2186">
            <v>890</v>
          </cell>
        </row>
        <row r="2187">
          <cell r="A2187" t="str">
            <v>BG0076-L</v>
          </cell>
          <cell r="B2187" t="str">
            <v>G76</v>
          </cell>
          <cell r="C2187" t="str">
            <v>เยื่อไผ่ ห้าส่วน ดอกไม้ พื้นม่วง L</v>
          </cell>
          <cell r="E2187">
            <v>10</v>
          </cell>
          <cell r="F2187">
            <v>890</v>
          </cell>
        </row>
        <row r="2188">
          <cell r="A2188" t="str">
            <v>BG0076-M</v>
          </cell>
          <cell r="B2188" t="str">
            <v>G76</v>
          </cell>
          <cell r="C2188" t="str">
            <v>เยื่อไผ่ ห้าส่วน ดอกไม้ พื้นม่วง M</v>
          </cell>
          <cell r="E2188">
            <v>7</v>
          </cell>
          <cell r="F2188">
            <v>890</v>
          </cell>
        </row>
        <row r="2189">
          <cell r="A2189" t="str">
            <v>BG0076-S</v>
          </cell>
          <cell r="B2189" t="str">
            <v>G76</v>
          </cell>
          <cell r="C2189" t="str">
            <v>เยื่อไผ่ ห้าส่วน ดอกไม้ พื้นม่วง S</v>
          </cell>
          <cell r="E2189">
            <v>5</v>
          </cell>
          <cell r="F2189">
            <v>890</v>
          </cell>
        </row>
        <row r="2190">
          <cell r="A2190" t="str">
            <v>BG0076-XL</v>
          </cell>
          <cell r="B2190" t="str">
            <v>G76</v>
          </cell>
          <cell r="C2190" t="str">
            <v>เยื่อไผ่ ห้าส่วน ดอกไม้ พื้นม่วง XL</v>
          </cell>
          <cell r="E2190">
            <v>6</v>
          </cell>
          <cell r="F2190">
            <v>890</v>
          </cell>
        </row>
        <row r="2191">
          <cell r="A2191" t="str">
            <v>BG0090-L</v>
          </cell>
          <cell r="B2191" t="str">
            <v>G90</v>
          </cell>
          <cell r="C2191" t="str">
            <v>เยื่อไผ่ ห้าส่วน ดอกไม้ ซีเครท L</v>
          </cell>
          <cell r="E2191">
            <v>0</v>
          </cell>
          <cell r="F2191">
            <v>890</v>
          </cell>
        </row>
        <row r="2192">
          <cell r="A2192" t="str">
            <v>BG0090-M</v>
          </cell>
          <cell r="B2192" t="str">
            <v>G90</v>
          </cell>
          <cell r="C2192" t="str">
            <v>เยื่อไผ่ ห้าส่วน ดอกไม้ ซีเครท M</v>
          </cell>
          <cell r="E2192">
            <v>0</v>
          </cell>
          <cell r="F2192">
            <v>890</v>
          </cell>
        </row>
        <row r="2193">
          <cell r="A2193" t="str">
            <v>BG0090-S</v>
          </cell>
          <cell r="B2193" t="str">
            <v>G90</v>
          </cell>
          <cell r="C2193" t="str">
            <v>เยื่อไผ่ ห้าส่วน ดอกไม้ ซีเครท S</v>
          </cell>
          <cell r="E2193">
            <v>0</v>
          </cell>
          <cell r="F2193">
            <v>890</v>
          </cell>
        </row>
        <row r="2194">
          <cell r="A2194" t="str">
            <v>BG0108-L</v>
          </cell>
          <cell r="B2194" t="str">
            <v>G108</v>
          </cell>
          <cell r="C2194" t="str">
            <v>เยื่อไผ่ ห้าส่วน พีชใหญ่ พื้นชมพู L OverSize</v>
          </cell>
          <cell r="E2194">
            <v>5</v>
          </cell>
          <cell r="F2194">
            <v>890</v>
          </cell>
        </row>
        <row r="2195">
          <cell r="A2195" t="str">
            <v>BG0108-M</v>
          </cell>
          <cell r="B2195" t="str">
            <v>G108</v>
          </cell>
          <cell r="C2195" t="str">
            <v>เยื่อไผ่ ห้าส่วน พีชใหญ่ พื้นชมพู M OverSize</v>
          </cell>
          <cell r="E2195">
            <v>0</v>
          </cell>
          <cell r="F2195">
            <v>890</v>
          </cell>
        </row>
        <row r="2196">
          <cell r="A2196" t="str">
            <v>BG0108-S</v>
          </cell>
          <cell r="B2196" t="str">
            <v>G108</v>
          </cell>
          <cell r="C2196" t="str">
            <v>เยื่อไผ่ ห้าส่วน พีชใหญ่ พื้นชมพู S OverSize</v>
          </cell>
          <cell r="E2196">
            <v>0</v>
          </cell>
          <cell r="F2196">
            <v>890</v>
          </cell>
        </row>
        <row r="2197">
          <cell r="A2197" t="str">
            <v>BG0108-XL</v>
          </cell>
          <cell r="B2197" t="str">
            <v>G108</v>
          </cell>
          <cell r="C2197" t="str">
            <v>เยื่อไผ่ ห้าส่วน พีชใหญ่ พื้นชมพู XL OverSize</v>
          </cell>
          <cell r="E2197">
            <v>0</v>
          </cell>
          <cell r="F2197">
            <v>890</v>
          </cell>
        </row>
        <row r="2198">
          <cell r="A2198" t="str">
            <v>BG0110-L</v>
          </cell>
          <cell r="B2198" t="str">
            <v>G110</v>
          </cell>
          <cell r="C2198" t="str">
            <v>เยื่อไผ่ ห้าส่วน ลายเลมอน L</v>
          </cell>
          <cell r="E2198">
            <v>6</v>
          </cell>
          <cell r="F2198">
            <v>890</v>
          </cell>
        </row>
        <row r="2199">
          <cell r="A2199" t="str">
            <v>BG0110-M</v>
          </cell>
          <cell r="B2199" t="str">
            <v>G110</v>
          </cell>
          <cell r="C2199" t="str">
            <v>เยื่อไผ่ ห้าส่วน ลายเลมอน M</v>
          </cell>
          <cell r="E2199">
            <v>9</v>
          </cell>
          <cell r="F2199">
            <v>890</v>
          </cell>
        </row>
        <row r="2200">
          <cell r="A2200" t="str">
            <v>BG0110-S</v>
          </cell>
          <cell r="B2200" t="str">
            <v>G110</v>
          </cell>
          <cell r="C2200" t="str">
            <v>เยื่อไผ่ ห้าส่วน ลายเลมอน  S</v>
          </cell>
          <cell r="E2200">
            <v>0</v>
          </cell>
          <cell r="F2200">
            <v>890</v>
          </cell>
        </row>
        <row r="2201">
          <cell r="A2201" t="str">
            <v>BG0110-XL</v>
          </cell>
          <cell r="B2201" t="str">
            <v>G110</v>
          </cell>
          <cell r="C2201" t="str">
            <v>เยื่อไผ่ ห้าส่วน ลายเลมอน XL</v>
          </cell>
          <cell r="E2201">
            <v>2</v>
          </cell>
          <cell r="F2201">
            <v>890</v>
          </cell>
        </row>
        <row r="2202">
          <cell r="A2202" t="str">
            <v>BG0111-L</v>
          </cell>
          <cell r="B2202" t="str">
            <v>G111</v>
          </cell>
          <cell r="C2202" t="str">
            <v>เยื่อไผ่ ห้าส่วน สัปปะรด พื้นเหลือง L</v>
          </cell>
          <cell r="E2202">
            <v>0</v>
          </cell>
          <cell r="F2202">
            <v>890</v>
          </cell>
        </row>
        <row r="2203">
          <cell r="A2203" t="str">
            <v>BG0111-M</v>
          </cell>
          <cell r="B2203" t="str">
            <v>G111</v>
          </cell>
          <cell r="C2203" t="str">
            <v>เยื่อไผ่ ห้าส่วน สัปปะรด พื้นเหลือง M</v>
          </cell>
          <cell r="E2203">
            <v>0</v>
          </cell>
          <cell r="F2203">
            <v>890</v>
          </cell>
        </row>
        <row r="2204">
          <cell r="A2204" t="str">
            <v>BG0111-S</v>
          </cell>
          <cell r="B2204" t="str">
            <v>G111</v>
          </cell>
          <cell r="C2204" t="str">
            <v>เยื่อไผ่ ห้าส่วน สัปปะรด พื้นเหลือง S</v>
          </cell>
          <cell r="E2204">
            <v>0</v>
          </cell>
          <cell r="F2204">
            <v>890</v>
          </cell>
        </row>
        <row r="2205">
          <cell r="A2205" t="str">
            <v>BG0130-L</v>
          </cell>
          <cell r="B2205" t="str">
            <v>G130</v>
          </cell>
          <cell r="C2205" t="str">
            <v>เยื่อไผ่ ห้าส่วน Map OverSize L</v>
          </cell>
          <cell r="E2205">
            <v>0</v>
          </cell>
          <cell r="F2205">
            <v>890</v>
          </cell>
        </row>
        <row r="2206">
          <cell r="A2206" t="str">
            <v>BG0130-M</v>
          </cell>
          <cell r="B2206" t="str">
            <v>G130</v>
          </cell>
          <cell r="C2206" t="str">
            <v>เยื่อไผ่ ห้าส่วน Map OverSize M</v>
          </cell>
          <cell r="E2206">
            <v>0</v>
          </cell>
          <cell r="F2206">
            <v>890</v>
          </cell>
        </row>
        <row r="2207">
          <cell r="A2207" t="str">
            <v>BG0130-S</v>
          </cell>
          <cell r="B2207" t="str">
            <v>G130</v>
          </cell>
          <cell r="C2207" t="str">
            <v>เยื่อไผ่ ห้าส่วน Map S</v>
          </cell>
          <cell r="E2207">
            <v>0</v>
          </cell>
          <cell r="F2207">
            <v>890</v>
          </cell>
        </row>
        <row r="2208">
          <cell r="A2208" t="str">
            <v>BG0130-XL</v>
          </cell>
          <cell r="B2208" t="str">
            <v>G130</v>
          </cell>
          <cell r="C2208" t="str">
            <v>เยื่อไผ่ ห้าส่วน Map OverSize XL</v>
          </cell>
          <cell r="E2208">
            <v>0</v>
          </cell>
          <cell r="F2208">
            <v>890</v>
          </cell>
        </row>
        <row r="2209">
          <cell r="A2209" t="str">
            <v>BG0194-L</v>
          </cell>
          <cell r="B2209" t="str">
            <v>G194</v>
          </cell>
          <cell r="C2209" t="str">
            <v>เยื่อไผ่ แขนสั้นขายาว ดาว สีฟ้า oversize L</v>
          </cell>
          <cell r="E2209">
            <v>0</v>
          </cell>
          <cell r="F2209">
            <v>890</v>
          </cell>
        </row>
        <row r="2210">
          <cell r="A2210" t="str">
            <v>BG0194-M</v>
          </cell>
          <cell r="B2210" t="str">
            <v>G194</v>
          </cell>
          <cell r="C2210" t="str">
            <v>เยื่อไผ่ แขนสั้นขายาว ดาว สีฟ้า oversize M</v>
          </cell>
          <cell r="E2210">
            <v>0</v>
          </cell>
          <cell r="F2210">
            <v>890</v>
          </cell>
        </row>
        <row r="2211">
          <cell r="A2211" t="str">
            <v>BG0194-S</v>
          </cell>
          <cell r="B2211" t="str">
            <v>G194</v>
          </cell>
          <cell r="C2211" t="str">
            <v>เยื่อไผ่ แขนสั้นขายาว ดาว สีฟ้า oversize S</v>
          </cell>
          <cell r="E2211">
            <v>0</v>
          </cell>
          <cell r="F2211">
            <v>890</v>
          </cell>
        </row>
        <row r="2212">
          <cell r="A2212" t="str">
            <v>BG0196-L</v>
          </cell>
          <cell r="B2212" t="str">
            <v>G196</v>
          </cell>
          <cell r="C2212" t="str">
            <v>เยื่อไผ่ แขนสั้นขายาว ใบไม้น้ำตาล พื้นแดง oversize L</v>
          </cell>
          <cell r="E2212">
            <v>0</v>
          </cell>
          <cell r="F2212">
            <v>890</v>
          </cell>
        </row>
        <row r="2213">
          <cell r="A2213" t="str">
            <v>BG0196-M</v>
          </cell>
          <cell r="B2213" t="str">
            <v>G196</v>
          </cell>
          <cell r="C2213" t="str">
            <v>เยื่อไผ่ แขนสั้นขายาว ใบไม้น้ำตาล พื้นแดง oversize M</v>
          </cell>
          <cell r="E2213">
            <v>0</v>
          </cell>
          <cell r="F2213">
            <v>890</v>
          </cell>
        </row>
        <row r="2214">
          <cell r="A2214" t="str">
            <v>BG0196-S</v>
          </cell>
          <cell r="B2214" t="str">
            <v>G196</v>
          </cell>
          <cell r="C2214" t="str">
            <v>เยื่อไผ่ แขนสั้นขายาว ใบไม้น้ำตาล พื้นแดง OverSize S</v>
          </cell>
          <cell r="E2214">
            <v>0</v>
          </cell>
          <cell r="F2214">
            <v>890</v>
          </cell>
        </row>
        <row r="2215">
          <cell r="A2215" t="str">
            <v>BG0225-L</v>
          </cell>
          <cell r="B2215" t="str">
            <v>G225</v>
          </cell>
          <cell r="C2215" t="str">
            <v>เยื่อไผ่ แขนสั้นขายาว ฮาวายเขียว L Oversize</v>
          </cell>
          <cell r="E2215">
            <v>0</v>
          </cell>
          <cell r="F2215">
            <v>890</v>
          </cell>
        </row>
        <row r="2216">
          <cell r="A2216" t="str">
            <v>BG0225-M</v>
          </cell>
          <cell r="B2216" t="str">
            <v>G225</v>
          </cell>
          <cell r="C2216" t="str">
            <v>เยื่อไผ่ แขนสั้นขายาว ฮาวายเขียว M Oversize</v>
          </cell>
          <cell r="E2216">
            <v>0</v>
          </cell>
          <cell r="F2216">
            <v>890</v>
          </cell>
        </row>
        <row r="2217">
          <cell r="A2217" t="str">
            <v>BG0225-S</v>
          </cell>
          <cell r="B2217" t="str">
            <v>G225</v>
          </cell>
          <cell r="C2217" t="str">
            <v>เยื่อไผ่ แขนสั้นขายาว ฮาวายเขียว S Oversize</v>
          </cell>
          <cell r="E2217">
            <v>0</v>
          </cell>
          <cell r="F2217">
            <v>890</v>
          </cell>
        </row>
        <row r="2218">
          <cell r="A2218" t="str">
            <v>BG0226-L</v>
          </cell>
          <cell r="B2218" t="str">
            <v>G226</v>
          </cell>
          <cell r="C2218" t="str">
            <v>เยื่อไผ่ แขนสั้นขายาว ฮาวายเหลือง L Oversize</v>
          </cell>
          <cell r="E2218">
            <v>0</v>
          </cell>
          <cell r="F2218">
            <v>890</v>
          </cell>
        </row>
        <row r="2219">
          <cell r="A2219" t="str">
            <v>BG0226-M</v>
          </cell>
          <cell r="B2219" t="str">
            <v>G226</v>
          </cell>
          <cell r="C2219" t="str">
            <v>เยื่อไผ่ แขนสั้นขายาว ฮาวายเหลือง M Oversize</v>
          </cell>
          <cell r="E2219">
            <v>0</v>
          </cell>
          <cell r="F2219">
            <v>890</v>
          </cell>
        </row>
        <row r="2220">
          <cell r="A2220" t="str">
            <v>BG0226-S</v>
          </cell>
          <cell r="B2220" t="str">
            <v>G226</v>
          </cell>
          <cell r="C2220" t="str">
            <v>เยื่อไผ่ แขนสั้นขายาว ฮาวายเหลือง S Oversize</v>
          </cell>
          <cell r="E2220">
            <v>0</v>
          </cell>
          <cell r="F2220">
            <v>890</v>
          </cell>
        </row>
        <row r="2221">
          <cell r="A2221" t="str">
            <v>BG0256-L</v>
          </cell>
          <cell r="B2221" t="str">
            <v>G256</v>
          </cell>
          <cell r="C2221" t="str">
            <v>เยื่อไผ่ แขนสั้นขายาว Brand new พื้นกรม L</v>
          </cell>
          <cell r="E2221">
            <v>14</v>
          </cell>
          <cell r="F2221">
            <v>890</v>
          </cell>
        </row>
        <row r="2222">
          <cell r="A2222" t="str">
            <v>BG0256-M</v>
          </cell>
          <cell r="B2222" t="str">
            <v>G256</v>
          </cell>
          <cell r="C2222" t="str">
            <v>เยื่อไผ่ แขนสั้นขายาว Brand new พื้นกรม M</v>
          </cell>
          <cell r="E2222">
            <v>10</v>
          </cell>
          <cell r="F2222">
            <v>890</v>
          </cell>
        </row>
        <row r="2223">
          <cell r="A2223" t="str">
            <v>BG0256-S</v>
          </cell>
          <cell r="B2223" t="str">
            <v>G256</v>
          </cell>
          <cell r="C2223" t="str">
            <v>เยื่อไผ่ แขนสั้นขายาว Brand new พื้นกรม S</v>
          </cell>
          <cell r="E2223">
            <v>8</v>
          </cell>
          <cell r="F2223">
            <v>890</v>
          </cell>
        </row>
        <row r="2224">
          <cell r="A2224" t="str">
            <v>BG0256-XL</v>
          </cell>
          <cell r="B2224" t="str">
            <v>G256</v>
          </cell>
          <cell r="C2224" t="str">
            <v>เยื่อไผ่ แขนสั้นขายาว Brand new พื้นกรม XL</v>
          </cell>
          <cell r="E2224">
            <v>6</v>
          </cell>
          <cell r="F2224">
            <v>890</v>
          </cell>
        </row>
        <row r="2225">
          <cell r="A2225" t="str">
            <v>BG0257-L</v>
          </cell>
          <cell r="B2225" t="str">
            <v>G257</v>
          </cell>
          <cell r="C2225" t="str">
            <v>เยื่อไผ่ แขนสั้นขายาว Brand new พื้นเขียว L</v>
          </cell>
          <cell r="E2225">
            <v>11</v>
          </cell>
          <cell r="F2225">
            <v>890</v>
          </cell>
        </row>
        <row r="2226">
          <cell r="A2226" t="str">
            <v>BG0257-M</v>
          </cell>
          <cell r="B2226" t="str">
            <v>G257</v>
          </cell>
          <cell r="C2226" t="str">
            <v>เยื่อไผ่ แขนสั้นขายาว Brand new พื้นเขียว M</v>
          </cell>
          <cell r="E2226">
            <v>9</v>
          </cell>
          <cell r="F2226">
            <v>890</v>
          </cell>
        </row>
        <row r="2227">
          <cell r="A2227" t="str">
            <v>BG0257-S</v>
          </cell>
          <cell r="B2227" t="str">
            <v>G257</v>
          </cell>
          <cell r="C2227" t="str">
            <v>เยื่อไผ่ แขนสั้นขายาว Brand new พื้นเขียว S</v>
          </cell>
          <cell r="E2227">
            <v>9</v>
          </cell>
          <cell r="F2227">
            <v>890</v>
          </cell>
        </row>
        <row r="2228">
          <cell r="A2228" t="str">
            <v>BG0257-XL</v>
          </cell>
          <cell r="B2228" t="str">
            <v>G257</v>
          </cell>
          <cell r="C2228" t="str">
            <v>เยื่อไผ่ แขนสั้นขายาว Brand new พื้นเขียว XL</v>
          </cell>
          <cell r="E2228">
            <v>16</v>
          </cell>
          <cell r="F2228">
            <v>890</v>
          </cell>
        </row>
        <row r="2229">
          <cell r="A2229" t="str">
            <v>BG0258-L</v>
          </cell>
          <cell r="B2229" t="str">
            <v>G258</v>
          </cell>
          <cell r="C2229" t="str">
            <v>เยื่อไผ่ แขนสั้นขายาว LOVE DRAlMLh พื้นชมพู L</v>
          </cell>
          <cell r="E2229">
            <v>0</v>
          </cell>
          <cell r="F2229">
            <v>890</v>
          </cell>
        </row>
        <row r="2230">
          <cell r="A2230" t="str">
            <v>BG0258-M</v>
          </cell>
          <cell r="B2230" t="str">
            <v>G258</v>
          </cell>
          <cell r="C2230" t="str">
            <v>เยื่อไผ่ แขนสั้นขายาว LOVE DRAlMLh พื้นชมพู M</v>
          </cell>
          <cell r="E2230">
            <v>0</v>
          </cell>
          <cell r="F2230">
            <v>890</v>
          </cell>
        </row>
        <row r="2231">
          <cell r="A2231" t="str">
            <v>BG0258-S</v>
          </cell>
          <cell r="B2231" t="str">
            <v>G258</v>
          </cell>
          <cell r="C2231" t="str">
            <v>เยื่อไผ่ แขนสั้นขายาว LOVE DRAlMLh พื้นชมพู S</v>
          </cell>
          <cell r="E2231">
            <v>0</v>
          </cell>
          <cell r="F2231">
            <v>890</v>
          </cell>
        </row>
        <row r="2232">
          <cell r="A2232" t="str">
            <v>BG0259-L</v>
          </cell>
          <cell r="B2232" t="str">
            <v>G259</v>
          </cell>
          <cell r="C2232" t="str">
            <v>เยื่อไผ่ แขนสั้นขายาว ช้างน้อยพ่นน้ำ L</v>
          </cell>
          <cell r="E2232">
            <v>0</v>
          </cell>
          <cell r="F2232">
            <v>890</v>
          </cell>
        </row>
        <row r="2233">
          <cell r="A2233" t="str">
            <v>BG0259-M</v>
          </cell>
          <cell r="B2233" t="str">
            <v>G259</v>
          </cell>
          <cell r="C2233" t="str">
            <v>เยื่อไผ่ แขนสั้นขายาว ช้างน้อยพ่นน้ำ M</v>
          </cell>
          <cell r="E2233">
            <v>0</v>
          </cell>
          <cell r="F2233">
            <v>890</v>
          </cell>
        </row>
        <row r="2234">
          <cell r="A2234" t="str">
            <v>BG0259-S</v>
          </cell>
          <cell r="B2234" t="str">
            <v>G259</v>
          </cell>
          <cell r="C2234" t="str">
            <v>เยื่อไผ่ แขนสั้นขายาว ช้างน้อยพ่นน้ำ S</v>
          </cell>
          <cell r="E2234">
            <v>0</v>
          </cell>
          <cell r="F2234">
            <v>890</v>
          </cell>
        </row>
        <row r="2235">
          <cell r="A2235" t="str">
            <v>BG0260-L</v>
          </cell>
          <cell r="B2235" t="str">
            <v>G260</v>
          </cell>
          <cell r="C2235" t="str">
            <v>เยื่อไผ่ แขนสั้นขายาว ใบไม้หลากสี พื้นชมพู L</v>
          </cell>
          <cell r="E2235">
            <v>0</v>
          </cell>
          <cell r="F2235">
            <v>890</v>
          </cell>
        </row>
        <row r="2236">
          <cell r="A2236" t="str">
            <v>BG0260-M</v>
          </cell>
          <cell r="B2236" t="str">
            <v>G260</v>
          </cell>
          <cell r="C2236" t="str">
            <v>เยื่อไผ่ แขนสั้นขายาว ใบไม้หลากสี พื้นชมพู M</v>
          </cell>
          <cell r="E2236">
            <v>0</v>
          </cell>
          <cell r="F2236">
            <v>890</v>
          </cell>
        </row>
        <row r="2237">
          <cell r="A2237" t="str">
            <v>BG0260-S</v>
          </cell>
          <cell r="B2237" t="str">
            <v>G260</v>
          </cell>
          <cell r="C2237" t="str">
            <v>เยื่อไผ่ แขนสั้นขายาว ใบไม้หลากสี พื้นชมพู S</v>
          </cell>
          <cell r="E2237">
            <v>0</v>
          </cell>
          <cell r="F2237">
            <v>890</v>
          </cell>
        </row>
        <row r="2238">
          <cell r="A2238" t="str">
            <v>BG0260-XL</v>
          </cell>
          <cell r="B2238" t="str">
            <v>G260</v>
          </cell>
          <cell r="C2238" t="str">
            <v>เยื่อไผ่ แขนสั้นขายาว ใบไม้หลากสี พื้นชมพู XL</v>
          </cell>
          <cell r="E2238">
            <v>0</v>
          </cell>
          <cell r="F2238">
            <v>890</v>
          </cell>
        </row>
        <row r="2239">
          <cell r="A2239" t="str">
            <v>BG0261-L</v>
          </cell>
          <cell r="B2239" t="str">
            <v>G261</v>
          </cell>
          <cell r="C2239" t="str">
            <v>เยื่อไผ่ แขนสั้นขายาว เสือน้ำตาล พื้นขาว L</v>
          </cell>
          <cell r="E2239">
            <v>0</v>
          </cell>
          <cell r="F2239">
            <v>890</v>
          </cell>
        </row>
        <row r="2240">
          <cell r="A2240" t="str">
            <v>BG0261-M</v>
          </cell>
          <cell r="B2240" t="str">
            <v>G261</v>
          </cell>
          <cell r="C2240" t="str">
            <v>เยื่อไผ่ แขนสั้นขายาว เสือน้ำตาล พื้นขาว M</v>
          </cell>
          <cell r="E2240">
            <v>0</v>
          </cell>
          <cell r="F2240">
            <v>890</v>
          </cell>
        </row>
        <row r="2241">
          <cell r="A2241" t="str">
            <v>BG0261-S</v>
          </cell>
          <cell r="B2241" t="str">
            <v>G261</v>
          </cell>
          <cell r="C2241" t="str">
            <v>เยื่อไผ่ แขนสั้นขายาว เสือน้ำตาล พื้นขาว S</v>
          </cell>
          <cell r="E2241">
            <v>0</v>
          </cell>
          <cell r="F2241">
            <v>890</v>
          </cell>
        </row>
        <row r="2242">
          <cell r="A2242" t="str">
            <v>BG0262-L</v>
          </cell>
          <cell r="B2242" t="str">
            <v>G262</v>
          </cell>
          <cell r="C2242" t="str">
            <v>เยื่อไผ่ แขนสั้นขายาว เสือขาว พื้นดำ L</v>
          </cell>
          <cell r="E2242">
            <v>0</v>
          </cell>
          <cell r="F2242">
            <v>890</v>
          </cell>
        </row>
        <row r="2243">
          <cell r="A2243" t="str">
            <v>BG0262-M</v>
          </cell>
          <cell r="B2243" t="str">
            <v>G262</v>
          </cell>
          <cell r="C2243" t="str">
            <v>เยื่อไผ่ แขนสั้นขายาว เสือขาว พื้นดำ M</v>
          </cell>
          <cell r="E2243">
            <v>0</v>
          </cell>
          <cell r="F2243">
            <v>890</v>
          </cell>
        </row>
        <row r="2244">
          <cell r="A2244" t="str">
            <v>BG0262-S</v>
          </cell>
          <cell r="B2244" t="str">
            <v>G262</v>
          </cell>
          <cell r="C2244" t="str">
            <v>เยื่อไผ่ แขนสั้นขายาว เสือขาว พื้นดำ S</v>
          </cell>
          <cell r="E2244">
            <v>0</v>
          </cell>
          <cell r="F2244">
            <v>890</v>
          </cell>
        </row>
        <row r="2245">
          <cell r="A2245" t="str">
            <v>BG0263-L</v>
          </cell>
          <cell r="B2245" t="str">
            <v>G263</v>
          </cell>
          <cell r="C2245" t="str">
            <v>เยื่อไผ่ แขนสั้นขายาว ยีราฟ นก ลิง พื้นขาว L</v>
          </cell>
          <cell r="E2245">
            <v>10</v>
          </cell>
          <cell r="F2245">
            <v>890</v>
          </cell>
        </row>
        <row r="2246">
          <cell r="A2246" t="str">
            <v>BG0263-M</v>
          </cell>
          <cell r="B2246" t="str">
            <v>G263</v>
          </cell>
          <cell r="C2246" t="str">
            <v>เยื่อไผ่ แขนสั้นขายาว ยีราฟ นก ลิง พื้นขาว M</v>
          </cell>
          <cell r="E2246">
            <v>7</v>
          </cell>
          <cell r="F2246">
            <v>890</v>
          </cell>
        </row>
        <row r="2247">
          <cell r="A2247" t="str">
            <v>BG0263-S</v>
          </cell>
          <cell r="B2247" t="str">
            <v>G263</v>
          </cell>
          <cell r="C2247" t="str">
            <v>เยื่อไผ่ แขนสั้นขายาว ยีราฟ นก ลิง พื้นขาว S</v>
          </cell>
          <cell r="E2247">
            <v>4</v>
          </cell>
          <cell r="F2247">
            <v>890</v>
          </cell>
        </row>
        <row r="2248">
          <cell r="A2248" t="str">
            <v>BG0263-XL</v>
          </cell>
          <cell r="B2248" t="str">
            <v>G263</v>
          </cell>
          <cell r="C2248" t="str">
            <v>เยื่อไผ่ แขนสั้นขายาว ยีราฟ นก ลิง พื้นขาว XL</v>
          </cell>
          <cell r="E2248">
            <v>7</v>
          </cell>
          <cell r="F2248">
            <v>890</v>
          </cell>
        </row>
        <row r="2249">
          <cell r="A2249" t="str">
            <v>BG0264-L</v>
          </cell>
          <cell r="B2249" t="str">
            <v>G264</v>
          </cell>
          <cell r="C2249" t="str">
            <v>เยื่อไผ่ แขนสั้นขายาว จุดชมพู จุดเขียว จุดเหลือง พื้นกรม L</v>
          </cell>
          <cell r="E2249">
            <v>0</v>
          </cell>
          <cell r="F2249">
            <v>890</v>
          </cell>
        </row>
        <row r="2250">
          <cell r="A2250" t="str">
            <v>BG0264-M</v>
          </cell>
          <cell r="B2250" t="str">
            <v>G264</v>
          </cell>
          <cell r="C2250" t="str">
            <v>เยื่อไผ่ แขนสั้นขายาว จุดชมพู จุดเขียว จุดเหลือง พื้นกรม M</v>
          </cell>
          <cell r="E2250">
            <v>0</v>
          </cell>
          <cell r="F2250">
            <v>890</v>
          </cell>
        </row>
        <row r="2251">
          <cell r="A2251" t="str">
            <v>BG0264-S</v>
          </cell>
          <cell r="B2251" t="str">
            <v>G264</v>
          </cell>
          <cell r="C2251" t="str">
            <v>เยื่อไผ่ แขนสั้นขายาว จุดชมพู จุดเขียว จุดเหลือง พื้นกรม S</v>
          </cell>
          <cell r="E2251">
            <v>0</v>
          </cell>
          <cell r="F2251">
            <v>890</v>
          </cell>
        </row>
        <row r="2252">
          <cell r="A2252" t="str">
            <v>BG0265-L</v>
          </cell>
          <cell r="B2252" t="str">
            <v>G265</v>
          </cell>
          <cell r="C2252" t="str">
            <v>เยื่อไผ่ แขนสั้นขายาว กาฟิว พื้นกรม L</v>
          </cell>
          <cell r="E2252">
            <v>0</v>
          </cell>
          <cell r="F2252">
            <v>890</v>
          </cell>
        </row>
        <row r="2253">
          <cell r="A2253" t="str">
            <v>BG0265-M</v>
          </cell>
          <cell r="B2253" t="str">
            <v>G265</v>
          </cell>
          <cell r="C2253" t="str">
            <v>เยื่อไผ่ แขนสั้นขายาว กาฟิว พื้นกรม M</v>
          </cell>
          <cell r="E2253">
            <v>0</v>
          </cell>
          <cell r="F2253">
            <v>890</v>
          </cell>
        </row>
        <row r="2254">
          <cell r="A2254" t="str">
            <v>BG0265-S</v>
          </cell>
          <cell r="B2254" t="str">
            <v>G265</v>
          </cell>
          <cell r="C2254" t="str">
            <v>เยื่อไผ่ แขนสั้นขายาว กาฟิว พื้นกรม S</v>
          </cell>
          <cell r="E2254">
            <v>0</v>
          </cell>
          <cell r="F2254">
            <v>890</v>
          </cell>
        </row>
        <row r="2255">
          <cell r="A2255" t="str">
            <v>BG0286-L</v>
          </cell>
          <cell r="B2255" t="str">
            <v>G286</v>
          </cell>
          <cell r="C2255" t="str">
            <v>เยื่อไผ่ ห้าส่วน แมว แฟชั่น พื้นชมพู L</v>
          </cell>
          <cell r="E2255">
            <v>0</v>
          </cell>
          <cell r="F2255">
            <v>890</v>
          </cell>
        </row>
        <row r="2256">
          <cell r="A2256" t="str">
            <v>BG0286-M</v>
          </cell>
          <cell r="B2256" t="str">
            <v>G286</v>
          </cell>
          <cell r="C2256" t="str">
            <v>เยื่อไผ่ ห้าส่วน แมว แฟชั่น พื้นชมพู M</v>
          </cell>
          <cell r="E2256">
            <v>0</v>
          </cell>
          <cell r="F2256">
            <v>890</v>
          </cell>
        </row>
        <row r="2257">
          <cell r="A2257" t="str">
            <v>BG0286-S</v>
          </cell>
          <cell r="B2257" t="str">
            <v>G286</v>
          </cell>
          <cell r="C2257" t="str">
            <v>เยื่อไผ่ ห้าส่วน แมว แฟชั่น พื้นชมพู S</v>
          </cell>
          <cell r="E2257">
            <v>0</v>
          </cell>
          <cell r="F2257">
            <v>890</v>
          </cell>
        </row>
        <row r="2258">
          <cell r="A2258" t="str">
            <v>BG0286-XL</v>
          </cell>
          <cell r="B2258" t="str">
            <v>G286</v>
          </cell>
          <cell r="C2258" t="str">
            <v>เยื่อไผ่ ห้าส่วน แมว แฟชั่น พื้นชมพู XL</v>
          </cell>
          <cell r="E2258">
            <v>0</v>
          </cell>
          <cell r="F2258">
            <v>890</v>
          </cell>
        </row>
        <row r="2259">
          <cell r="A2259" t="str">
            <v>BG0287-L</v>
          </cell>
          <cell r="B2259" t="str">
            <v>G287</v>
          </cell>
          <cell r="C2259" t="str">
            <v>เยื่อไผ่ ห้าส่วน Splash Gray OVERSIZE L</v>
          </cell>
          <cell r="E2259">
            <v>0</v>
          </cell>
          <cell r="F2259">
            <v>890</v>
          </cell>
        </row>
        <row r="2260">
          <cell r="A2260" t="str">
            <v>BG0287-M</v>
          </cell>
          <cell r="B2260" t="str">
            <v>G287</v>
          </cell>
          <cell r="C2260" t="str">
            <v>เยื่อไผ่ ห้าส่วน Splash Gray OVERSIZE M</v>
          </cell>
          <cell r="E2260">
            <v>0</v>
          </cell>
          <cell r="F2260">
            <v>890</v>
          </cell>
        </row>
        <row r="2261">
          <cell r="A2261" t="str">
            <v>BG0287-S</v>
          </cell>
          <cell r="B2261" t="str">
            <v>G287</v>
          </cell>
          <cell r="C2261" t="str">
            <v>เยื่อไผ่ ห้าส่วน Splash Gray OVERSIZE S</v>
          </cell>
          <cell r="E2261">
            <v>0</v>
          </cell>
          <cell r="F2261">
            <v>890</v>
          </cell>
        </row>
        <row r="2262">
          <cell r="A2262" t="str">
            <v>BG0288-L</v>
          </cell>
          <cell r="B2262" t="str">
            <v>G288</v>
          </cell>
          <cell r="C2262" t="str">
            <v>เยื่อไผ่ ห้าส่วน Ocean colors OVERSIZE L</v>
          </cell>
          <cell r="E2262">
            <v>0</v>
          </cell>
          <cell r="F2262">
            <v>890</v>
          </cell>
        </row>
        <row r="2263">
          <cell r="A2263" t="str">
            <v>BG0288-M</v>
          </cell>
          <cell r="B2263" t="str">
            <v>G288</v>
          </cell>
          <cell r="C2263" t="str">
            <v>เยื่อไผ่ ห้าส่วน Ocean colors OVERSIZE M</v>
          </cell>
          <cell r="E2263">
            <v>0</v>
          </cell>
          <cell r="F2263">
            <v>890</v>
          </cell>
        </row>
        <row r="2264">
          <cell r="A2264" t="str">
            <v>BG0288-S</v>
          </cell>
          <cell r="B2264" t="str">
            <v>G288</v>
          </cell>
          <cell r="C2264" t="str">
            <v>เยื่อไผ่ ห้าส่วน Ocean colors OVERSIZE S</v>
          </cell>
          <cell r="E2264">
            <v>0</v>
          </cell>
          <cell r="F2264">
            <v>890</v>
          </cell>
        </row>
        <row r="2265">
          <cell r="A2265" t="str">
            <v>BG0289-L</v>
          </cell>
          <cell r="B2265" t="str">
            <v>G289</v>
          </cell>
          <cell r="C2265" t="str">
            <v>เยื่อไผ่ ห้าส่วน Snowwhite ส้ม OVERSIZE L</v>
          </cell>
          <cell r="E2265">
            <v>0</v>
          </cell>
          <cell r="F2265">
            <v>890</v>
          </cell>
        </row>
        <row r="2266">
          <cell r="A2266" t="str">
            <v>BG0289-M</v>
          </cell>
          <cell r="B2266" t="str">
            <v>G289</v>
          </cell>
          <cell r="C2266" t="str">
            <v>เยื่อไผ่ ห้าส่วน Snowwhite ส้ม OVERSIZE M</v>
          </cell>
          <cell r="E2266">
            <v>0</v>
          </cell>
          <cell r="F2266">
            <v>890</v>
          </cell>
        </row>
        <row r="2267">
          <cell r="A2267" t="str">
            <v>BG0289-S</v>
          </cell>
          <cell r="B2267" t="str">
            <v>G289</v>
          </cell>
          <cell r="C2267" t="str">
            <v>เยื่อไผ่ ห้าส่วน Snowwhite ส้ม OVERSIZE S</v>
          </cell>
          <cell r="E2267">
            <v>0</v>
          </cell>
          <cell r="F2267">
            <v>890</v>
          </cell>
        </row>
        <row r="2268">
          <cell r="A2268" t="str">
            <v>BG0290-L</v>
          </cell>
          <cell r="B2268" t="str">
            <v>G290</v>
          </cell>
          <cell r="C2268" t="str">
            <v>เยื่อไผ่ ห้าส่วน Snowwhite เขียว OVERSIZE L</v>
          </cell>
          <cell r="E2268">
            <v>0</v>
          </cell>
          <cell r="F2268">
            <v>890</v>
          </cell>
        </row>
        <row r="2269">
          <cell r="A2269" t="str">
            <v>BG0290-M</v>
          </cell>
          <cell r="B2269" t="str">
            <v>G290</v>
          </cell>
          <cell r="C2269" t="str">
            <v>เยื่อไผ่ ห้าส่วน Snowwhite เขียว OVERSIZE M</v>
          </cell>
          <cell r="E2269">
            <v>0</v>
          </cell>
          <cell r="F2269">
            <v>890</v>
          </cell>
        </row>
        <row r="2270">
          <cell r="A2270" t="str">
            <v>BG0290-S</v>
          </cell>
          <cell r="B2270" t="str">
            <v>G290</v>
          </cell>
          <cell r="C2270" t="str">
            <v>เยื่อไผ่ ห้าส่วน Snowwhite เขียว OVERSIZE S</v>
          </cell>
          <cell r="E2270">
            <v>0</v>
          </cell>
          <cell r="F2270">
            <v>890</v>
          </cell>
        </row>
        <row r="2271">
          <cell r="A2271" t="str">
            <v>BG0291-L</v>
          </cell>
          <cell r="B2271" t="str">
            <v>G291</v>
          </cell>
          <cell r="C2271" t="str">
            <v>เยื่อไผ่ ห้าส่วน มัดย้อม OVERSIZE L</v>
          </cell>
          <cell r="E2271">
            <v>0</v>
          </cell>
          <cell r="F2271">
            <v>890</v>
          </cell>
        </row>
        <row r="2272">
          <cell r="A2272" t="str">
            <v>BG0291-M</v>
          </cell>
          <cell r="B2272" t="str">
            <v>G291</v>
          </cell>
          <cell r="C2272" t="str">
            <v>เยื่อไผ่ ห้าส่วน มัดย้อม OVERSIZE M</v>
          </cell>
          <cell r="E2272">
            <v>0</v>
          </cell>
          <cell r="F2272">
            <v>890</v>
          </cell>
        </row>
        <row r="2273">
          <cell r="A2273" t="str">
            <v>BG0291-S</v>
          </cell>
          <cell r="B2273" t="str">
            <v>G291</v>
          </cell>
          <cell r="C2273" t="str">
            <v>เยื่อไผ่ ห้าส่วน มัดย้อม OVERSIZE S</v>
          </cell>
          <cell r="E2273">
            <v>0</v>
          </cell>
          <cell r="F2273">
            <v>890</v>
          </cell>
        </row>
        <row r="2274">
          <cell r="A2274" t="str">
            <v>BG0304-L</v>
          </cell>
          <cell r="B2274" t="str">
            <v>G304</v>
          </cell>
          <cell r="C2274" t="str">
            <v>เยื่อไผ่ ห้าส่วน หน้ายิ้ม OverSize L</v>
          </cell>
          <cell r="E2274">
            <v>0</v>
          </cell>
          <cell r="F2274">
            <v>890</v>
          </cell>
        </row>
        <row r="2275">
          <cell r="A2275" t="str">
            <v>BG0304-M</v>
          </cell>
          <cell r="B2275" t="str">
            <v>G304</v>
          </cell>
          <cell r="C2275" t="str">
            <v>เยื่อไผ่ ห้าส่วน หน้ายิ้ม OverSize M</v>
          </cell>
          <cell r="E2275">
            <v>0</v>
          </cell>
          <cell r="F2275">
            <v>890</v>
          </cell>
        </row>
        <row r="2276">
          <cell r="A2276" t="str">
            <v>BG0304-S</v>
          </cell>
          <cell r="B2276" t="str">
            <v>G304</v>
          </cell>
          <cell r="C2276" t="str">
            <v>เยื่อไผ่ ห้าส่วน หน้ายิ้ม OverSize S</v>
          </cell>
          <cell r="E2276">
            <v>0</v>
          </cell>
          <cell r="F2276">
            <v>890</v>
          </cell>
        </row>
        <row r="2277">
          <cell r="A2277" t="str">
            <v>BG0305-L</v>
          </cell>
          <cell r="B2277" t="str">
            <v>G305</v>
          </cell>
          <cell r="C2277" t="str">
            <v>เยื่อไผ่ แขนสั้นขายาว แพลงตอน เขียว ส้ม L</v>
          </cell>
          <cell r="E2277">
            <v>0</v>
          </cell>
          <cell r="F2277">
            <v>890</v>
          </cell>
        </row>
        <row r="2278">
          <cell r="A2278" t="str">
            <v>BG0305-M</v>
          </cell>
          <cell r="B2278" t="str">
            <v>G305</v>
          </cell>
          <cell r="C2278" t="str">
            <v>เยื่อไผ่ แขนสั้นขายาว แพลงตอน เขียว ส้ม M</v>
          </cell>
          <cell r="E2278">
            <v>0</v>
          </cell>
          <cell r="F2278">
            <v>890</v>
          </cell>
        </row>
        <row r="2279">
          <cell r="A2279" t="str">
            <v>BG0305-S</v>
          </cell>
          <cell r="B2279" t="str">
            <v>G305</v>
          </cell>
          <cell r="C2279" t="str">
            <v>เยื่อไผ่ แขนสั้นขายาว แพลงตอน เขียว ส้ม S</v>
          </cell>
          <cell r="E2279">
            <v>0</v>
          </cell>
          <cell r="F2279">
            <v>890</v>
          </cell>
        </row>
        <row r="2280">
          <cell r="A2280" t="str">
            <v>BG0306-L</v>
          </cell>
          <cell r="B2280" t="str">
            <v>G306</v>
          </cell>
          <cell r="C2280" t="str">
            <v>เยื้อไผ้ แขนสั้นขายาว แพลงตอน น้ำเงิน ม่วง L</v>
          </cell>
          <cell r="E2280">
            <v>0</v>
          </cell>
          <cell r="F2280">
            <v>890</v>
          </cell>
        </row>
        <row r="2281">
          <cell r="A2281" t="str">
            <v>BG0306-M</v>
          </cell>
          <cell r="B2281" t="str">
            <v>G306</v>
          </cell>
          <cell r="C2281" t="str">
            <v>เยื้อไผ้ แขนสั้นขายาว แพลงตอน น้ำเงิน ม่วง M</v>
          </cell>
          <cell r="E2281">
            <v>0</v>
          </cell>
          <cell r="F2281">
            <v>890</v>
          </cell>
        </row>
        <row r="2282">
          <cell r="A2282" t="str">
            <v>BG0306-S</v>
          </cell>
          <cell r="B2282" t="str">
            <v>G306</v>
          </cell>
          <cell r="C2282" t="str">
            <v>เยื้อไผ้ แขนสั้นขายาว แพลงตอน น้ำเงิน ม่วง S</v>
          </cell>
          <cell r="E2282">
            <v>0</v>
          </cell>
          <cell r="F2282">
            <v>890</v>
          </cell>
        </row>
        <row r="2283">
          <cell r="A2283" t="str">
            <v>BG0307-L</v>
          </cell>
          <cell r="B2283" t="str">
            <v>G307</v>
          </cell>
          <cell r="C2283" t="str">
            <v>เยื่อไผ่ แขนสั้นขายาว Oversize แพลงตอน แดง L</v>
          </cell>
          <cell r="E2283">
            <v>0</v>
          </cell>
          <cell r="F2283">
            <v>890</v>
          </cell>
        </row>
        <row r="2284">
          <cell r="A2284" t="str">
            <v>BG0307-M</v>
          </cell>
          <cell r="B2284" t="str">
            <v>G307</v>
          </cell>
          <cell r="C2284" t="str">
            <v>เยื่อไผ่ แขนสั้นขายาว Oversize แพลงตอน แดง M</v>
          </cell>
          <cell r="E2284">
            <v>0</v>
          </cell>
          <cell r="F2284">
            <v>890</v>
          </cell>
        </row>
        <row r="2285">
          <cell r="A2285" t="str">
            <v>BG0307-S</v>
          </cell>
          <cell r="B2285" t="str">
            <v>G307</v>
          </cell>
          <cell r="C2285" t="str">
            <v>เยื่อไผ่ แขนสั้นขายาว Oversize แพลงตอน แดง S</v>
          </cell>
          <cell r="E2285">
            <v>0</v>
          </cell>
          <cell r="F2285">
            <v>890</v>
          </cell>
        </row>
        <row r="2286">
          <cell r="A2286" t="str">
            <v>BG0308-L</v>
          </cell>
          <cell r="B2286" t="str">
            <v>G308</v>
          </cell>
          <cell r="C2286" t="str">
            <v>เยื่อไผ่ แขนสั้นขายาว Oversize แพนด้า ส้มโอ L</v>
          </cell>
          <cell r="E2286">
            <v>0</v>
          </cell>
          <cell r="F2286">
            <v>890</v>
          </cell>
        </row>
        <row r="2287">
          <cell r="A2287" t="str">
            <v>BG0308-M</v>
          </cell>
          <cell r="B2287" t="str">
            <v>G308</v>
          </cell>
          <cell r="C2287" t="str">
            <v>เยื่อไผ่ แขนสั้นขายาว Oversize แพนด้า ส้มโอ M</v>
          </cell>
          <cell r="E2287">
            <v>0</v>
          </cell>
          <cell r="F2287">
            <v>890</v>
          </cell>
        </row>
        <row r="2288">
          <cell r="A2288" t="str">
            <v>BG0308-S</v>
          </cell>
          <cell r="B2288" t="str">
            <v>G308</v>
          </cell>
          <cell r="C2288" t="str">
            <v>เยื่อไผ่ แขนสั้นขายาว Oversize แพนด้า ส้มโอ S</v>
          </cell>
          <cell r="E2288">
            <v>0</v>
          </cell>
          <cell r="F2288">
            <v>890</v>
          </cell>
        </row>
        <row r="2289">
          <cell r="A2289" t="str">
            <v>BG0309-L</v>
          </cell>
          <cell r="B2289" t="str">
            <v>G309</v>
          </cell>
          <cell r="C2289" t="str">
            <v>เยื่อไผ่ แขนสั้นขายาว Oversize ดอกบ๋วยชมพู พื้นขาว L</v>
          </cell>
          <cell r="E2289">
            <v>0</v>
          </cell>
          <cell r="F2289">
            <v>890</v>
          </cell>
        </row>
        <row r="2290">
          <cell r="A2290" t="str">
            <v>BG0309-M</v>
          </cell>
          <cell r="B2290" t="str">
            <v>G309</v>
          </cell>
          <cell r="C2290" t="str">
            <v>เยื่อไผ่ แขนสั้นขายาว Oversize ดอกบ๋วยชมพู พื้นขาว M</v>
          </cell>
          <cell r="E2290">
            <v>0</v>
          </cell>
          <cell r="F2290">
            <v>890</v>
          </cell>
        </row>
        <row r="2291">
          <cell r="A2291" t="str">
            <v>BG0309-S</v>
          </cell>
          <cell r="B2291" t="str">
            <v>G309</v>
          </cell>
          <cell r="C2291" t="str">
            <v>เยื่อไผ่ แขนสั้นขายาว Oversize ดอกบ๋วยชมพู พื้นขาว S</v>
          </cell>
          <cell r="E2291">
            <v>0</v>
          </cell>
          <cell r="F2291">
            <v>890</v>
          </cell>
        </row>
        <row r="2292">
          <cell r="A2292" t="str">
            <v>BG0328-L</v>
          </cell>
          <cell r="B2292" t="str">
            <v>G328</v>
          </cell>
          <cell r="C2292" t="str">
            <v>เยื่อไผ่ ห้าส่วน Cat Party OverSiz L</v>
          </cell>
          <cell r="E2292">
            <v>0</v>
          </cell>
          <cell r="F2292">
            <v>890</v>
          </cell>
        </row>
        <row r="2293">
          <cell r="A2293" t="str">
            <v>BG0328-M</v>
          </cell>
          <cell r="B2293" t="str">
            <v>QG328</v>
          </cell>
          <cell r="C2293" t="str">
            <v>เยื่อไผ่ ห้าส่วน Cat Party OverSiz M QC</v>
          </cell>
          <cell r="E2293">
            <v>0</v>
          </cell>
          <cell r="F2293">
            <v>890</v>
          </cell>
        </row>
        <row r="2294">
          <cell r="A2294" t="str">
            <v>BG0328-S</v>
          </cell>
          <cell r="B2294" t="str">
            <v>G328</v>
          </cell>
          <cell r="C2294" t="str">
            <v>เยื่อไผ่ ห้าส่วน Cat Party OverSize S</v>
          </cell>
          <cell r="E2294">
            <v>0</v>
          </cell>
          <cell r="F2294">
            <v>890</v>
          </cell>
        </row>
        <row r="2295">
          <cell r="A2295" t="str">
            <v>BG0328-XL</v>
          </cell>
          <cell r="B2295" t="str">
            <v>QG328</v>
          </cell>
          <cell r="C2295" t="str">
            <v>เยื่อไผ่ ห้าส่วน Cat Party OverSize XL QC</v>
          </cell>
          <cell r="E2295">
            <v>0</v>
          </cell>
          <cell r="F2295">
            <v>890</v>
          </cell>
        </row>
        <row r="2296">
          <cell r="A2296" t="str">
            <v>BG0329-L</v>
          </cell>
          <cell r="B2296" t="str">
            <v>G329</v>
          </cell>
          <cell r="C2296" t="str">
            <v>เยื่อไผ่ ห้าส่วน ช้างน้อยพ่นน้ำ พื้นชมพู OverSize L</v>
          </cell>
          <cell r="E2296">
            <v>0</v>
          </cell>
          <cell r="F2296">
            <v>890</v>
          </cell>
        </row>
        <row r="2297">
          <cell r="A2297" t="str">
            <v>BG0329-M</v>
          </cell>
          <cell r="B2297" t="str">
            <v>G329</v>
          </cell>
          <cell r="C2297" t="str">
            <v>เยื่อไผ่ ห้าส่วน ช้างน้อยพ่นน้ำ พื้นชมพู OverSize M</v>
          </cell>
          <cell r="E2297">
            <v>0</v>
          </cell>
          <cell r="F2297">
            <v>890</v>
          </cell>
        </row>
        <row r="2298">
          <cell r="A2298" t="str">
            <v>BG0330-L</v>
          </cell>
          <cell r="B2298" t="str">
            <v>G330</v>
          </cell>
          <cell r="C2298" t="str">
            <v>เยื่อไผ่ ห้าส่วน ซากุระ ไทเกอร์ พื้นชมพู L</v>
          </cell>
          <cell r="E2298">
            <v>0</v>
          </cell>
          <cell r="F2298">
            <v>890</v>
          </cell>
        </row>
        <row r="2299">
          <cell r="A2299" t="str">
            <v>BG0330-M</v>
          </cell>
          <cell r="B2299" t="str">
            <v>G330</v>
          </cell>
          <cell r="C2299" t="str">
            <v>เยื่อไผ่ ห้าส่วน ซากุระ ไทเกอร์ พื้นชมพู M</v>
          </cell>
          <cell r="E2299">
            <v>0</v>
          </cell>
          <cell r="F2299">
            <v>890</v>
          </cell>
        </row>
        <row r="2300">
          <cell r="A2300" t="str">
            <v>BG0330-S</v>
          </cell>
          <cell r="B2300" t="str">
            <v>G330</v>
          </cell>
          <cell r="C2300" t="str">
            <v>เยื่อไผ่ ห้าส่วน ซากุระ ไทเกอร์ พื้นชมพู S</v>
          </cell>
          <cell r="E2300">
            <v>0</v>
          </cell>
          <cell r="F2300">
            <v>890</v>
          </cell>
        </row>
        <row r="2301">
          <cell r="A2301" t="str">
            <v>BG0330-XL</v>
          </cell>
          <cell r="B2301" t="str">
            <v>G330</v>
          </cell>
          <cell r="C2301" t="str">
            <v>เยื่อไผ่ ห้าส่วน ซากุระ ไทเกอร์ พื้นชมพู XL</v>
          </cell>
          <cell r="E2301">
            <v>0</v>
          </cell>
          <cell r="F2301">
            <v>890</v>
          </cell>
        </row>
        <row r="2302">
          <cell r="A2302" t="str">
            <v>BG0331-L</v>
          </cell>
          <cell r="B2302" t="str">
            <v>G331</v>
          </cell>
          <cell r="C2302" t="str">
            <v>เยื่อไผ่ ห้าส่วน สวนสัตว์ พื้นดำ L</v>
          </cell>
          <cell r="E2302">
            <v>0</v>
          </cell>
          <cell r="F2302">
            <v>890</v>
          </cell>
        </row>
        <row r="2303">
          <cell r="A2303" t="str">
            <v>BG0331-M</v>
          </cell>
          <cell r="B2303" t="str">
            <v>G331</v>
          </cell>
          <cell r="C2303" t="str">
            <v>เยื่อไผ่ ห้าส่วน สวนสัตว์ พื้นดำ M</v>
          </cell>
          <cell r="E2303">
            <v>0</v>
          </cell>
          <cell r="F2303">
            <v>890</v>
          </cell>
        </row>
        <row r="2304">
          <cell r="A2304" t="str">
            <v>BG0331-S</v>
          </cell>
          <cell r="B2304" t="str">
            <v>G331</v>
          </cell>
          <cell r="C2304" t="str">
            <v>เยื่อไผ่ ห้าส่วน สวนสัตว์ พื้นดำ S</v>
          </cell>
          <cell r="E2304">
            <v>2</v>
          </cell>
          <cell r="F2304">
            <v>890</v>
          </cell>
        </row>
        <row r="2305">
          <cell r="A2305" t="str">
            <v>BG0331-XL</v>
          </cell>
          <cell r="B2305" t="str">
            <v>G331</v>
          </cell>
          <cell r="C2305" t="str">
            <v>เยื่อไผ่ ห้าส่วน สวนสัตว์ พื้นดำ XL</v>
          </cell>
          <cell r="E2305">
            <v>0</v>
          </cell>
          <cell r="F2305">
            <v>890</v>
          </cell>
        </row>
        <row r="2306">
          <cell r="A2306" t="str">
            <v>BG0332-L</v>
          </cell>
          <cell r="B2306" t="str">
            <v>G332</v>
          </cell>
          <cell r="C2306" t="str">
            <v>เยื่อไผ่ ห้าส่วน เสือดาว พื้นเขียว L</v>
          </cell>
          <cell r="E2306">
            <v>0</v>
          </cell>
          <cell r="F2306">
            <v>890</v>
          </cell>
        </row>
        <row r="2307">
          <cell r="A2307" t="str">
            <v>BG0332-M</v>
          </cell>
          <cell r="B2307" t="str">
            <v>G332</v>
          </cell>
          <cell r="C2307" t="str">
            <v>เยื่อไผ่ ห้าส่วน เสือดาว พื้นเขียว M</v>
          </cell>
          <cell r="E2307">
            <v>0</v>
          </cell>
          <cell r="F2307">
            <v>890</v>
          </cell>
        </row>
        <row r="2308">
          <cell r="A2308" t="str">
            <v>BG0332-S</v>
          </cell>
          <cell r="B2308" t="str">
            <v>G332</v>
          </cell>
          <cell r="C2308" t="str">
            <v>เยื่อไผ่ ห้าส่วน เสือดาว พื้นเขียว S</v>
          </cell>
          <cell r="E2308">
            <v>0</v>
          </cell>
          <cell r="F2308">
            <v>890</v>
          </cell>
        </row>
        <row r="2309">
          <cell r="A2309" t="str">
            <v>BG0332-XL</v>
          </cell>
          <cell r="B2309" t="str">
            <v>G332</v>
          </cell>
          <cell r="C2309" t="str">
            <v>เยื่อไผ่ ห้าส่วน เสือดาว พื้นเขียว XL</v>
          </cell>
          <cell r="E2309">
            <v>0</v>
          </cell>
          <cell r="F2309">
            <v>890</v>
          </cell>
        </row>
        <row r="2310">
          <cell r="A2310" t="str">
            <v>BG0333-L</v>
          </cell>
          <cell r="B2310" t="str">
            <v>G333</v>
          </cell>
          <cell r="C2310" t="str">
            <v>เยื่อไผ่ ห้าส่วน ซากุระ ไทเกอร์ พื้นกรม L</v>
          </cell>
          <cell r="E2310">
            <v>0</v>
          </cell>
          <cell r="F2310">
            <v>890</v>
          </cell>
        </row>
        <row r="2311">
          <cell r="A2311" t="str">
            <v>BG0333-M</v>
          </cell>
          <cell r="B2311" t="str">
            <v>G333</v>
          </cell>
          <cell r="C2311" t="str">
            <v>เยื่อไผ่ ห้าส่วน ซากุระ ไทเกอร์ พื้นกรม M</v>
          </cell>
          <cell r="E2311">
            <v>0</v>
          </cell>
          <cell r="F2311">
            <v>890</v>
          </cell>
        </row>
        <row r="2312">
          <cell r="A2312" t="str">
            <v>BG0333-S</v>
          </cell>
          <cell r="B2312" t="str">
            <v>G333</v>
          </cell>
          <cell r="C2312" t="str">
            <v>เยื่อไผ่ ห้าส่วน ซากุระ ไทเกอร์ พื้นกรม S</v>
          </cell>
          <cell r="E2312">
            <v>0</v>
          </cell>
          <cell r="F2312">
            <v>890</v>
          </cell>
        </row>
        <row r="2313">
          <cell r="A2313" t="str">
            <v>BG0333-XL</v>
          </cell>
          <cell r="B2313" t="str">
            <v>G333</v>
          </cell>
          <cell r="C2313" t="str">
            <v>เยื่อไผ่ ห้าส่วน ซากุระ ไทเกอร์ พื้นกรม XL</v>
          </cell>
          <cell r="E2313">
            <v>0</v>
          </cell>
          <cell r="F2313">
            <v>890</v>
          </cell>
        </row>
        <row r="2314">
          <cell r="A2314" t="str">
            <v>BG0334-L</v>
          </cell>
          <cell r="B2314" t="str">
            <v>G334</v>
          </cell>
          <cell r="C2314" t="str">
            <v>เยื่อไผ่ ห้าส่วน พื้นขาว ดอกกุหลาบแดง กล้วยไม้ L</v>
          </cell>
          <cell r="E2314">
            <v>0</v>
          </cell>
          <cell r="F2314">
            <v>890</v>
          </cell>
        </row>
        <row r="2315">
          <cell r="A2315" t="str">
            <v>BG0334-M</v>
          </cell>
          <cell r="B2315" t="str">
            <v>G334</v>
          </cell>
          <cell r="C2315" t="str">
            <v>เยื่อไผ่ ห้าส่วน พื้นขาว ดอกกุหลาบแดง กล้วยไม้ M</v>
          </cell>
          <cell r="E2315">
            <v>0</v>
          </cell>
          <cell r="F2315">
            <v>890</v>
          </cell>
        </row>
        <row r="2316">
          <cell r="A2316" t="str">
            <v>BG0334-S</v>
          </cell>
          <cell r="B2316" t="str">
            <v>G334</v>
          </cell>
          <cell r="C2316" t="str">
            <v>เยื่อไผ่ ห้าส่วน พื้นขาว ดอกกุหลาบแดง กล้วยไม้ S</v>
          </cell>
          <cell r="E2316">
            <v>0</v>
          </cell>
          <cell r="F2316">
            <v>890</v>
          </cell>
        </row>
        <row r="2317">
          <cell r="A2317" t="str">
            <v>BG0335-L</v>
          </cell>
          <cell r="B2317" t="str">
            <v>G335</v>
          </cell>
          <cell r="C2317" t="str">
            <v>เยื่อไผ่ ห้าส่วน Spring Season L</v>
          </cell>
          <cell r="E2317">
            <v>0</v>
          </cell>
          <cell r="F2317">
            <v>890</v>
          </cell>
        </row>
        <row r="2318">
          <cell r="A2318" t="str">
            <v>BG0335-M</v>
          </cell>
          <cell r="B2318" t="str">
            <v>G335</v>
          </cell>
          <cell r="C2318" t="str">
            <v>เยื่อไผ่ ห้าส่วน Spring Season M</v>
          </cell>
          <cell r="E2318">
            <v>0</v>
          </cell>
          <cell r="F2318">
            <v>890</v>
          </cell>
        </row>
        <row r="2319">
          <cell r="A2319" t="str">
            <v>BG0335-S</v>
          </cell>
          <cell r="B2319" t="str">
            <v>G335</v>
          </cell>
          <cell r="C2319" t="str">
            <v>เยื่อไผ่ ห้าส่วน Spring Season S</v>
          </cell>
          <cell r="E2319">
            <v>0</v>
          </cell>
          <cell r="F2319">
            <v>890</v>
          </cell>
        </row>
        <row r="2320">
          <cell r="A2320" t="str">
            <v>BG0336-L</v>
          </cell>
          <cell r="B2320" t="str">
            <v>G336</v>
          </cell>
          <cell r="C2320" t="str">
            <v>เยื่อไผ่ ห้าส่วน แมวการ์ตูน พื้นฟ้า L</v>
          </cell>
          <cell r="E2320">
            <v>0</v>
          </cell>
          <cell r="F2320">
            <v>890</v>
          </cell>
        </row>
        <row r="2321">
          <cell r="A2321" t="str">
            <v>BG0336-M</v>
          </cell>
          <cell r="B2321" t="str">
            <v>G336</v>
          </cell>
          <cell r="C2321" t="str">
            <v>เยื่อไผ่ ห้าส่วน แมวการ์ตูน พื้นฟ้า M</v>
          </cell>
          <cell r="E2321">
            <v>0</v>
          </cell>
          <cell r="F2321">
            <v>890</v>
          </cell>
        </row>
        <row r="2322">
          <cell r="A2322" t="str">
            <v>BG0336-S</v>
          </cell>
          <cell r="B2322" t="str">
            <v>G336</v>
          </cell>
          <cell r="C2322" t="str">
            <v>เยื่อไผ่ ห้าส่วน แมวการ์ตูน พื้นฟ้า S</v>
          </cell>
          <cell r="E2322">
            <v>0</v>
          </cell>
          <cell r="F2322">
            <v>890</v>
          </cell>
        </row>
        <row r="2323">
          <cell r="A2323" t="str">
            <v>BG0337-L</v>
          </cell>
          <cell r="B2323" t="str">
            <v>G337</v>
          </cell>
          <cell r="C2323" t="str">
            <v>เยื่อไผ่ ห้าส่วน พื้นฟ้าอ่อน ใบไม้ผลิ L</v>
          </cell>
          <cell r="E2323">
            <v>0</v>
          </cell>
          <cell r="F2323">
            <v>890</v>
          </cell>
        </row>
        <row r="2324">
          <cell r="A2324" t="str">
            <v>BG0337-M</v>
          </cell>
          <cell r="B2324" t="str">
            <v>G337</v>
          </cell>
          <cell r="C2324" t="str">
            <v>เยื่อไผ่ ห้าส่วน พื้นฟ้าอ่อน ใบไม้ผลิ M</v>
          </cell>
          <cell r="E2324">
            <v>0</v>
          </cell>
          <cell r="F2324">
            <v>890</v>
          </cell>
        </row>
        <row r="2325">
          <cell r="A2325" t="str">
            <v>BG0337-S</v>
          </cell>
          <cell r="B2325" t="str">
            <v>G337</v>
          </cell>
          <cell r="C2325" t="str">
            <v>เยื่อไผ่ ห้าส่วน พื้นฟ้าอ่อน ใบไม้ผลิ S</v>
          </cell>
          <cell r="E2325">
            <v>0</v>
          </cell>
          <cell r="F2325">
            <v>890</v>
          </cell>
        </row>
        <row r="2326">
          <cell r="A2326" t="str">
            <v>BG0337-XL</v>
          </cell>
          <cell r="B2326" t="str">
            <v>G337</v>
          </cell>
          <cell r="C2326" t="str">
            <v>เยื่อไผ่ ห้าส่วน พื้นฟ้าอ่อน ใบไม้ผลิ XL</v>
          </cell>
          <cell r="E2326">
            <v>0</v>
          </cell>
          <cell r="F2326">
            <v>890</v>
          </cell>
        </row>
        <row r="2327">
          <cell r="A2327" t="str">
            <v>BG0338-L</v>
          </cell>
          <cell r="B2327" t="str">
            <v>G338</v>
          </cell>
          <cell r="C2327" t="str">
            <v>เยื่อไผ่ ห้าส่วน พื้นขาว รวมสัตว์ L</v>
          </cell>
          <cell r="E2327">
            <v>0</v>
          </cell>
          <cell r="F2327">
            <v>890</v>
          </cell>
        </row>
        <row r="2328">
          <cell r="A2328" t="str">
            <v>BG0338-M</v>
          </cell>
          <cell r="B2328" t="str">
            <v>QG338</v>
          </cell>
          <cell r="C2328" t="str">
            <v>เยื่อไผ่ ห้าส่วน พื้นขาว รวมสัตว์ M QC</v>
          </cell>
          <cell r="E2328">
            <v>0</v>
          </cell>
          <cell r="F2328">
            <v>890</v>
          </cell>
        </row>
        <row r="2329">
          <cell r="A2329" t="str">
            <v>BG0338-S</v>
          </cell>
          <cell r="B2329" t="str">
            <v>G338</v>
          </cell>
          <cell r="C2329" t="str">
            <v>เยื่อไผ่ ห้าส่วน พื้นขาว รวมสัตว์ S</v>
          </cell>
          <cell r="E2329">
            <v>0</v>
          </cell>
          <cell r="F2329">
            <v>890</v>
          </cell>
        </row>
        <row r="2330">
          <cell r="A2330" t="str">
            <v>BG0338-XL</v>
          </cell>
          <cell r="B2330" t="str">
            <v>G338</v>
          </cell>
          <cell r="C2330" t="str">
            <v>เยื่อไผ่ ห้าส่วน พื้นขาว รวมสัตว์ XL</v>
          </cell>
          <cell r="E2330">
            <v>0</v>
          </cell>
          <cell r="F2330">
            <v>890</v>
          </cell>
        </row>
        <row r="2331">
          <cell r="A2331" t="str">
            <v>BG0339-L</v>
          </cell>
          <cell r="B2331" t="str">
            <v>G339</v>
          </cell>
          <cell r="C2331" t="str">
            <v>เยื่อไผ่ ห้าส่วน ตุ๊กตาสัตว์ พื้นฟ้า L</v>
          </cell>
          <cell r="E2331">
            <v>0</v>
          </cell>
          <cell r="F2331">
            <v>890</v>
          </cell>
        </row>
        <row r="2332">
          <cell r="A2332" t="str">
            <v>BG0339-M</v>
          </cell>
          <cell r="B2332" t="str">
            <v>G339</v>
          </cell>
          <cell r="C2332" t="str">
            <v>เยื่อไผ่ ห้าส่วน ตุ๊กตาสัตว์ พื้นฟ้า M</v>
          </cell>
          <cell r="E2332">
            <v>0</v>
          </cell>
          <cell r="F2332">
            <v>890</v>
          </cell>
        </row>
        <row r="2333">
          <cell r="A2333" t="str">
            <v>BG0339-S</v>
          </cell>
          <cell r="B2333" t="str">
            <v>G339</v>
          </cell>
          <cell r="C2333" t="str">
            <v>เยื่อไผ่ ห้าส่วน ตุ๊กตาสัตว์ พื้นฟ้า S</v>
          </cell>
          <cell r="E2333">
            <v>0</v>
          </cell>
          <cell r="F2333">
            <v>890</v>
          </cell>
        </row>
        <row r="2334">
          <cell r="A2334" t="str">
            <v>BG0340-L</v>
          </cell>
          <cell r="B2334" t="str">
            <v>G340</v>
          </cell>
          <cell r="C2334" t="str">
            <v>เยื่อไผ่ ห้าส่วน หางมะพร้าวแดง พื้นขาว L</v>
          </cell>
          <cell r="E2334">
            <v>0</v>
          </cell>
          <cell r="F2334">
            <v>890</v>
          </cell>
        </row>
        <row r="2335">
          <cell r="A2335" t="str">
            <v>BG0340-M</v>
          </cell>
          <cell r="B2335" t="str">
            <v>G340</v>
          </cell>
          <cell r="C2335" t="str">
            <v>เยื่อไผ่ ห้าส่วน หางมะพร้าวแดง พื้นขาว M</v>
          </cell>
          <cell r="E2335">
            <v>0</v>
          </cell>
          <cell r="F2335">
            <v>890</v>
          </cell>
        </row>
        <row r="2336">
          <cell r="A2336" t="str">
            <v>BG0340-S</v>
          </cell>
          <cell r="B2336" t="str">
            <v>G340</v>
          </cell>
          <cell r="C2336" t="str">
            <v>เยื่อไผ่ ห้าส่วน หางมะพร้าวแดง พื้นขาว S</v>
          </cell>
          <cell r="E2336">
            <v>0</v>
          </cell>
          <cell r="F2336">
            <v>890</v>
          </cell>
        </row>
        <row r="2337">
          <cell r="A2337" t="str">
            <v>BG0341-L</v>
          </cell>
          <cell r="B2337" t="str">
            <v>G341</v>
          </cell>
          <cell r="C2337" t="str">
            <v>เยื่อไผ่ ห้าส่วน พื้นขาว ดอกไม้เหลือง ผีเสื้อเขียว L</v>
          </cell>
          <cell r="E2337">
            <v>0</v>
          </cell>
          <cell r="F2337">
            <v>890</v>
          </cell>
        </row>
        <row r="2338">
          <cell r="A2338" t="str">
            <v>BG0341-M</v>
          </cell>
          <cell r="B2338" t="str">
            <v>G341</v>
          </cell>
          <cell r="C2338" t="str">
            <v>เยื่อไผ่ ห้าส่วน พื้นขาว ดอกไม้เหลือง ผีเสื้อเขียว M</v>
          </cell>
          <cell r="E2338">
            <v>0</v>
          </cell>
          <cell r="F2338">
            <v>890</v>
          </cell>
        </row>
        <row r="2339">
          <cell r="A2339" t="str">
            <v>BG0341-S</v>
          </cell>
          <cell r="B2339" t="str">
            <v>G341</v>
          </cell>
          <cell r="C2339" t="str">
            <v>เยื่อไผ่ ห้าส่วน พื้นขาว ดอกไม้เหลือง ผีเสื้อเขียว S</v>
          </cell>
          <cell r="E2339">
            <v>0</v>
          </cell>
          <cell r="F2339">
            <v>890</v>
          </cell>
        </row>
        <row r="2340">
          <cell r="A2340" t="str">
            <v>BG0342-L</v>
          </cell>
          <cell r="B2340" t="str">
            <v>G342</v>
          </cell>
          <cell r="C2340" t="str">
            <v>เยื่อไผ่ ห้าส่วน ดอกไม้ชมพู เหลือง พื้นฟ้า L</v>
          </cell>
          <cell r="E2340">
            <v>0</v>
          </cell>
          <cell r="F2340">
            <v>890</v>
          </cell>
        </row>
        <row r="2341">
          <cell r="A2341" t="str">
            <v>BG0342-M</v>
          </cell>
          <cell r="B2341" t="str">
            <v>G342</v>
          </cell>
          <cell r="C2341" t="str">
            <v>เยื่อไผ่ ห้าส่วน ดอกไม้ชมพู เหลือง พื้นฟ้า M</v>
          </cell>
          <cell r="E2341">
            <v>0</v>
          </cell>
          <cell r="F2341">
            <v>890</v>
          </cell>
        </row>
        <row r="2342">
          <cell r="A2342" t="str">
            <v>BG0342-S</v>
          </cell>
          <cell r="B2342" t="str">
            <v>G342</v>
          </cell>
          <cell r="C2342" t="str">
            <v>เยื่อไผ่ ห้าส่วน ดอกไม้ชมพู เหลือง พื้นฟ้า S</v>
          </cell>
          <cell r="E2342">
            <v>0</v>
          </cell>
          <cell r="F2342">
            <v>590</v>
          </cell>
        </row>
        <row r="2343">
          <cell r="A2343" t="str">
            <v>BG0342-XL</v>
          </cell>
          <cell r="B2343" t="str">
            <v>G342</v>
          </cell>
          <cell r="C2343" t="str">
            <v>เยื่อไผ่ ห้าส่วน ดอกไม้ชมพู เหลือง พื้นฟ้า XL</v>
          </cell>
          <cell r="E2343">
            <v>0</v>
          </cell>
          <cell r="F2343">
            <v>890</v>
          </cell>
        </row>
        <row r="2344">
          <cell r="A2344" t="str">
            <v>BG0343-L</v>
          </cell>
          <cell r="B2344" t="str">
            <v>G343</v>
          </cell>
          <cell r="C2344" t="str">
            <v>เยื่อไผ่ ห้าส่วน นกยูง พื้นขาวครีม L</v>
          </cell>
          <cell r="E2344">
            <v>0</v>
          </cell>
          <cell r="F2344">
            <v>890</v>
          </cell>
        </row>
        <row r="2345">
          <cell r="A2345" t="str">
            <v>BG0343-M</v>
          </cell>
          <cell r="B2345" t="str">
            <v>G343</v>
          </cell>
          <cell r="C2345" t="str">
            <v>เยื่อไผ่ ห้าส่วน นกยูง พื้นขาวครีม M</v>
          </cell>
          <cell r="E2345">
            <v>0</v>
          </cell>
          <cell r="F2345">
            <v>890</v>
          </cell>
        </row>
        <row r="2346">
          <cell r="A2346" t="str">
            <v>BG0343-S</v>
          </cell>
          <cell r="B2346" t="str">
            <v>G343</v>
          </cell>
          <cell r="C2346" t="str">
            <v>เยื่อไผ่ ห้าส่วน นกยูง พื้นขาวครีม S</v>
          </cell>
          <cell r="E2346">
            <v>0</v>
          </cell>
          <cell r="F2346">
            <v>890</v>
          </cell>
        </row>
        <row r="2347">
          <cell r="A2347" t="str">
            <v>BG0344-L</v>
          </cell>
          <cell r="B2347" t="str">
            <v>G344</v>
          </cell>
          <cell r="C2347" t="str">
            <v>เยื่อไผ่ ห้าส่วน ใบตอง พื้นดำ L</v>
          </cell>
          <cell r="E2347">
            <v>0</v>
          </cell>
          <cell r="F2347">
            <v>890</v>
          </cell>
        </row>
        <row r="2348">
          <cell r="A2348" t="str">
            <v>BG0344-M</v>
          </cell>
          <cell r="B2348" t="str">
            <v>G344</v>
          </cell>
          <cell r="C2348" t="str">
            <v>เยื่อไผ่ ห้าส่วน ใบตอง พื้นดำ M</v>
          </cell>
          <cell r="E2348">
            <v>0</v>
          </cell>
          <cell r="F2348">
            <v>890</v>
          </cell>
        </row>
        <row r="2349">
          <cell r="A2349" t="str">
            <v>BG0344-S</v>
          </cell>
          <cell r="B2349" t="str">
            <v>G344</v>
          </cell>
          <cell r="C2349" t="str">
            <v>เยื่อไผ่ ห้าส่วน ใบตอง พื้นดำ S</v>
          </cell>
          <cell r="E2349">
            <v>0</v>
          </cell>
          <cell r="F2349">
            <v>890</v>
          </cell>
        </row>
        <row r="2350">
          <cell r="A2350" t="str">
            <v>BG0345-L</v>
          </cell>
          <cell r="B2350" t="str">
            <v>G345</v>
          </cell>
          <cell r="C2350" t="str">
            <v>เยื่อไผ่ ห้าส่วน เสือดำ พื้นขาว L</v>
          </cell>
          <cell r="E2350">
            <v>0</v>
          </cell>
          <cell r="F2350">
            <v>890</v>
          </cell>
        </row>
        <row r="2351">
          <cell r="A2351" t="str">
            <v>BG0345-M</v>
          </cell>
          <cell r="B2351" t="str">
            <v>G345</v>
          </cell>
          <cell r="C2351" t="str">
            <v>เยื่อไผ่ ห้าส่วน เสือดำ พื้นขาว M</v>
          </cell>
          <cell r="E2351">
            <v>0</v>
          </cell>
          <cell r="F2351">
            <v>890</v>
          </cell>
        </row>
        <row r="2352">
          <cell r="A2352" t="str">
            <v>BG0345-S</v>
          </cell>
          <cell r="B2352" t="str">
            <v>G345</v>
          </cell>
          <cell r="C2352" t="str">
            <v>เยื่อไผ่ ห้าส่วน เสือดำ พื้นขาว S</v>
          </cell>
          <cell r="E2352">
            <v>0</v>
          </cell>
          <cell r="F2352">
            <v>890</v>
          </cell>
        </row>
        <row r="2353">
          <cell r="A2353" t="str">
            <v>BG0363-L</v>
          </cell>
          <cell r="B2353" t="str">
            <v>G363</v>
          </cell>
          <cell r="C2353" t="str">
            <v>เยื่อไผ่ ห้าส่วน พื้นกรม ดอกกุหลาบแดง กล้วยไม้ S</v>
          </cell>
          <cell r="E2353">
            <v>0</v>
          </cell>
          <cell r="F2353">
            <v>890</v>
          </cell>
        </row>
        <row r="2354">
          <cell r="A2354" t="str">
            <v>BG0363-M</v>
          </cell>
          <cell r="B2354" t="str">
            <v>G363</v>
          </cell>
          <cell r="C2354" t="str">
            <v>เยื่อไผ่ ห้าส่วน พื้นกรม ดอกกุหลาบแดง กล้วยไม้ M</v>
          </cell>
          <cell r="E2354">
            <v>0</v>
          </cell>
          <cell r="F2354">
            <v>890</v>
          </cell>
        </row>
        <row r="2355">
          <cell r="A2355" t="str">
            <v>BG0363-S</v>
          </cell>
          <cell r="B2355" t="str">
            <v>G363</v>
          </cell>
          <cell r="C2355" t="str">
            <v>เยื่อไผ่ ห้าส่วน พื้นกรม ดอกกุหลาบแดง กล้วยไม้ S</v>
          </cell>
          <cell r="E2355">
            <v>0</v>
          </cell>
          <cell r="F2355">
            <v>890</v>
          </cell>
        </row>
        <row r="2356">
          <cell r="A2356" t="str">
            <v>BG0381-L</v>
          </cell>
          <cell r="B2356" t="str">
            <v>QG381</v>
          </cell>
          <cell r="C2356" t="str">
            <v>เยื่อไผ่ ห้าส่วน เถาวัลย์ ม่วง พื้นขาว L QC</v>
          </cell>
          <cell r="E2356">
            <v>0</v>
          </cell>
          <cell r="F2356">
            <v>890</v>
          </cell>
        </row>
        <row r="2357">
          <cell r="A2357" t="str">
            <v>BG0381-M</v>
          </cell>
          <cell r="B2357" t="str">
            <v>QG381</v>
          </cell>
          <cell r="C2357" t="str">
            <v>เยื่อไผ่ ห้าส่วน เถาวัลย์ ม่วง พื้นขาว M QC</v>
          </cell>
          <cell r="E2357">
            <v>0</v>
          </cell>
          <cell r="F2357">
            <v>890</v>
          </cell>
        </row>
        <row r="2358">
          <cell r="A2358" t="str">
            <v>BG0381-S</v>
          </cell>
          <cell r="B2358" t="str">
            <v>QG381</v>
          </cell>
          <cell r="C2358" t="str">
            <v>เยื่อไผ่ ห้าส่วน เถาวัลย์ ม่วง พื้นขาว S QC</v>
          </cell>
          <cell r="E2358">
            <v>0</v>
          </cell>
          <cell r="F2358">
            <v>890</v>
          </cell>
        </row>
        <row r="2359">
          <cell r="A2359" t="str">
            <v>BG0381-XL</v>
          </cell>
          <cell r="B2359" t="str">
            <v>G381</v>
          </cell>
          <cell r="C2359" t="str">
            <v>เยื่อไผ่ ห้าส่วน เถาวัลย์ ม่วง พื้นขาว XL</v>
          </cell>
          <cell r="E2359">
            <v>0</v>
          </cell>
          <cell r="F2359">
            <v>890</v>
          </cell>
        </row>
        <row r="2360">
          <cell r="A2360" t="str">
            <v>BG0382-L</v>
          </cell>
          <cell r="B2360" t="str">
            <v>G382</v>
          </cell>
          <cell r="C2360" t="str">
            <v>เยื่อไผ่ ห้าส่วน Classic Blue Flower L</v>
          </cell>
          <cell r="E2360">
            <v>0</v>
          </cell>
          <cell r="F2360">
            <v>890</v>
          </cell>
        </row>
        <row r="2361">
          <cell r="A2361" t="str">
            <v>BG0382-M</v>
          </cell>
          <cell r="B2361" t="str">
            <v>G382</v>
          </cell>
          <cell r="C2361" t="str">
            <v>เยื่อไผ่ ห้าส่วน Classic Blue Flower M</v>
          </cell>
          <cell r="E2361">
            <v>0</v>
          </cell>
          <cell r="F2361">
            <v>890</v>
          </cell>
        </row>
        <row r="2362">
          <cell r="A2362" t="str">
            <v>BG0382-S</v>
          </cell>
          <cell r="B2362" t="str">
            <v>G382</v>
          </cell>
          <cell r="C2362" t="str">
            <v>เยื่อไผ่ ห้าส่วน Classic Blue Flower S</v>
          </cell>
          <cell r="E2362">
            <v>0</v>
          </cell>
          <cell r="F2362">
            <v>890</v>
          </cell>
        </row>
        <row r="2363">
          <cell r="A2363" t="str">
            <v>BG0382-XL</v>
          </cell>
          <cell r="B2363" t="str">
            <v>G382</v>
          </cell>
          <cell r="C2363" t="str">
            <v>เยื่อไผ่ ห้าส่วน Classic Blue Flower XL</v>
          </cell>
          <cell r="E2363">
            <v>0</v>
          </cell>
          <cell r="F2363">
            <v>890</v>
          </cell>
        </row>
        <row r="2364">
          <cell r="A2364" t="str">
            <v>BG0385-L</v>
          </cell>
          <cell r="B2364" t="str">
            <v>G385</v>
          </cell>
          <cell r="C2364" t="str">
            <v>เยื่อไผ่ ห้าส่วน อันปังแมน L</v>
          </cell>
          <cell r="E2364">
            <v>0</v>
          </cell>
          <cell r="F2364">
            <v>890</v>
          </cell>
        </row>
        <row r="2365">
          <cell r="A2365" t="str">
            <v>BG0385-M</v>
          </cell>
          <cell r="B2365" t="str">
            <v>G385</v>
          </cell>
          <cell r="C2365" t="str">
            <v>เยื่อไผ่ ห้าส่วน อันปังแมน M</v>
          </cell>
          <cell r="E2365">
            <v>0</v>
          </cell>
          <cell r="F2365">
            <v>890</v>
          </cell>
        </row>
        <row r="2366">
          <cell r="A2366" t="str">
            <v>BG0385-S</v>
          </cell>
          <cell r="B2366" t="str">
            <v>G385</v>
          </cell>
          <cell r="C2366" t="str">
            <v>เยื่อไผ่ ห้าส่วน อันปังแมน S</v>
          </cell>
          <cell r="E2366">
            <v>0</v>
          </cell>
          <cell r="F2366">
            <v>590</v>
          </cell>
        </row>
        <row r="2367">
          <cell r="A2367" t="str">
            <v>BG0386-L</v>
          </cell>
          <cell r="B2367" t="str">
            <v>G386</v>
          </cell>
          <cell r="C2367" t="str">
            <v>เยื่อไผ่ ห้าส่วน กระต่าย พื้นกรม L</v>
          </cell>
          <cell r="E2367">
            <v>0</v>
          </cell>
          <cell r="F2367">
            <v>890</v>
          </cell>
        </row>
        <row r="2368">
          <cell r="A2368" t="str">
            <v>BG0386-M</v>
          </cell>
          <cell r="B2368" t="str">
            <v>G386</v>
          </cell>
          <cell r="C2368" t="str">
            <v>เยื่อไผ่ ห้าส่วน กระต่าย พื้นกรม M</v>
          </cell>
          <cell r="E2368">
            <v>0</v>
          </cell>
          <cell r="F2368">
            <v>890</v>
          </cell>
        </row>
        <row r="2369">
          <cell r="A2369" t="str">
            <v>BG0386-S</v>
          </cell>
          <cell r="B2369" t="str">
            <v>G386</v>
          </cell>
          <cell r="C2369" t="str">
            <v>เยื่อไผ่ ห้าส่วน กระต่าย พื้นกรม S</v>
          </cell>
          <cell r="E2369">
            <v>0</v>
          </cell>
          <cell r="F2369">
            <v>890</v>
          </cell>
        </row>
        <row r="2370">
          <cell r="A2370" t="str">
            <v>BG0387-L</v>
          </cell>
          <cell r="B2370" t="str">
            <v>G387</v>
          </cell>
          <cell r="C2370" t="str">
            <v>เยื่อไผ่ ห้าส่วน เท็ดดี้แบร์ พื้นกรม L</v>
          </cell>
          <cell r="E2370">
            <v>0</v>
          </cell>
          <cell r="F2370">
            <v>890</v>
          </cell>
        </row>
        <row r="2371">
          <cell r="A2371" t="str">
            <v>BG0387-M</v>
          </cell>
          <cell r="B2371" t="str">
            <v>G387</v>
          </cell>
          <cell r="C2371" t="str">
            <v>เยื่อไผ่ ห้าส่วน เท็ดดี้แบร์ พื้นกรม M</v>
          </cell>
          <cell r="E2371">
            <v>0</v>
          </cell>
          <cell r="F2371">
            <v>890</v>
          </cell>
        </row>
        <row r="2372">
          <cell r="A2372" t="str">
            <v>BG0387-S</v>
          </cell>
          <cell r="B2372" t="str">
            <v>G387</v>
          </cell>
          <cell r="C2372" t="str">
            <v>เยื่อไผ่ ห้าส่วน เท็ดดี้แบร์ พื้นกรม S</v>
          </cell>
          <cell r="E2372">
            <v>0</v>
          </cell>
          <cell r="F2372">
            <v>890</v>
          </cell>
        </row>
        <row r="2373">
          <cell r="A2373" t="str">
            <v>BG0388-L</v>
          </cell>
          <cell r="B2373" t="str">
            <v>G388</v>
          </cell>
          <cell r="C2373" t="str">
            <v>เยื่อไผ่ ห้าส่วน พื้นชมพู แฟนตาซี L</v>
          </cell>
          <cell r="E2373">
            <v>0</v>
          </cell>
          <cell r="F2373">
            <v>890</v>
          </cell>
        </row>
        <row r="2374">
          <cell r="A2374" t="str">
            <v>BG0388-M</v>
          </cell>
          <cell r="B2374" t="str">
            <v>G388</v>
          </cell>
          <cell r="C2374" t="str">
            <v>เยื่อไผ่ ห้าส่วน พื้นชมพู แฟนตาซี M</v>
          </cell>
          <cell r="E2374">
            <v>0</v>
          </cell>
          <cell r="F2374">
            <v>890</v>
          </cell>
        </row>
        <row r="2375">
          <cell r="A2375" t="str">
            <v>BG0388-S</v>
          </cell>
          <cell r="B2375" t="str">
            <v>G388</v>
          </cell>
          <cell r="C2375" t="str">
            <v>เยื่อไผ่ ห้าส่วน พื้นชมพู แฟนตาซี S</v>
          </cell>
          <cell r="E2375">
            <v>0</v>
          </cell>
          <cell r="F2375">
            <v>890</v>
          </cell>
        </row>
        <row r="2376">
          <cell r="A2376" t="str">
            <v>BG0389-L</v>
          </cell>
          <cell r="B2376" t="str">
            <v>G389</v>
          </cell>
          <cell r="C2376" t="str">
            <v>เยื่อไผ่ ห้าส่วน Brown and Navy L</v>
          </cell>
          <cell r="E2376">
            <v>0</v>
          </cell>
          <cell r="F2376">
            <v>890</v>
          </cell>
        </row>
        <row r="2377">
          <cell r="A2377" t="str">
            <v>BG0389-M</v>
          </cell>
          <cell r="B2377" t="str">
            <v>G389</v>
          </cell>
          <cell r="C2377" t="str">
            <v>เยื่อไผ่ ห้าส่วน Brown and Navy M</v>
          </cell>
          <cell r="E2377">
            <v>0</v>
          </cell>
          <cell r="F2377">
            <v>890</v>
          </cell>
        </row>
        <row r="2378">
          <cell r="A2378" t="str">
            <v>BG0389-S</v>
          </cell>
          <cell r="B2378" t="str">
            <v>G389</v>
          </cell>
          <cell r="C2378" t="str">
            <v>เยื่อไผ่ ห้าส่วน Brown and Navy S</v>
          </cell>
          <cell r="E2378">
            <v>0</v>
          </cell>
          <cell r="F2378">
            <v>890</v>
          </cell>
        </row>
        <row r="2379">
          <cell r="A2379" t="str">
            <v>BG0390-L</v>
          </cell>
          <cell r="B2379" t="str">
            <v>G390</v>
          </cell>
          <cell r="C2379" t="str">
            <v>เยื่อไผ่ ห้าส่วน Little Curve พื้นกรม L</v>
          </cell>
          <cell r="E2379">
            <v>0</v>
          </cell>
          <cell r="F2379">
            <v>890</v>
          </cell>
        </row>
        <row r="2380">
          <cell r="A2380" t="str">
            <v>BG0390-M</v>
          </cell>
          <cell r="B2380" t="str">
            <v>G390</v>
          </cell>
          <cell r="C2380" t="str">
            <v>เยื่อไผ่ ห้าส่วน Little Curve พื้นกรม M</v>
          </cell>
          <cell r="E2380">
            <v>0</v>
          </cell>
          <cell r="F2380">
            <v>890</v>
          </cell>
        </row>
        <row r="2381">
          <cell r="A2381" t="str">
            <v>BG0390-S</v>
          </cell>
          <cell r="B2381" t="str">
            <v>G390</v>
          </cell>
          <cell r="C2381" t="str">
            <v>เยื่อไผ่ ห้าส่วน Little Curve พื้นกรม S</v>
          </cell>
          <cell r="E2381">
            <v>0</v>
          </cell>
          <cell r="F2381">
            <v>890</v>
          </cell>
        </row>
        <row r="2382">
          <cell r="A2382" t="str">
            <v>BG0391-L</v>
          </cell>
          <cell r="B2382" t="str">
            <v>G391</v>
          </cell>
          <cell r="C2382" t="str">
            <v>เยื่อไผ่ ห้าส่วน Alphabet พื้นฟ้า L</v>
          </cell>
          <cell r="E2382">
            <v>0</v>
          </cell>
          <cell r="F2382">
            <v>890</v>
          </cell>
        </row>
        <row r="2383">
          <cell r="A2383" t="str">
            <v>BG0391-M</v>
          </cell>
          <cell r="B2383" t="str">
            <v>G391</v>
          </cell>
          <cell r="C2383" t="str">
            <v>เยื่อไผ่ ห้าส่วน Alphabet พื้นฟ้า M</v>
          </cell>
          <cell r="E2383">
            <v>0</v>
          </cell>
          <cell r="F2383">
            <v>890</v>
          </cell>
        </row>
        <row r="2384">
          <cell r="A2384" t="str">
            <v>BG0391-S</v>
          </cell>
          <cell r="B2384" t="str">
            <v>G391</v>
          </cell>
          <cell r="C2384" t="str">
            <v>เยื่อไผ่ ห้าส่วน Alphabet พื้นฟ้า S</v>
          </cell>
          <cell r="E2384">
            <v>0</v>
          </cell>
          <cell r="F2384">
            <v>890</v>
          </cell>
        </row>
        <row r="2385">
          <cell r="A2385" t="str">
            <v>BG0392-L</v>
          </cell>
          <cell r="B2385" t="str">
            <v>G392</v>
          </cell>
          <cell r="C2385" t="str">
            <v>เยื่อไผ่ ห้าส่วน เป็ดเหลือง พื้นฟ้า L</v>
          </cell>
          <cell r="E2385">
            <v>0</v>
          </cell>
          <cell r="F2385">
            <v>890</v>
          </cell>
        </row>
        <row r="2386">
          <cell r="A2386" t="str">
            <v>BG0392-M</v>
          </cell>
          <cell r="B2386" t="str">
            <v>G392</v>
          </cell>
          <cell r="C2386" t="str">
            <v>เยื่อไผ่ ห้าส่วน เป็ดเหลือง พื้นฟ้า M</v>
          </cell>
          <cell r="E2386">
            <v>0</v>
          </cell>
          <cell r="F2386">
            <v>890</v>
          </cell>
        </row>
        <row r="2387">
          <cell r="A2387" t="str">
            <v>BG0392-S</v>
          </cell>
          <cell r="B2387" t="str">
            <v>G392</v>
          </cell>
          <cell r="C2387" t="str">
            <v>เยื่อไผ่ ห้าส่วน เป็ดเหลือง พื้นฟ้า S</v>
          </cell>
          <cell r="E2387">
            <v>0</v>
          </cell>
          <cell r="F2387">
            <v>890</v>
          </cell>
        </row>
        <row r="2388">
          <cell r="A2388" t="str">
            <v>BG0393-L</v>
          </cell>
          <cell r="B2388" t="str">
            <v>G393</v>
          </cell>
          <cell r="C2388" t="str">
            <v>เยื่อไผ่ แขนสั้นขาห้าส่วน ยีราฟ พื้นฟ้า L Oversize</v>
          </cell>
          <cell r="E2388">
            <v>0</v>
          </cell>
          <cell r="F2388">
            <v>890</v>
          </cell>
        </row>
        <row r="2389">
          <cell r="A2389" t="str">
            <v>BG0393-M</v>
          </cell>
          <cell r="B2389" t="str">
            <v>G393</v>
          </cell>
          <cell r="C2389" t="str">
            <v>เยื่อไผ่ แขนสั้นขาห้าส่วน ยีราฟ พื้นฟ้า M Oversize</v>
          </cell>
          <cell r="E2389">
            <v>0</v>
          </cell>
          <cell r="F2389">
            <v>890</v>
          </cell>
        </row>
        <row r="2390">
          <cell r="A2390" t="str">
            <v>BG0393-S</v>
          </cell>
          <cell r="B2390" t="str">
            <v>G393</v>
          </cell>
          <cell r="C2390" t="str">
            <v>เยื่อไผ่ แขนสั้นขาห้าส่วน ยีราฟ พื้นฟ้า S Oversize</v>
          </cell>
          <cell r="E2390">
            <v>0</v>
          </cell>
          <cell r="F2390">
            <v>890</v>
          </cell>
        </row>
        <row r="2391">
          <cell r="A2391" t="str">
            <v>BG0394-L</v>
          </cell>
          <cell r="B2391" t="str">
            <v>G394</v>
          </cell>
          <cell r="C2391" t="str">
            <v>เยื่อไผ่ แขนสั้นขาห้าส่วน ยีราฟ พื้นกรม L Oversize</v>
          </cell>
          <cell r="E2391">
            <v>0</v>
          </cell>
          <cell r="F2391">
            <v>890</v>
          </cell>
        </row>
        <row r="2392">
          <cell r="A2392" t="str">
            <v>BG0394-M</v>
          </cell>
          <cell r="B2392" t="str">
            <v>G394</v>
          </cell>
          <cell r="C2392" t="str">
            <v>เยื่อไผ่ แขนสั้นขาห้าส่วน ยีราฟ พื้นกรม M Oversize</v>
          </cell>
          <cell r="E2392">
            <v>0</v>
          </cell>
          <cell r="F2392">
            <v>890</v>
          </cell>
        </row>
        <row r="2393">
          <cell r="A2393" t="str">
            <v>BG0394-S</v>
          </cell>
          <cell r="B2393" t="str">
            <v>G394</v>
          </cell>
          <cell r="C2393" t="str">
            <v>เยื่อไผ่ แขนสั้นขาห้าส่วน ยีราฟ พื้นกรม S Oversize</v>
          </cell>
          <cell r="E2393">
            <v>0</v>
          </cell>
          <cell r="F2393">
            <v>890</v>
          </cell>
        </row>
        <row r="2394">
          <cell r="A2394" t="str">
            <v>BG0395-L</v>
          </cell>
          <cell r="B2394" t="str">
            <v>G395</v>
          </cell>
          <cell r="C2394" t="str">
            <v>เยื่อไผ่ ห้าส่วน กระต่ายชมพู พื้นขาว L</v>
          </cell>
          <cell r="E2394">
            <v>0</v>
          </cell>
          <cell r="F2394">
            <v>890</v>
          </cell>
        </row>
        <row r="2395">
          <cell r="A2395" t="str">
            <v>BG0395-M</v>
          </cell>
          <cell r="B2395" t="str">
            <v>G395</v>
          </cell>
          <cell r="C2395" t="str">
            <v>เยื่อไผ่ ห้าส่วน กระต่ายชมพู พื้นขาว M</v>
          </cell>
          <cell r="E2395">
            <v>0</v>
          </cell>
          <cell r="F2395">
            <v>890</v>
          </cell>
        </row>
        <row r="2396">
          <cell r="A2396" t="str">
            <v>BG0395-XL</v>
          </cell>
          <cell r="B2396" t="str">
            <v>G395</v>
          </cell>
          <cell r="C2396" t="str">
            <v>เยื่อไผ่ ห้าส่วน กระต่ายชมพู พื้นขาว XL</v>
          </cell>
          <cell r="E2396">
            <v>0</v>
          </cell>
          <cell r="F2396">
            <v>890</v>
          </cell>
        </row>
        <row r="2397">
          <cell r="A2397" t="str">
            <v>BG0404-L</v>
          </cell>
          <cell r="B2397" t="str">
            <v>G404</v>
          </cell>
          <cell r="C2397" t="str">
            <v>เยื่อไผ่ ห้าส่วน มินิฮาร์ท พื้นชมพู L</v>
          </cell>
          <cell r="E2397">
            <v>0</v>
          </cell>
          <cell r="F2397">
            <v>890</v>
          </cell>
        </row>
        <row r="2398">
          <cell r="A2398" t="str">
            <v>BG0404-M</v>
          </cell>
          <cell r="B2398" t="str">
            <v>G404</v>
          </cell>
          <cell r="C2398" t="str">
            <v>เยื่อไผ่ ห้าส่วน มินิฮาร์ท พื้นชมพู M</v>
          </cell>
          <cell r="E2398">
            <v>0</v>
          </cell>
          <cell r="F2398">
            <v>890</v>
          </cell>
        </row>
        <row r="2399">
          <cell r="A2399" t="str">
            <v>BG0404-S</v>
          </cell>
          <cell r="B2399" t="str">
            <v>QG404</v>
          </cell>
          <cell r="C2399" t="str">
            <v>เยื่อไผ่ ห้าส่วน มินิฮาร์ท พื้นชมพู S QC</v>
          </cell>
          <cell r="E2399">
            <v>0</v>
          </cell>
          <cell r="F2399">
            <v>890</v>
          </cell>
        </row>
        <row r="2400">
          <cell r="A2400" t="str">
            <v>BG0405-L</v>
          </cell>
          <cell r="B2400" t="str">
            <v>G405</v>
          </cell>
          <cell r="C2400" t="str">
            <v>เยื่อไผ่ ห้าส่วน กระต่าย พื้นดำ L</v>
          </cell>
          <cell r="E2400">
            <v>0</v>
          </cell>
          <cell r="F2400">
            <v>890</v>
          </cell>
        </row>
        <row r="2401">
          <cell r="A2401" t="str">
            <v>BG0405-M</v>
          </cell>
          <cell r="B2401" t="str">
            <v>G405</v>
          </cell>
          <cell r="C2401" t="str">
            <v>เยื่อไผ่ ห้าส่วน กระต่าย พื้นดำ M</v>
          </cell>
          <cell r="E2401">
            <v>0</v>
          </cell>
          <cell r="F2401">
            <v>890</v>
          </cell>
        </row>
        <row r="2402">
          <cell r="A2402" t="str">
            <v>BG0405-S</v>
          </cell>
          <cell r="B2402" t="str">
            <v>G405</v>
          </cell>
          <cell r="C2402" t="str">
            <v>เยื่อไผ่ ห้าส่วน กระต่าย พื้นดำ S</v>
          </cell>
          <cell r="E2402">
            <v>0</v>
          </cell>
          <cell r="F2402">
            <v>890</v>
          </cell>
        </row>
        <row r="2403">
          <cell r="A2403" t="str">
            <v>BG0405-XL</v>
          </cell>
          <cell r="B2403" t="str">
            <v>G405</v>
          </cell>
          <cell r="C2403" t="str">
            <v>เยื่อไผ่ ห้าส่วน กระต่าย พื้นดำ XL</v>
          </cell>
          <cell r="E2403">
            <v>0</v>
          </cell>
          <cell r="F2403">
            <v>890</v>
          </cell>
        </row>
        <row r="2404">
          <cell r="A2404" t="str">
            <v>BG0406-L</v>
          </cell>
          <cell r="B2404" t="str">
            <v>G406</v>
          </cell>
          <cell r="C2404" t="str">
            <v>เยื่อไผ่ ห้าส่วน กระต่ายขาว พื้นฟ้า L</v>
          </cell>
          <cell r="E2404">
            <v>0</v>
          </cell>
          <cell r="F2404">
            <v>890</v>
          </cell>
        </row>
        <row r="2405">
          <cell r="A2405" t="str">
            <v>BG0406-M</v>
          </cell>
          <cell r="B2405" t="str">
            <v>G406</v>
          </cell>
          <cell r="C2405" t="str">
            <v>เยื่อไผ่ ห้าส่วน กระต่ายขาว พื้นฟ้า M</v>
          </cell>
          <cell r="E2405">
            <v>0</v>
          </cell>
          <cell r="F2405">
            <v>890</v>
          </cell>
        </row>
        <row r="2406">
          <cell r="A2406" t="str">
            <v>BG0406-XL</v>
          </cell>
          <cell r="B2406" t="str">
            <v>G406</v>
          </cell>
          <cell r="C2406" t="str">
            <v>เยื่อไผ่ ห้าส่วน กระต่ายขาว พื้นฟ้า XL</v>
          </cell>
          <cell r="E2406">
            <v>0</v>
          </cell>
          <cell r="F2406">
            <v>890</v>
          </cell>
        </row>
        <row r="2407">
          <cell r="A2407" t="str">
            <v>BG0417-L</v>
          </cell>
          <cell r="B2407" t="str">
            <v>G417</v>
          </cell>
          <cell r="C2407" t="str">
            <v>เยื่อไผ่ ห้าส่วน Dog Happy L</v>
          </cell>
          <cell r="E2407">
            <v>0</v>
          </cell>
          <cell r="F2407">
            <v>890</v>
          </cell>
        </row>
        <row r="2408">
          <cell r="A2408" t="str">
            <v>BG0417-M</v>
          </cell>
          <cell r="B2408" t="str">
            <v>G417</v>
          </cell>
          <cell r="C2408" t="str">
            <v>เยื่อไผ่ ห้าส่วน Dog Happy M</v>
          </cell>
          <cell r="E2408">
            <v>0</v>
          </cell>
          <cell r="F2408">
            <v>890</v>
          </cell>
        </row>
        <row r="2409">
          <cell r="A2409" t="str">
            <v>BG0417-XL</v>
          </cell>
          <cell r="B2409" t="str">
            <v>G417</v>
          </cell>
          <cell r="C2409" t="str">
            <v>เยื่อไผ่ ห้าส่วน Dog Happy XL</v>
          </cell>
          <cell r="E2409">
            <v>0</v>
          </cell>
          <cell r="F2409">
            <v>890</v>
          </cell>
        </row>
        <row r="2410">
          <cell r="A2410" t="str">
            <v>BG0418-L</v>
          </cell>
          <cell r="B2410" t="str">
            <v>G418</v>
          </cell>
          <cell r="C2410" t="str">
            <v>เยื่อไผ่ ห้าส่วน สิงโต พื้นส้ม L</v>
          </cell>
          <cell r="E2410">
            <v>0</v>
          </cell>
          <cell r="F2410">
            <v>890</v>
          </cell>
        </row>
        <row r="2411">
          <cell r="A2411" t="str">
            <v>BG0418-M</v>
          </cell>
          <cell r="B2411" t="str">
            <v>G418</v>
          </cell>
          <cell r="C2411" t="str">
            <v>เยื่อไผ่ ห้าส่วน สิงโต พื้นส้ม M</v>
          </cell>
          <cell r="E2411">
            <v>0</v>
          </cell>
          <cell r="F2411">
            <v>890</v>
          </cell>
        </row>
        <row r="2412">
          <cell r="A2412" t="str">
            <v>BG0418-S</v>
          </cell>
          <cell r="B2412" t="str">
            <v>G418</v>
          </cell>
          <cell r="C2412" t="str">
            <v>เยื่อไผ่ ห้าส่วน สิงโต พื้นส้ม S</v>
          </cell>
          <cell r="E2412">
            <v>0</v>
          </cell>
          <cell r="F2412">
            <v>890</v>
          </cell>
        </row>
        <row r="2413">
          <cell r="A2413" t="str">
            <v>BG0418-XL</v>
          </cell>
          <cell r="B2413" t="str">
            <v>QG418</v>
          </cell>
          <cell r="C2413" t="str">
            <v>เยื่อไผ่ ห้าส่วน สิงโต พื้นส้ม XL QC</v>
          </cell>
          <cell r="E2413">
            <v>0</v>
          </cell>
          <cell r="F2413">
            <v>890</v>
          </cell>
        </row>
        <row r="2414">
          <cell r="A2414" t="str">
            <v>BG0425-L</v>
          </cell>
          <cell r="B2414" t="str">
            <v>G425</v>
          </cell>
          <cell r="C2414" t="str">
            <v>เยื่อไผ่ ห้าส่วน ลายภาพวาด ชมพูฟ้า พื้นขาว L</v>
          </cell>
          <cell r="E2414">
            <v>0</v>
          </cell>
          <cell r="F2414">
            <v>890</v>
          </cell>
        </row>
        <row r="2415">
          <cell r="A2415" t="str">
            <v>BG0425-M</v>
          </cell>
          <cell r="B2415" t="str">
            <v>G425</v>
          </cell>
          <cell r="C2415" t="str">
            <v>เยื่อไผ่ ห้าส่วน ลายภาพวาด ชมพูฟ้า พื้นขาว M</v>
          </cell>
          <cell r="E2415">
            <v>0</v>
          </cell>
          <cell r="F2415">
            <v>890</v>
          </cell>
        </row>
        <row r="2416">
          <cell r="A2416" t="str">
            <v>BG0425-S</v>
          </cell>
          <cell r="B2416" t="str">
            <v>QG425</v>
          </cell>
          <cell r="C2416" t="str">
            <v>เยื่อไผ่ ห้าส่วน ลายภาพวาด ชมพูฟ้า พื้นขาว S QC</v>
          </cell>
          <cell r="E2416">
            <v>0</v>
          </cell>
          <cell r="F2416">
            <v>890</v>
          </cell>
        </row>
        <row r="2417">
          <cell r="A2417" t="str">
            <v>BG0425-XL</v>
          </cell>
          <cell r="B2417" t="str">
            <v>G425</v>
          </cell>
          <cell r="C2417" t="str">
            <v>เยื่อไผ่ ห้าส่วน ลายภาพวาด ชมพูฟ้า พื้นขาว XL</v>
          </cell>
          <cell r="E2417">
            <v>0</v>
          </cell>
          <cell r="F2417">
            <v>890</v>
          </cell>
        </row>
        <row r="2418">
          <cell r="A2418" t="str">
            <v>BG0426-L</v>
          </cell>
          <cell r="B2418" t="str">
            <v>G426</v>
          </cell>
          <cell r="C2418" t="str">
            <v>เยื่อไผ่ ห้าส่วน สีน้ำ เหลืองม่วงส้ม L</v>
          </cell>
          <cell r="E2418">
            <v>0</v>
          </cell>
          <cell r="F2418">
            <v>890</v>
          </cell>
        </row>
        <row r="2419">
          <cell r="A2419" t="str">
            <v>BG0426-M</v>
          </cell>
          <cell r="B2419" t="str">
            <v>G426</v>
          </cell>
          <cell r="C2419" t="str">
            <v>เยื่อไผ่ ห้าส่วน สีน้ำ เหลืองม่วงส้ม M</v>
          </cell>
          <cell r="E2419">
            <v>0</v>
          </cell>
          <cell r="F2419">
            <v>890</v>
          </cell>
        </row>
        <row r="2420">
          <cell r="A2420" t="str">
            <v>BG0426-S</v>
          </cell>
          <cell r="B2420" t="str">
            <v>G426</v>
          </cell>
          <cell r="C2420" t="str">
            <v>เยื่อไผ่ ห้าส่วน สีน้ำ เหลืองม่วงส้ม S</v>
          </cell>
          <cell r="E2420">
            <v>0</v>
          </cell>
          <cell r="F2420">
            <v>890</v>
          </cell>
        </row>
        <row r="2421">
          <cell r="A2421" t="str">
            <v>BG0426-XL</v>
          </cell>
          <cell r="B2421" t="str">
            <v>G426</v>
          </cell>
          <cell r="C2421" t="str">
            <v>เยื่อไผ่ ห้าส่วน สีน้ำ เหลืองม่วงส้ม XL</v>
          </cell>
          <cell r="E2421">
            <v>0</v>
          </cell>
          <cell r="F2421">
            <v>890</v>
          </cell>
        </row>
        <row r="2422">
          <cell r="A2422" t="str">
            <v>BG0427-L</v>
          </cell>
          <cell r="B2422" t="str">
            <v>G427</v>
          </cell>
          <cell r="C2422" t="str">
            <v>เยื่อไผ่ ห้าส่วน สีน้ำ โทนม่วงฟ้า L</v>
          </cell>
          <cell r="E2422">
            <v>0</v>
          </cell>
          <cell r="F2422">
            <v>890</v>
          </cell>
        </row>
        <row r="2423">
          <cell r="A2423" t="str">
            <v>BG0427-M</v>
          </cell>
          <cell r="B2423" t="str">
            <v>G427</v>
          </cell>
          <cell r="C2423" t="str">
            <v>เยื่อไผ่ ห้าส่วน สีน้ำ โทนม่วงฟ้า M</v>
          </cell>
          <cell r="E2423">
            <v>0</v>
          </cell>
          <cell r="F2423">
            <v>890</v>
          </cell>
        </row>
        <row r="2424">
          <cell r="A2424" t="str">
            <v>BG0427-S</v>
          </cell>
          <cell r="B2424" t="str">
            <v>G427</v>
          </cell>
          <cell r="C2424" t="str">
            <v>เยื่อไผ่ ห้าส่วน สีน้ำ โทนม่วงฟ้า S</v>
          </cell>
          <cell r="E2424">
            <v>0</v>
          </cell>
          <cell r="F2424">
            <v>890</v>
          </cell>
        </row>
        <row r="2425">
          <cell r="A2425" t="str">
            <v>BG0427-XL</v>
          </cell>
          <cell r="B2425" t="str">
            <v>G427</v>
          </cell>
          <cell r="C2425" t="str">
            <v>เยื่อไผ่ ห้าส่วน สีน้ำ โทนม่วงฟ้า XL</v>
          </cell>
          <cell r="E2425">
            <v>0</v>
          </cell>
          <cell r="F2425">
            <v>890</v>
          </cell>
        </row>
        <row r="2426">
          <cell r="A2426" t="str">
            <v>BG0428-L</v>
          </cell>
          <cell r="B2426" t="str">
            <v>G428</v>
          </cell>
          <cell r="C2426" t="str">
            <v>เยื่อไผ่ ห้าส่วน กราฟฟิก แดงชมพูเหลือง L</v>
          </cell>
          <cell r="E2426">
            <v>0</v>
          </cell>
          <cell r="F2426">
            <v>890</v>
          </cell>
        </row>
        <row r="2427">
          <cell r="A2427" t="str">
            <v>BG0428-M</v>
          </cell>
          <cell r="B2427" t="str">
            <v>G428</v>
          </cell>
          <cell r="C2427" t="str">
            <v>เยื่อไผ่ ห้าส่วน กราฟฟิก แดงชมพูเหลือง M</v>
          </cell>
          <cell r="E2427">
            <v>0</v>
          </cell>
          <cell r="F2427">
            <v>890</v>
          </cell>
        </row>
        <row r="2428">
          <cell r="A2428" t="str">
            <v>BG0428-S</v>
          </cell>
          <cell r="B2428" t="str">
            <v>G428</v>
          </cell>
          <cell r="C2428" t="str">
            <v>เยื่อไผ่ ห้าส่วน กราฟฟิก แดงชมพูเหลือง S</v>
          </cell>
          <cell r="E2428">
            <v>3</v>
          </cell>
          <cell r="F2428">
            <v>890</v>
          </cell>
        </row>
        <row r="2429">
          <cell r="A2429" t="str">
            <v>BG0428-XL</v>
          </cell>
          <cell r="B2429" t="str">
            <v>G428</v>
          </cell>
          <cell r="C2429" t="str">
            <v>เยื่อไผ่ ห้าส่วน กราฟฟิก แดงชมพูเหลือง XL</v>
          </cell>
          <cell r="E2429">
            <v>0</v>
          </cell>
          <cell r="F2429">
            <v>890</v>
          </cell>
        </row>
        <row r="2430">
          <cell r="A2430" t="str">
            <v>BG0429-L</v>
          </cell>
          <cell r="B2430" t="str">
            <v>G429</v>
          </cell>
          <cell r="C2430" t="str">
            <v>เยื่อไผ่ ห้าส่วน กราฟฟิก น้ำเงินฟ้าเขียว L</v>
          </cell>
          <cell r="E2430">
            <v>6</v>
          </cell>
          <cell r="F2430">
            <v>890</v>
          </cell>
        </row>
        <row r="2431">
          <cell r="A2431" t="str">
            <v>BG0429-M</v>
          </cell>
          <cell r="B2431" t="str">
            <v>G429</v>
          </cell>
          <cell r="C2431" t="str">
            <v>เยื่อไผ่ ห้าส่วน กราฟฟิก น้ำเงินฟ้าเขียว M</v>
          </cell>
          <cell r="E2431">
            <v>1</v>
          </cell>
          <cell r="F2431">
            <v>890</v>
          </cell>
        </row>
        <row r="2432">
          <cell r="A2432" t="str">
            <v>BG0429-S</v>
          </cell>
          <cell r="B2432" t="str">
            <v>G429</v>
          </cell>
          <cell r="C2432" t="str">
            <v>เยื่อไผ่ ห้าส่วน กราฟฟิก น้ำเงินฟ้าเขียว S</v>
          </cell>
          <cell r="E2432">
            <v>1</v>
          </cell>
          <cell r="F2432">
            <v>890</v>
          </cell>
        </row>
        <row r="2433">
          <cell r="A2433" t="str">
            <v>BG0429-XL</v>
          </cell>
          <cell r="B2433" t="str">
            <v>G429</v>
          </cell>
          <cell r="C2433" t="str">
            <v>เยื่อไผ่ ห้าส่วน กราฟฟิก น้ำเงินฟ้าเขียว XL</v>
          </cell>
          <cell r="E2433">
            <v>0</v>
          </cell>
          <cell r="F2433">
            <v>890</v>
          </cell>
        </row>
        <row r="2434">
          <cell r="A2434" t="str">
            <v>BX0001-L</v>
          </cell>
          <cell r="B2434" t="str">
            <v>X1</v>
          </cell>
          <cell r="C2434" t="str">
            <v>เยื่อไผ่ ชุดคลุมอาบน้ำ พีช tropical L</v>
          </cell>
          <cell r="E2434">
            <v>0</v>
          </cell>
          <cell r="F2434">
            <v>690</v>
          </cell>
        </row>
        <row r="2435">
          <cell r="A2435" t="str">
            <v>BX0001-M</v>
          </cell>
          <cell r="B2435" t="str">
            <v>X1</v>
          </cell>
          <cell r="C2435" t="str">
            <v>เยื่อไผ่ ชุดคลุมอาบน้ำ พีช tropical M</v>
          </cell>
          <cell r="E2435">
            <v>0</v>
          </cell>
          <cell r="F2435">
            <v>690</v>
          </cell>
        </row>
        <row r="2436">
          <cell r="A2436" t="str">
            <v>BX0002-L</v>
          </cell>
          <cell r="B2436" t="str">
            <v>X2</v>
          </cell>
          <cell r="C2436" t="str">
            <v>เยื่อไผ่ ชุดคลุมอาบน้ำ ลายสาลี่ L</v>
          </cell>
          <cell r="E2436">
            <v>0</v>
          </cell>
          <cell r="F2436">
            <v>690</v>
          </cell>
        </row>
        <row r="2437">
          <cell r="A2437" t="str">
            <v>BX0002-M</v>
          </cell>
          <cell r="B2437" t="str">
            <v>X2</v>
          </cell>
          <cell r="C2437" t="str">
            <v>เยื่อไผ่ ชุดคลุมอาบน้ำ ลายสาลี่ M</v>
          </cell>
          <cell r="E2437">
            <v>0</v>
          </cell>
          <cell r="F2437">
            <v>690</v>
          </cell>
        </row>
        <row r="2438">
          <cell r="A2438" t="str">
            <v>BX0003-L</v>
          </cell>
          <cell r="B2438" t="str">
            <v>X3</v>
          </cell>
          <cell r="C2438" t="str">
            <v>เยื่อไผ่ ชุดคลุมอาบน้ำ ดอกไม้ เหลือง L</v>
          </cell>
          <cell r="E2438">
            <v>0</v>
          </cell>
          <cell r="F2438">
            <v>690</v>
          </cell>
        </row>
        <row r="2439">
          <cell r="A2439" t="str">
            <v>BX0003-M</v>
          </cell>
          <cell r="B2439" t="str">
            <v>X3</v>
          </cell>
          <cell r="C2439" t="str">
            <v>เยื่อไผ่ ชุดคลุมอาบน้ำ ดอกไม้ เหลือง M</v>
          </cell>
          <cell r="E2439">
            <v>0</v>
          </cell>
          <cell r="F2439">
            <v>690</v>
          </cell>
        </row>
        <row r="2440">
          <cell r="A2440" t="str">
            <v>BX0004-M</v>
          </cell>
          <cell r="B2440" t="str">
            <v>X4</v>
          </cell>
          <cell r="C2440" t="str">
            <v>เยื่อไผ่ เสื้อคลุม Tropical ดอกไม้ M</v>
          </cell>
          <cell r="E2440">
            <v>0</v>
          </cell>
          <cell r="F2440">
            <v>690</v>
          </cell>
        </row>
        <row r="2441">
          <cell r="A2441" t="str">
            <v>BX0005-M</v>
          </cell>
          <cell r="B2441" t="str">
            <v>X5</v>
          </cell>
          <cell r="C2441" t="str">
            <v>เยื่อไผ่ สายเดี่ยว+เสื้อคลุม พื้นฟ้าอ่อนดอกชมพู M</v>
          </cell>
          <cell r="E2441">
            <v>0</v>
          </cell>
          <cell r="F2441">
            <v>690</v>
          </cell>
        </row>
        <row r="2442">
          <cell r="A2442" t="str">
            <v>BX0006-L</v>
          </cell>
          <cell r="B2442" t="str">
            <v>X6</v>
          </cell>
          <cell r="C2442" t="str">
            <v>เยื่อไผ่ เซต3ชิ้น ดอกไม้แดง พื้นฟ้า L</v>
          </cell>
          <cell r="E2442">
            <v>0</v>
          </cell>
          <cell r="F2442">
            <v>690</v>
          </cell>
        </row>
        <row r="2443">
          <cell r="A2443" t="str">
            <v>BX0006-M</v>
          </cell>
          <cell r="B2443" t="str">
            <v>X6</v>
          </cell>
          <cell r="C2443" t="str">
            <v>เยื่อไผ่ เซต3ชิ้น ดอกไม้แดง พื้นฟ้า M</v>
          </cell>
          <cell r="E2443">
            <v>0</v>
          </cell>
          <cell r="F2443">
            <v>690</v>
          </cell>
        </row>
        <row r="2444">
          <cell r="A2444" t="str">
            <v>BX0006-XL</v>
          </cell>
          <cell r="B2444" t="str">
            <v>X6</v>
          </cell>
          <cell r="C2444" t="str">
            <v>เยื่อไผ่ เซต3ชิ้น ดอกไม้แดง พื้นฟ้า XL</v>
          </cell>
          <cell r="E2444">
            <v>0</v>
          </cell>
          <cell r="F2444">
            <v>690</v>
          </cell>
        </row>
        <row r="2445">
          <cell r="A2445" t="str">
            <v>BX0007-L</v>
          </cell>
          <cell r="B2445" t="str">
            <v>X7</v>
          </cell>
          <cell r="C2445" t="str">
            <v>เยื่อไผ่ เซต3ชิ้น สีกรม ดอกไม้ขาว L</v>
          </cell>
          <cell r="E2445">
            <v>0</v>
          </cell>
          <cell r="F2445">
            <v>690</v>
          </cell>
        </row>
        <row r="2446">
          <cell r="A2446" t="str">
            <v>BX0007-M</v>
          </cell>
          <cell r="B2446" t="str">
            <v>X7</v>
          </cell>
          <cell r="C2446" t="str">
            <v>เยื่อไผ่ เซต3ชิ้น สีกรม ดอกไม้ขาว M</v>
          </cell>
          <cell r="E2446">
            <v>0</v>
          </cell>
          <cell r="F2446">
            <v>690</v>
          </cell>
        </row>
        <row r="2447">
          <cell r="A2447" t="str">
            <v>BX0007-XL</v>
          </cell>
          <cell r="B2447" t="str">
            <v>X7</v>
          </cell>
          <cell r="C2447" t="str">
            <v>เยื่อไผ่ เซต3ชิ้น สีกรม ดอกไม้ขาว XL</v>
          </cell>
          <cell r="E2447">
            <v>0</v>
          </cell>
          <cell r="F2447">
            <v>690</v>
          </cell>
        </row>
        <row r="2448">
          <cell r="A2448" t="str">
            <v>BX0008-L</v>
          </cell>
          <cell r="B2448" t="str">
            <v>X8</v>
          </cell>
          <cell r="C2448" t="str">
            <v>เยื่อไผ่ เซต3ชิ้น ดอกชบา พื้นดำ L</v>
          </cell>
          <cell r="E2448">
            <v>0</v>
          </cell>
          <cell r="F2448">
            <v>690</v>
          </cell>
        </row>
        <row r="2449">
          <cell r="A2449" t="str">
            <v>BX0008-M</v>
          </cell>
          <cell r="B2449" t="str">
            <v>X8</v>
          </cell>
          <cell r="C2449" t="str">
            <v>เยื่อไผ่ เซต3ชิ้น ดอกชบา พื้นดำ M</v>
          </cell>
          <cell r="E2449">
            <v>0</v>
          </cell>
          <cell r="F2449">
            <v>690</v>
          </cell>
        </row>
        <row r="2450">
          <cell r="A2450" t="str">
            <v>BX0008-XL</v>
          </cell>
          <cell r="B2450" t="str">
            <v>X8</v>
          </cell>
          <cell r="C2450" t="str">
            <v>เยื่อไผ่ เซต3ชิ้น ดอกชบา พื้นดำ XL</v>
          </cell>
          <cell r="E2450">
            <v>0</v>
          </cell>
          <cell r="F2450">
            <v>690</v>
          </cell>
        </row>
        <row r="2451">
          <cell r="A2451" t="str">
            <v>BX0009-L</v>
          </cell>
          <cell r="B2451" t="str">
            <v>X9</v>
          </cell>
          <cell r="C2451" t="str">
            <v>เยื่อไผ่ เซตสายเดี่ยว3ชิ้น ดอกไม้ดำ L</v>
          </cell>
          <cell r="E2451">
            <v>0</v>
          </cell>
          <cell r="F2451">
            <v>690</v>
          </cell>
        </row>
        <row r="2452">
          <cell r="A2452" t="str">
            <v>BX0009-M</v>
          </cell>
          <cell r="B2452" t="str">
            <v>X9</v>
          </cell>
          <cell r="C2452" t="str">
            <v>เยื่อไผ่ เซตสายเดี่ยว3ชิ้น ดอกไม้ดำ M</v>
          </cell>
          <cell r="E2452">
            <v>0</v>
          </cell>
          <cell r="F2452">
            <v>690</v>
          </cell>
        </row>
        <row r="2453">
          <cell r="A2453" t="str">
            <v>BX0009-XL</v>
          </cell>
          <cell r="B2453" t="str">
            <v>X9</v>
          </cell>
          <cell r="C2453" t="str">
            <v>เยื่อไผ่ เซตสายเดี่ยว3ชิ้น ดอกไม้ดำ XL</v>
          </cell>
          <cell r="E2453">
            <v>0</v>
          </cell>
          <cell r="F2453">
            <v>690</v>
          </cell>
        </row>
        <row r="2454">
          <cell r="A2454" t="str">
            <v>BX0010-L</v>
          </cell>
          <cell r="B2454" t="str">
            <v>X10</v>
          </cell>
          <cell r="C2454" t="str">
            <v>เยื่อไผ่ เซตสายเดี่ยว3ชิ้น ฟ้าดอกไม้แดง L</v>
          </cell>
          <cell r="E2454">
            <v>0</v>
          </cell>
          <cell r="F2454">
            <v>690</v>
          </cell>
        </row>
        <row r="2455">
          <cell r="A2455" t="str">
            <v>BX0010-M</v>
          </cell>
          <cell r="B2455" t="str">
            <v>X10</v>
          </cell>
          <cell r="C2455" t="str">
            <v>เยื่อไผ่ เซตสายเดี่ยว3ชิ้น ฟ้าดอกไม้แดง M</v>
          </cell>
          <cell r="E2455">
            <v>0</v>
          </cell>
          <cell r="F2455">
            <v>690</v>
          </cell>
        </row>
        <row r="2456">
          <cell r="A2456" t="str">
            <v>BX0010-XL</v>
          </cell>
          <cell r="B2456" t="str">
            <v>X10</v>
          </cell>
          <cell r="C2456" t="str">
            <v>เยื่อไผ่ เซตสายเดี่ยว3ชิ้น ฟ้าดอกไม้แดง XL</v>
          </cell>
          <cell r="E2456">
            <v>0</v>
          </cell>
          <cell r="F2456">
            <v>690</v>
          </cell>
        </row>
        <row r="2457">
          <cell r="A2457" t="str">
            <v>BX0011-L</v>
          </cell>
          <cell r="B2457" t="str">
            <v>X11</v>
          </cell>
          <cell r="C2457" t="str">
            <v>เยื่อไผ่ เซตสายเดี่ยว3ชิ้น ชมพูดอกไม้แดง L</v>
          </cell>
          <cell r="E2457">
            <v>0</v>
          </cell>
          <cell r="F2457">
            <v>690</v>
          </cell>
        </row>
        <row r="2458">
          <cell r="A2458" t="str">
            <v>BX0011-M</v>
          </cell>
          <cell r="B2458" t="str">
            <v>X11</v>
          </cell>
          <cell r="C2458" t="str">
            <v>เยื่อไผ่ เซตสายเดี่ยว3ชิ้น ชมพูดอกไม้แดง M</v>
          </cell>
          <cell r="E2458">
            <v>0</v>
          </cell>
          <cell r="F2458">
            <v>690</v>
          </cell>
        </row>
        <row r="2459">
          <cell r="A2459" t="str">
            <v>BX0011-XL</v>
          </cell>
          <cell r="B2459" t="str">
            <v>X11</v>
          </cell>
          <cell r="C2459" t="str">
            <v>เยื่อไผ่ เซตสายเดี่ยว3ชิ้น ชมพูดอกไม้แดง XL</v>
          </cell>
          <cell r="E2459">
            <v>0</v>
          </cell>
          <cell r="F2459">
            <v>690</v>
          </cell>
        </row>
        <row r="2460">
          <cell r="A2460" t="str">
            <v>BX0012-L</v>
          </cell>
          <cell r="B2460" t="str">
            <v>X12</v>
          </cell>
          <cell r="C2460" t="str">
            <v>เยื่อไผ่ เซตสายเดี่ยว3ชิ้น ชมพูดอกไม้ขาว L</v>
          </cell>
          <cell r="E2460">
            <v>0</v>
          </cell>
          <cell r="F2460">
            <v>690</v>
          </cell>
        </row>
        <row r="2461">
          <cell r="A2461" t="str">
            <v>BX0012-M</v>
          </cell>
          <cell r="B2461" t="str">
            <v>X12</v>
          </cell>
          <cell r="C2461" t="str">
            <v>เยื่อไผ่ เซตสายเดี่ยว3ชิ้น ชมพูดอกไม้ขาว M</v>
          </cell>
          <cell r="E2461">
            <v>0</v>
          </cell>
          <cell r="F2461">
            <v>690</v>
          </cell>
        </row>
        <row r="2462">
          <cell r="A2462" t="str">
            <v>BX0012-XL</v>
          </cell>
          <cell r="B2462" t="str">
            <v>X12</v>
          </cell>
          <cell r="C2462" t="str">
            <v>เยื่อไผ่ เซตสายเดี่ยว3ชิ้น ชมพูดอกไม้ขาว XL</v>
          </cell>
          <cell r="E2462">
            <v>0</v>
          </cell>
          <cell r="F2462">
            <v>690</v>
          </cell>
        </row>
        <row r="2463">
          <cell r="A2463" t="str">
            <v>BX0014-M</v>
          </cell>
          <cell r="B2463" t="str">
            <v>X14</v>
          </cell>
          <cell r="C2463" t="str">
            <v>เยื่อไผ่ ชุดคลุม เสื้อญี่ปุ่น สีเขียวน้ำทะเล M</v>
          </cell>
          <cell r="E2463">
            <v>0</v>
          </cell>
          <cell r="F2463">
            <v>690</v>
          </cell>
        </row>
        <row r="2464">
          <cell r="A2464" t="str">
            <v>BX0014-XL</v>
          </cell>
          <cell r="B2464" t="str">
            <v>X14</v>
          </cell>
          <cell r="C2464" t="str">
            <v>เยื่อไผ่ ชุดคลุม เสื้อญี่ปุ่น สีเขียวน้ำทะเล XL</v>
          </cell>
          <cell r="E2464">
            <v>0</v>
          </cell>
          <cell r="F2464">
            <v>690</v>
          </cell>
        </row>
        <row r="2465">
          <cell r="A2465" t="str">
            <v>BX0015-L</v>
          </cell>
          <cell r="B2465" t="str">
            <v>X15</v>
          </cell>
          <cell r="C2465" t="str">
            <v>เยื่อไผ่ ชุดคลุม เสื้อญี่ปุ่น ดอกไม้น้ำตาล พื้นม่วง L</v>
          </cell>
          <cell r="E2465">
            <v>0</v>
          </cell>
          <cell r="F2465">
            <v>690</v>
          </cell>
        </row>
        <row r="2466">
          <cell r="A2466" t="str">
            <v>BX0015-M</v>
          </cell>
          <cell r="B2466" t="str">
            <v>X15</v>
          </cell>
          <cell r="C2466" t="str">
            <v>เยื่อไผ่ ชุดคลุม เสื้อญี่ปุ่น ดอกไม้น้ำตาล พื้นม่วง M</v>
          </cell>
          <cell r="E2466">
            <v>0</v>
          </cell>
          <cell r="F2466">
            <v>690</v>
          </cell>
        </row>
        <row r="2467">
          <cell r="A2467" t="str">
            <v>BX0016-L</v>
          </cell>
          <cell r="B2467" t="str">
            <v>X16</v>
          </cell>
          <cell r="C2467" t="str">
            <v>เยื่อไผ่ ชุดคลุม เสื้อญี่ปุ่น ดอกไม้น้ำตาล พื้นกรม L</v>
          </cell>
          <cell r="E2467">
            <v>0</v>
          </cell>
          <cell r="F2467">
            <v>690</v>
          </cell>
        </row>
        <row r="2468">
          <cell r="A2468" t="str">
            <v>BX0016-M</v>
          </cell>
          <cell r="B2468" t="str">
            <v>X16</v>
          </cell>
          <cell r="C2468" t="str">
            <v>เยื่อไผ่ ชุดคลุม เสื้อญี่ปุ่น ดอกไม้น้ำตาล พื้นกรม M</v>
          </cell>
          <cell r="E2468">
            <v>0</v>
          </cell>
          <cell r="F2468">
            <v>690</v>
          </cell>
        </row>
        <row r="2469">
          <cell r="A2469" t="str">
            <v>BX0017-L</v>
          </cell>
          <cell r="B2469" t="str">
            <v>X17</v>
          </cell>
          <cell r="C2469" t="str">
            <v>ชุดคลุมอาบน้ำนกชมพู L</v>
          </cell>
          <cell r="E2469">
            <v>0</v>
          </cell>
          <cell r="F2469">
            <v>690</v>
          </cell>
        </row>
        <row r="2470">
          <cell r="A2470" t="str">
            <v>BX0017-M</v>
          </cell>
          <cell r="B2470" t="str">
            <v>X17</v>
          </cell>
          <cell r="C2470" t="str">
            <v>ชุดคลุมอาบน้ำนกชมพู M</v>
          </cell>
          <cell r="E2470">
            <v>0</v>
          </cell>
          <cell r="F2470">
            <v>690</v>
          </cell>
        </row>
        <row r="2471">
          <cell r="A2471" t="str">
            <v>BX0017-S</v>
          </cell>
          <cell r="B2471" t="str">
            <v>X17</v>
          </cell>
          <cell r="C2471" t="str">
            <v>ชุดคลุมอาบน้ำนกชมพู S</v>
          </cell>
          <cell r="E2471">
            <v>0</v>
          </cell>
          <cell r="F2471">
            <v>690</v>
          </cell>
        </row>
        <row r="2472">
          <cell r="A2472" t="str">
            <v>BX0018-L</v>
          </cell>
          <cell r="B2472" t="str">
            <v>X18</v>
          </cell>
          <cell r="C2472" t="str">
            <v>ชุดคลุมอาบน้ำนกนู๊ด L</v>
          </cell>
          <cell r="E2472">
            <v>0</v>
          </cell>
          <cell r="F2472">
            <v>690</v>
          </cell>
        </row>
        <row r="2473">
          <cell r="A2473" t="str">
            <v>BX0018-M</v>
          </cell>
          <cell r="B2473" t="str">
            <v>X18</v>
          </cell>
          <cell r="C2473" t="str">
            <v>ชุดคลุมอาบน้ำนกนู๊ด M</v>
          </cell>
          <cell r="E2473">
            <v>0</v>
          </cell>
          <cell r="F2473">
            <v>690</v>
          </cell>
        </row>
        <row r="2474">
          <cell r="A2474" t="str">
            <v>BX0018-S</v>
          </cell>
          <cell r="B2474" t="str">
            <v>X18</v>
          </cell>
          <cell r="C2474" t="str">
            <v>ชุดคลุมอาบน้ำนกนู๊ด S</v>
          </cell>
          <cell r="E2474">
            <v>0</v>
          </cell>
          <cell r="F2474">
            <v>690</v>
          </cell>
        </row>
        <row r="2475">
          <cell r="A2475" t="str">
            <v>BX0019-L</v>
          </cell>
          <cell r="B2475" t="str">
            <v>X19</v>
          </cell>
          <cell r="C2475" t="str">
            <v>ชุดคลุมอาบน้ำ ดอกไม้ชมพู พื้นกรม L</v>
          </cell>
          <cell r="E2475">
            <v>0</v>
          </cell>
          <cell r="F2475">
            <v>690</v>
          </cell>
        </row>
        <row r="2476">
          <cell r="A2476" t="str">
            <v>BX0019-M</v>
          </cell>
          <cell r="B2476" t="str">
            <v>X19</v>
          </cell>
          <cell r="C2476" t="str">
            <v>ชุดคลุมอาบน้ำ ดอกไม้ชมพู พื้นกรม M</v>
          </cell>
          <cell r="E2476">
            <v>0</v>
          </cell>
          <cell r="F2476">
            <v>690</v>
          </cell>
        </row>
        <row r="2477">
          <cell r="A2477" t="str">
            <v>BX0019-S</v>
          </cell>
          <cell r="B2477" t="str">
            <v>X19</v>
          </cell>
          <cell r="C2477" t="str">
            <v>ชุดคลุมอาบน้ำ ดอกไม้ชมพู พื้นกรม S</v>
          </cell>
          <cell r="E2477">
            <v>0</v>
          </cell>
          <cell r="F2477">
            <v>690</v>
          </cell>
        </row>
        <row r="2478">
          <cell r="A2478" t="str">
            <v>BX0020-L</v>
          </cell>
          <cell r="B2478" t="str">
            <v>X20</v>
          </cell>
          <cell r="C2478" t="str">
            <v>ชุดคลุมอาบน้ำลายผีเสื้อ L</v>
          </cell>
          <cell r="E2478">
            <v>0</v>
          </cell>
          <cell r="F2478">
            <v>690</v>
          </cell>
        </row>
        <row r="2479">
          <cell r="A2479" t="str">
            <v>BX0020-M</v>
          </cell>
          <cell r="B2479" t="str">
            <v>X20</v>
          </cell>
          <cell r="C2479" t="str">
            <v>ชุดคลุมอาบน้ำลายผีเสื้อ M</v>
          </cell>
          <cell r="E2479">
            <v>0</v>
          </cell>
          <cell r="F2479">
            <v>690</v>
          </cell>
        </row>
        <row r="2480">
          <cell r="A2480" t="str">
            <v>BX0020-S</v>
          </cell>
          <cell r="B2480" t="str">
            <v>X20</v>
          </cell>
          <cell r="C2480" t="str">
            <v>ชุดคลุมอาบน้ำลายผีเสื้อ S</v>
          </cell>
          <cell r="E2480">
            <v>0</v>
          </cell>
          <cell r="F2480">
            <v>690</v>
          </cell>
        </row>
        <row r="2481">
          <cell r="A2481" t="str">
            <v>BX0021-L</v>
          </cell>
          <cell r="B2481" t="str">
            <v>X21</v>
          </cell>
          <cell r="C2481" t="str">
            <v>สายเดี่ยว + เสื้อคลุม พื้นครีม L</v>
          </cell>
          <cell r="E2481">
            <v>0</v>
          </cell>
          <cell r="F2481">
            <v>690</v>
          </cell>
        </row>
        <row r="2482">
          <cell r="A2482" t="str">
            <v>BX0021-M</v>
          </cell>
          <cell r="B2482" t="str">
            <v>X21</v>
          </cell>
          <cell r="C2482" t="str">
            <v>สายเดี่ยว + เสื้อคลุม พื้นครีม M</v>
          </cell>
          <cell r="E2482">
            <v>0</v>
          </cell>
          <cell r="F2482">
            <v>690</v>
          </cell>
        </row>
        <row r="2483">
          <cell r="A2483" t="str">
            <v>BX0021-S</v>
          </cell>
          <cell r="B2483" t="str">
            <v>X21</v>
          </cell>
          <cell r="C2483" t="str">
            <v>สายเดี่ยว + เสื้อคลุม พื้นครีม S</v>
          </cell>
          <cell r="E2483">
            <v>0</v>
          </cell>
          <cell r="F2483">
            <v>690</v>
          </cell>
        </row>
        <row r="2484">
          <cell r="A2484" t="str">
            <v>BX0021-XL</v>
          </cell>
          <cell r="B2484" t="str">
            <v>X21</v>
          </cell>
          <cell r="C2484" t="str">
            <v>สายเดี่ยว + เสื้อคลุม พื้นครีม XL</v>
          </cell>
          <cell r="E2484">
            <v>0</v>
          </cell>
          <cell r="F2484">
            <v>690</v>
          </cell>
        </row>
        <row r="2485">
          <cell r="A2485" t="str">
            <v>DC0103-M</v>
          </cell>
          <cell r="B2485" t="str">
            <v>C103</v>
          </cell>
          <cell r="E2485">
            <v>0</v>
          </cell>
          <cell r="F2485">
            <v>950</v>
          </cell>
        </row>
        <row r="2486">
          <cell r="A2486" t="str">
            <v>EDIT</v>
          </cell>
          <cell r="B2486" t="str">
            <v>EDIT</v>
          </cell>
          <cell r="C2486" t="str">
            <v>EDIT</v>
          </cell>
          <cell r="D2486" t="str">
            <v>0</v>
          </cell>
          <cell r="E2486">
            <v>0</v>
          </cell>
          <cell r="F2486">
            <v>0</v>
          </cell>
        </row>
        <row r="2487">
          <cell r="A2487" t="str">
            <v>Fee</v>
          </cell>
          <cell r="C2487" t="str">
            <v>ค่าจัดส่ง</v>
          </cell>
          <cell r="E2487">
            <v>0</v>
          </cell>
          <cell r="F2487">
            <v>50</v>
          </cell>
        </row>
        <row r="2488">
          <cell r="A2488" t="str">
            <v>J0001-L</v>
          </cell>
          <cell r="B2488" t="str">
            <v>J1</v>
          </cell>
          <cell r="E2488">
            <v>0</v>
          </cell>
          <cell r="F2488">
            <v>0</v>
          </cell>
        </row>
        <row r="2489">
          <cell r="A2489" t="str">
            <v>J0002-1</v>
          </cell>
          <cell r="B2489" t="str">
            <v>J2</v>
          </cell>
          <cell r="C2489" t="str">
            <v>กระเป๋าสีม่วง</v>
          </cell>
          <cell r="E2489">
            <v>0</v>
          </cell>
          <cell r="F2489">
            <v>199</v>
          </cell>
        </row>
        <row r="2490">
          <cell r="A2490" t="str">
            <v>J0003-1</v>
          </cell>
          <cell r="B2490" t="str">
            <v>J3</v>
          </cell>
          <cell r="C2490" t="str">
            <v>กระเป๋าสีฟ้า</v>
          </cell>
          <cell r="E2490">
            <v>0</v>
          </cell>
          <cell r="F2490">
            <v>0</v>
          </cell>
        </row>
        <row r="2491">
          <cell r="A2491" t="str">
            <v>J0005-L</v>
          </cell>
          <cell r="B2491" t="str">
            <v>J5</v>
          </cell>
          <cell r="E2491">
            <v>0</v>
          </cell>
          <cell r="F2491">
            <v>0</v>
          </cell>
        </row>
        <row r="2492">
          <cell r="A2492" t="str">
            <v>J30002-1</v>
          </cell>
          <cell r="B2492" t="str">
            <v>J30002</v>
          </cell>
          <cell r="C2492" t="str">
            <v>กระเป๋าสีฟ้า</v>
          </cell>
          <cell r="E2492">
            <v>0</v>
          </cell>
          <cell r="F2492">
            <v>0</v>
          </cell>
        </row>
        <row r="2493">
          <cell r="A2493" t="str">
            <v>JA0013-M</v>
          </cell>
          <cell r="B2493" t="str">
            <v>JA13</v>
          </cell>
          <cell r="C2493" t="str">
            <v>เยื่อไผ่ แขนสั้นขาสั้น แมวฟ้า M ตัวโชว์</v>
          </cell>
          <cell r="E2493">
            <v>0</v>
          </cell>
          <cell r="F2493">
            <v>790</v>
          </cell>
        </row>
        <row r="2494">
          <cell r="A2494" t="str">
            <v>JA0020-S</v>
          </cell>
          <cell r="B2494" t="str">
            <v>JA20</v>
          </cell>
          <cell r="C2494" t="str">
            <v>เยื่อไผ่ แขนสั้นขาสั้น ใบไม้เขียว NEW S ตัวโชว์</v>
          </cell>
          <cell r="E2494">
            <v>0</v>
          </cell>
          <cell r="F2494">
            <v>790</v>
          </cell>
        </row>
        <row r="2495">
          <cell r="A2495" t="str">
            <v>JA0025-S</v>
          </cell>
          <cell r="B2495" t="str">
            <v>JA25</v>
          </cell>
          <cell r="C2495" t="str">
            <v>เยื่อไผ่ แขนสั้นขาสั้น ใบไม้น้ำตาล ขอบแดง S ตัวโชว์</v>
          </cell>
          <cell r="E2495">
            <v>0</v>
          </cell>
          <cell r="F2495">
            <v>790</v>
          </cell>
        </row>
        <row r="2496">
          <cell r="A2496" t="str">
            <v>JA0117-S</v>
          </cell>
          <cell r="B2496" t="str">
            <v>JA117</v>
          </cell>
          <cell r="C2496" t="str">
            <v>เยื่อไผ่ แขนสั้นขาสั้น ลายทาง พาสเทล S ตัวโชว์</v>
          </cell>
          <cell r="E2496">
            <v>0</v>
          </cell>
          <cell r="F2496">
            <v>790</v>
          </cell>
        </row>
        <row r="2497">
          <cell r="A2497" t="str">
            <v>JA0179-S</v>
          </cell>
          <cell r="B2497" t="str">
            <v>JA179</v>
          </cell>
          <cell r="C2497" t="str">
            <v>เยื่อไผ่ แขนสั้นขาสั้น จุดครีม พื้นโอรส S ตัวโชว์</v>
          </cell>
          <cell r="E2497">
            <v>0</v>
          </cell>
          <cell r="F2497">
            <v>790</v>
          </cell>
        </row>
        <row r="2498">
          <cell r="A2498" t="str">
            <v>JA0236-S</v>
          </cell>
          <cell r="B2498" t="str">
            <v>JA236</v>
          </cell>
          <cell r="C2498" t="str">
            <v>เยื่อไผ่ แขนสั้นขาสั้น ดอกไม้ดำ พื้นเขียว S ตัวโชว์</v>
          </cell>
          <cell r="E2498">
            <v>0</v>
          </cell>
          <cell r="F2498">
            <v>790</v>
          </cell>
        </row>
        <row r="2499">
          <cell r="A2499" t="str">
            <v>JA0310-S</v>
          </cell>
          <cell r="B2499" t="str">
            <v>JA310</v>
          </cell>
          <cell r="C2499" t="str">
            <v>เยื่อไผ่ แขนสั้นขาสั้น ดอกไม้ขาว พื้นฟ้า S ตัวโชว์</v>
          </cell>
          <cell r="E2499">
            <v>0</v>
          </cell>
          <cell r="F2499">
            <v>790</v>
          </cell>
        </row>
        <row r="2500">
          <cell r="A2500" t="str">
            <v>JA0328-S</v>
          </cell>
          <cell r="B2500" t="str">
            <v>JA328</v>
          </cell>
          <cell r="C2500" t="str">
            <v>เยื่อไผ่ แขนสั้นขาสั้น ลายทางฟ้า ครีม คอปกดอกไม้ S ตัวโชว์</v>
          </cell>
          <cell r="E2500">
            <v>0</v>
          </cell>
          <cell r="F2500">
            <v>790</v>
          </cell>
        </row>
        <row r="2501">
          <cell r="A2501" t="str">
            <v>JA0358-S</v>
          </cell>
          <cell r="B2501" t="str">
            <v>JA358</v>
          </cell>
          <cell r="C2501" t="str">
            <v>เยื่อไผ่ แขนสั้นขาสั้น เรนโบว์ พีช พื้นชมพู S ตัวโชว์</v>
          </cell>
          <cell r="E2501">
            <v>0</v>
          </cell>
          <cell r="F2501">
            <v>790</v>
          </cell>
        </row>
        <row r="2502">
          <cell r="A2502" t="str">
            <v>JA0360-S</v>
          </cell>
          <cell r="B2502" t="str">
            <v>JA360</v>
          </cell>
          <cell r="C2502" t="str">
            <v>เยื่อไผ่ แขนสั้นขาสั้น พื้นฟ้าล้วน S ตัวโชว์</v>
          </cell>
          <cell r="E2502">
            <v>0</v>
          </cell>
          <cell r="F2502">
            <v>790</v>
          </cell>
        </row>
        <row r="2503">
          <cell r="A2503" t="str">
            <v>JA0361-S</v>
          </cell>
          <cell r="B2503" t="str">
            <v>JA361</v>
          </cell>
          <cell r="C2503" t="str">
            <v>เยื่อไผ่ แขนสั้นขาสั้น ดอกเหมยลี่ พื้นครีม S ตัวโชว์</v>
          </cell>
          <cell r="E2503">
            <v>0</v>
          </cell>
          <cell r="F2503">
            <v>790</v>
          </cell>
        </row>
        <row r="2504">
          <cell r="A2504" t="str">
            <v>JA0363-S</v>
          </cell>
          <cell r="B2504" t="str">
            <v>JA363</v>
          </cell>
          <cell r="C2504" t="str">
            <v>เยื่อไผ่ แขนสั้นขาสั้น พื้นกรม ดอกกุหลาบแดง กล้วยไม้ S ตัวโชว์</v>
          </cell>
          <cell r="E2504">
            <v>0</v>
          </cell>
          <cell r="F2504">
            <v>790</v>
          </cell>
        </row>
        <row r="2505">
          <cell r="A2505" t="str">
            <v>JB0025-S</v>
          </cell>
          <cell r="B2505" t="str">
            <v>JB25</v>
          </cell>
          <cell r="C2505" t="str">
            <v>เยื่อไผ่ แขนสั้นขายาว ใบไม้น้ำตาล ขอบแดง S ตัวโชว์</v>
          </cell>
          <cell r="E2505">
            <v>0</v>
          </cell>
          <cell r="F2505">
            <v>890</v>
          </cell>
        </row>
        <row r="2506">
          <cell r="A2506" t="str">
            <v>JB0103-M</v>
          </cell>
          <cell r="B2506" t="str">
            <v>JB103</v>
          </cell>
          <cell r="C2506" t="str">
            <v>เยื่อไผ่ แขนสั้นขายาว ดอกทิวลิป พื้นฟ้า M ตัวโชว์</v>
          </cell>
          <cell r="E2506">
            <v>0</v>
          </cell>
          <cell r="F2506">
            <v>890</v>
          </cell>
        </row>
        <row r="2507">
          <cell r="A2507" t="str">
            <v>JB0117-M</v>
          </cell>
          <cell r="B2507" t="str">
            <v>JB117</v>
          </cell>
          <cell r="C2507" t="str">
            <v>เยื่อไผ่ แขนสั้นขายาว ลายทางพาสเทล M ตัวโชว์</v>
          </cell>
          <cell r="E2507">
            <v>0</v>
          </cell>
          <cell r="F2507">
            <v>890</v>
          </cell>
        </row>
        <row r="2508">
          <cell r="A2508" t="str">
            <v>JB0119-M</v>
          </cell>
          <cell r="B2508" t="str">
            <v>JB119</v>
          </cell>
          <cell r="C2508" t="str">
            <v>เยื่อไผ่ แขนสั้นขายาว ตารางดำขาว M ตัวโชว์</v>
          </cell>
          <cell r="E2508">
            <v>0</v>
          </cell>
          <cell r="F2508">
            <v>890</v>
          </cell>
        </row>
        <row r="2509">
          <cell r="A2509" t="str">
            <v>JB0121-S</v>
          </cell>
          <cell r="B2509" t="str">
            <v>JB121</v>
          </cell>
          <cell r="C2509" t="str">
            <v>เยื่อไผ่ แขนสั้นขายาว TropicaL ลายจุด S ตัวโชว์</v>
          </cell>
          <cell r="E2509">
            <v>0</v>
          </cell>
          <cell r="F2509">
            <v>890</v>
          </cell>
        </row>
        <row r="2510">
          <cell r="A2510" t="str">
            <v>JB0157-M</v>
          </cell>
          <cell r="B2510" t="str">
            <v>JB157</v>
          </cell>
          <cell r="C2510" t="str">
            <v>เยื่อไผ่ แขนสั้นขายาว ลายจุด คอบัว M ตัวโชว์</v>
          </cell>
          <cell r="E2510">
            <v>0</v>
          </cell>
          <cell r="F2510">
            <v>890</v>
          </cell>
        </row>
        <row r="2511">
          <cell r="A2511" t="str">
            <v>JB0175-L</v>
          </cell>
          <cell r="B2511" t="str">
            <v>JB175</v>
          </cell>
          <cell r="C2511" t="str">
            <v>เยื่อไผ่ แขนสั้นขายาว เสื้อญี่ปุ่น ดอกชบา L ตัวโชว์</v>
          </cell>
          <cell r="E2511">
            <v>0</v>
          </cell>
          <cell r="F2511">
            <v>890</v>
          </cell>
        </row>
        <row r="2512">
          <cell r="A2512" t="str">
            <v>JB0236-S</v>
          </cell>
          <cell r="B2512" t="str">
            <v>JB236</v>
          </cell>
          <cell r="C2512" t="str">
            <v>เยื่อไผ่ แขนสั้นขายาว ดอกไม้ดำ พื้นเขียว S ตัวโชว์</v>
          </cell>
          <cell r="E2512">
            <v>0</v>
          </cell>
          <cell r="F2512">
            <v>890</v>
          </cell>
        </row>
        <row r="2513">
          <cell r="A2513" t="str">
            <v>JB0248-S</v>
          </cell>
          <cell r="B2513" t="str">
            <v>JB248</v>
          </cell>
          <cell r="C2513" t="str">
            <v>เยื่อไผ่ แขนสั้นขายาว ดอกไม้เล็ก พื้นชมพู คอกลม S ตัวโชว์</v>
          </cell>
          <cell r="E2513">
            <v>0</v>
          </cell>
          <cell r="F2513">
            <v>890</v>
          </cell>
        </row>
        <row r="2514">
          <cell r="A2514" t="str">
            <v>JB0284-S</v>
          </cell>
          <cell r="B2514" t="str">
            <v>JB284</v>
          </cell>
          <cell r="C2514" t="str">
            <v>เยื่อไผ่ แขนสั้นขายาว พิทบูล พื้นดำ S ตัวโชว์</v>
          </cell>
          <cell r="E2514">
            <v>0</v>
          </cell>
          <cell r="F2514">
            <v>890</v>
          </cell>
        </row>
        <row r="2515">
          <cell r="A2515" t="str">
            <v>JB0315-S</v>
          </cell>
          <cell r="B2515" t="str">
            <v>JB315</v>
          </cell>
          <cell r="C2515" t="str">
            <v>เยื่อไผ่ แขนสั้นขายาว Daisy pink S ตัวโชว์</v>
          </cell>
          <cell r="E2515">
            <v>0</v>
          </cell>
          <cell r="F2515">
            <v>890</v>
          </cell>
        </row>
        <row r="2516">
          <cell r="A2516" t="str">
            <v>JB0316-M</v>
          </cell>
          <cell r="B2516" t="str">
            <v>JB316</v>
          </cell>
          <cell r="C2516" t="str">
            <v>เยื่อไผ่ แขนสั้นขายาว ใบบัว พื้นน้ำตาล M ตัวโชว์</v>
          </cell>
          <cell r="E2516">
            <v>0</v>
          </cell>
          <cell r="F2516">
            <v>890</v>
          </cell>
        </row>
        <row r="2517">
          <cell r="A2517" t="str">
            <v>JB0320-L</v>
          </cell>
          <cell r="B2517" t="str">
            <v>JB320</v>
          </cell>
          <cell r="C2517" t="str">
            <v>เยื่อไผ่ แขนสั้นขายาว Jamaican Cherry พื้นชมพู L ตัวโชว์</v>
          </cell>
          <cell r="E2517">
            <v>0</v>
          </cell>
          <cell r="F2517">
            <v>890</v>
          </cell>
        </row>
        <row r="2518">
          <cell r="A2518" t="str">
            <v>JB0321-S</v>
          </cell>
          <cell r="B2518" t="str">
            <v>JB321</v>
          </cell>
          <cell r="C2518" t="str">
            <v>เยื่อไผ่ แขนสั้นขายาว ดอกชบา พื้นเขียว S ตัวโชว์</v>
          </cell>
          <cell r="E2518">
            <v>0</v>
          </cell>
          <cell r="F2518">
            <v>890</v>
          </cell>
        </row>
        <row r="2519">
          <cell r="A2519" t="str">
            <v>JB0323-S</v>
          </cell>
          <cell r="B2519" t="str">
            <v>JB323</v>
          </cell>
          <cell r="C2519" t="str">
            <v>เยื่อไผ่ แขนสั้นขายาว Jungle Cruise ดำ S ตัวโชว์</v>
          </cell>
          <cell r="E2519">
            <v>0</v>
          </cell>
          <cell r="F2519">
            <v>890</v>
          </cell>
        </row>
        <row r="2520">
          <cell r="A2520" t="str">
            <v>JB0329-S</v>
          </cell>
          <cell r="B2520" t="str">
            <v>JB329</v>
          </cell>
          <cell r="C2520" t="str">
            <v>เยื่อไผ่ แขนสั้นขายาว พื้นดำ คอปกขาว กระดุมมุก S ตัวโชว์</v>
          </cell>
          <cell r="E2520">
            <v>0</v>
          </cell>
          <cell r="F2520">
            <v>890</v>
          </cell>
        </row>
        <row r="2521">
          <cell r="A2521" t="str">
            <v>JB0345-S</v>
          </cell>
          <cell r="B2521" t="str">
            <v>JB345</v>
          </cell>
          <cell r="C2521" t="str">
            <v>เยื่อไผ่ แขนสั้นขายาว พื้นขาว ลายวาดรูป S ตัวโชว์</v>
          </cell>
          <cell r="E2521">
            <v>0</v>
          </cell>
          <cell r="F2521">
            <v>890</v>
          </cell>
        </row>
        <row r="2522">
          <cell r="A2522" t="str">
            <v>JB0347-S</v>
          </cell>
          <cell r="B2522" t="str">
            <v>JB347</v>
          </cell>
          <cell r="C2522" t="str">
            <v>เยื่อไผ่ แขนสั้นขายาว ลายทางม่วง S ตัวโชว์</v>
          </cell>
          <cell r="E2522">
            <v>0</v>
          </cell>
          <cell r="F2522">
            <v>890</v>
          </cell>
        </row>
        <row r="2523">
          <cell r="A2523" t="str">
            <v>JB0353-M</v>
          </cell>
          <cell r="B2523" t="str">
            <v>JB353</v>
          </cell>
          <cell r="C2523" t="str">
            <v>เยื่อไผ่ แขนสั้นขายาว Blue Flower M ตัวโชว์</v>
          </cell>
          <cell r="E2523">
            <v>0</v>
          </cell>
          <cell r="F2523">
            <v>890</v>
          </cell>
        </row>
        <row r="2524">
          <cell r="A2524" t="str">
            <v>JB0362-M</v>
          </cell>
          <cell r="B2524" t="str">
            <v>JB362</v>
          </cell>
          <cell r="C2524" t="str">
            <v>เยื่อไผ่ แขนสั้นขายาว ศิลปะ พื้นครีม M ตัวโชว์</v>
          </cell>
          <cell r="E2524">
            <v>0</v>
          </cell>
          <cell r="F2524">
            <v>890</v>
          </cell>
        </row>
        <row r="2525">
          <cell r="A2525" t="str">
            <v>JC0009-L</v>
          </cell>
          <cell r="B2525" t="str">
            <v>JC9</v>
          </cell>
          <cell r="C2525" t="str">
            <v>เยื่อไผ่ แขนยาวขายาว นกบราว L ตัวโชว์</v>
          </cell>
          <cell r="E2525">
            <v>0</v>
          </cell>
          <cell r="F2525">
            <v>990</v>
          </cell>
        </row>
        <row r="2526">
          <cell r="A2526" t="str">
            <v>JC0014-M</v>
          </cell>
          <cell r="B2526" t="str">
            <v>JC14</v>
          </cell>
          <cell r="C2526" t="str">
            <v>เยื่อไผ่ แขนยาวขายาว ลายทางเทา น้องหมา M ตัวโชว์</v>
          </cell>
          <cell r="E2526">
            <v>0</v>
          </cell>
          <cell r="F2526">
            <v>990</v>
          </cell>
        </row>
        <row r="2527">
          <cell r="A2527" t="str">
            <v>JC0035-S</v>
          </cell>
          <cell r="B2527" t="str">
            <v>JC35</v>
          </cell>
          <cell r="C2527" t="str">
            <v>เยื่อไผ่ แขนยาวขายาว ขาว ดอกไม้เล็ก S ตัวโชว์</v>
          </cell>
          <cell r="E2527">
            <v>0</v>
          </cell>
          <cell r="F2527">
            <v>990</v>
          </cell>
        </row>
        <row r="2528">
          <cell r="A2528" t="str">
            <v>JC0075-S</v>
          </cell>
          <cell r="B2528" t="str">
            <v>JC75</v>
          </cell>
          <cell r="C2528" t="str">
            <v>เยื่อไผ่ แขนยาวขายาว เหลืองลายดอก S ตัวโชว์</v>
          </cell>
          <cell r="E2528">
            <v>0</v>
          </cell>
          <cell r="F2528">
            <v>990</v>
          </cell>
        </row>
        <row r="2529">
          <cell r="A2529" t="str">
            <v>JC0118-S</v>
          </cell>
          <cell r="B2529" t="str">
            <v>JC118</v>
          </cell>
          <cell r="C2529" t="str">
            <v>เยื่อไผ่ แขนยาวขายาว ลายทางเขียว S ตัวโชว์</v>
          </cell>
          <cell r="E2529">
            <v>0</v>
          </cell>
          <cell r="F2529">
            <v>990</v>
          </cell>
        </row>
        <row r="2530">
          <cell r="A2530" t="str">
            <v>JC0121-S</v>
          </cell>
          <cell r="B2530" t="str">
            <v>JC121</v>
          </cell>
          <cell r="C2530" t="str">
            <v>เยื่อไผ่ แขนยาวขายาว ขาว ลายจุด TropicaL S ตัวโชว์</v>
          </cell>
          <cell r="E2530">
            <v>0</v>
          </cell>
          <cell r="F2530">
            <v>990</v>
          </cell>
        </row>
        <row r="2531">
          <cell r="A2531" t="str">
            <v>JC0157-L</v>
          </cell>
          <cell r="B2531" t="str">
            <v>JC157</v>
          </cell>
          <cell r="C2531" t="str">
            <v>เยื่อไผ่ แขนยาวขายาว คอบัว ลายจุด  L ตัวโชว์</v>
          </cell>
          <cell r="E2531">
            <v>0</v>
          </cell>
          <cell r="F2531">
            <v>990</v>
          </cell>
        </row>
        <row r="2532">
          <cell r="A2532" t="str">
            <v>JC0164-S</v>
          </cell>
          <cell r="B2532" t="str">
            <v>JC164</v>
          </cell>
          <cell r="C2532" t="str">
            <v>เยื่อไผ่ แขนยาวขายาว เสื้อญี่ปุ่น ไอติมแตงโม พื้นขาว S ตัวโชว์</v>
          </cell>
          <cell r="E2532">
            <v>0</v>
          </cell>
          <cell r="F2532">
            <v>990</v>
          </cell>
        </row>
        <row r="2533">
          <cell r="A2533" t="str">
            <v>JC0179-M</v>
          </cell>
          <cell r="B2533" t="str">
            <v>JC179</v>
          </cell>
          <cell r="C2533" t="str">
            <v>เยื่อไผ่ แขนยาวขายาว จุดครีม พื้นโอรส M ตัวโชว์</v>
          </cell>
          <cell r="E2533">
            <v>0</v>
          </cell>
          <cell r="F2533">
            <v>990</v>
          </cell>
        </row>
        <row r="2534">
          <cell r="A2534" t="str">
            <v>JC0191-S</v>
          </cell>
          <cell r="B2534" t="str">
            <v>JC191</v>
          </cell>
          <cell r="C2534" t="str">
            <v>เยื่อไผ่ แขนยาวขายาว&amp;nbsp;โบตั๋น โอรสพื้นเขียว S ตัวโชว์</v>
          </cell>
          <cell r="E2534">
            <v>0</v>
          </cell>
          <cell r="F2534">
            <v>990</v>
          </cell>
        </row>
        <row r="2535">
          <cell r="A2535" t="str">
            <v>JC0228-S</v>
          </cell>
          <cell r="B2535" t="str">
            <v>JC228</v>
          </cell>
          <cell r="C2535" t="str">
            <v>เยื่อไผ่ แขนยาวขายาว จุดขาว พื้นเขียว S ตัวโชว์</v>
          </cell>
          <cell r="E2535">
            <v>0</v>
          </cell>
          <cell r="F2535">
            <v>990</v>
          </cell>
        </row>
        <row r="2536">
          <cell r="A2536" t="str">
            <v>JC0248-S</v>
          </cell>
          <cell r="B2536" t="str">
            <v>JC248</v>
          </cell>
          <cell r="C2536" t="str">
            <v>เยื่อไผ่ แขนยาวขายาว ดอกไม้เล็ก พื้นชมพู คอกลม S ตัวโชว์</v>
          </cell>
          <cell r="E2536">
            <v>0</v>
          </cell>
          <cell r="F2536">
            <v>990</v>
          </cell>
        </row>
        <row r="2537">
          <cell r="A2537" t="str">
            <v>JC0250-S</v>
          </cell>
          <cell r="B2537" t="str">
            <v>JC250</v>
          </cell>
          <cell r="C2537" t="str">
            <v>เยื่อไผ่ แขนยาวขายาว คอวี ใบไม้น้ำตาล พื้นแดง S ตัวโชว์</v>
          </cell>
          <cell r="E2537">
            <v>0</v>
          </cell>
          <cell r="F2537">
            <v>990</v>
          </cell>
        </row>
        <row r="2538">
          <cell r="A2538" t="str">
            <v>JC0284-S</v>
          </cell>
          <cell r="B2538" t="str">
            <v>JC284</v>
          </cell>
          <cell r="C2538" t="str">
            <v>เยื่อไผ่ แขนยาวขายาว พิทบูล พื้นดำ S ตัวโชว์</v>
          </cell>
          <cell r="E2538">
            <v>0</v>
          </cell>
          <cell r="F2538">
            <v>990</v>
          </cell>
        </row>
        <row r="2539">
          <cell r="A2539" t="str">
            <v>JC0285-S</v>
          </cell>
          <cell r="B2539" t="str">
            <v>JC285</v>
          </cell>
          <cell r="C2539" t="str">
            <v>เยื่อไผ่ แขนยาวขายาว ลายเฮนน่า S ตัวโชว์</v>
          </cell>
          <cell r="E2539">
            <v>0</v>
          </cell>
          <cell r="F2539">
            <v>990</v>
          </cell>
        </row>
        <row r="2540">
          <cell r="A2540" t="str">
            <v>JC0311-S</v>
          </cell>
          <cell r="B2540" t="str">
            <v>JC311</v>
          </cell>
          <cell r="C2540" t="str">
            <v>เยื่อไผ่ แขนยาวขายาว ลายทางพลาสเทล ฟ้า S ตัวโชว์</v>
          </cell>
          <cell r="E2540">
            <v>0</v>
          </cell>
          <cell r="F2540">
            <v>990</v>
          </cell>
        </row>
        <row r="2541">
          <cell r="A2541" t="str">
            <v>JC0313-S</v>
          </cell>
          <cell r="B2541" t="str">
            <v>JC313</v>
          </cell>
          <cell r="C2541" t="str">
            <v>เยื่อไผ่ แขนยาวขายาว แพนด้า เหลือง S ตัวโชว์</v>
          </cell>
          <cell r="E2541">
            <v>0</v>
          </cell>
          <cell r="F2541">
            <v>990</v>
          </cell>
        </row>
        <row r="2542">
          <cell r="A2542" t="str">
            <v>JC0317-S</v>
          </cell>
          <cell r="B2542" t="str">
            <v>JC317</v>
          </cell>
          <cell r="C2542" t="str">
            <v>เยื่อไผ่ แขนยาวขายาว ลายผ้าทวีต ขาวดำ S ตัวโชว์</v>
          </cell>
          <cell r="E2542">
            <v>0</v>
          </cell>
          <cell r="F2542">
            <v>990</v>
          </cell>
        </row>
        <row r="2543">
          <cell r="A2543" t="str">
            <v>JC0320-S</v>
          </cell>
          <cell r="B2543" t="str">
            <v>JC320</v>
          </cell>
          <cell r="C2543" t="str">
            <v>เยื่อไผ่ แขนยาวขายาว Jamaican Cherry พื้นชมพู S ตัวโชว์</v>
          </cell>
          <cell r="E2543">
            <v>0</v>
          </cell>
          <cell r="F2543">
            <v>990</v>
          </cell>
        </row>
        <row r="2544">
          <cell r="A2544" t="str">
            <v>JC0325-S</v>
          </cell>
          <cell r="B2544" t="str">
            <v>JC325</v>
          </cell>
          <cell r="C2544" t="str">
            <v>เยื่อไผ่ แขนยาวขายาว ดอกไม้สีฟ้า สีเหลือง พื้นขาว S ตัวโชว์</v>
          </cell>
          <cell r="E2544">
            <v>0</v>
          </cell>
          <cell r="F2544">
            <v>990</v>
          </cell>
        </row>
        <row r="2545">
          <cell r="A2545" t="str">
            <v>JC0337-S</v>
          </cell>
          <cell r="B2545" t="str">
            <v>JC337</v>
          </cell>
          <cell r="C2545" t="str">
            <v>เยื่อไผ่ แขนยาวขายาว แมวฟ้า กุ๊นขอบ S ตัวโชว์</v>
          </cell>
          <cell r="E2545">
            <v>0</v>
          </cell>
          <cell r="F2545">
            <v>990</v>
          </cell>
        </row>
        <row r="2546">
          <cell r="A2546" t="str">
            <v>JC0357-S</v>
          </cell>
          <cell r="B2546" t="str">
            <v>JC357</v>
          </cell>
          <cell r="C2546" t="str">
            <v>เยื่อไผ่ แขนยาวขายาว ผีเสื้อ พื้เหลืองอ่อน S ตัวโชว์</v>
          </cell>
          <cell r="E2546">
            <v>0</v>
          </cell>
          <cell r="F2546">
            <v>990</v>
          </cell>
        </row>
        <row r="2547">
          <cell r="A2547" t="str">
            <v>JC0361-S</v>
          </cell>
          <cell r="B2547" t="str">
            <v>JC361</v>
          </cell>
          <cell r="C2547" t="str">
            <v>เยื่อไผ่ แขนยาวขายาว ดอกเหมยลี่ พื้นครีม S ตัวโชว์</v>
          </cell>
          <cell r="E2547">
            <v>0</v>
          </cell>
          <cell r="F2547">
            <v>990</v>
          </cell>
        </row>
        <row r="2548">
          <cell r="A2548" t="str">
            <v>JD0030-S</v>
          </cell>
          <cell r="B2548" t="str">
            <v>JD30</v>
          </cell>
          <cell r="C2548" t="str">
            <v>เยื่อไผ่ เดรสแขนยาว ลายทางเขียว S ตัวโชว์</v>
          </cell>
          <cell r="E2548">
            <v>0</v>
          </cell>
          <cell r="F2548">
            <v>890</v>
          </cell>
        </row>
        <row r="2549">
          <cell r="A2549" t="str">
            <v>JD0191-M</v>
          </cell>
          <cell r="B2549" t="str">
            <v>JD191</v>
          </cell>
          <cell r="C2549" t="str">
            <v>เยื่อไผ่ เดรสแขนสั้น โบตั๋น โอรสพื้นเขียว M ตัวโชว์</v>
          </cell>
          <cell r="E2549">
            <v>0</v>
          </cell>
          <cell r="F2549">
            <v>890</v>
          </cell>
        </row>
        <row r="2550">
          <cell r="A2550" t="str">
            <v>JD0205-M</v>
          </cell>
          <cell r="B2550" t="str">
            <v>JD205</v>
          </cell>
          <cell r="C2550" t="str">
            <v>เยื่อไผ่ เดรส แขนสั้น Wall Flower M ตัวโชว์</v>
          </cell>
          <cell r="E2550">
            <v>0</v>
          </cell>
          <cell r="F2550">
            <v>890</v>
          </cell>
        </row>
        <row r="2551">
          <cell r="A2551" t="str">
            <v>JD0210-M</v>
          </cell>
          <cell r="B2551" t="str">
            <v>JD210</v>
          </cell>
          <cell r="C2551" t="str">
            <v>เยื่อไผ่ เดรส ดอกไม้ขาว พื้นฟ้า M ตัวโชว์</v>
          </cell>
          <cell r="E2551">
            <v>0</v>
          </cell>
          <cell r="F2551">
            <v>890</v>
          </cell>
        </row>
        <row r="2552">
          <cell r="A2552" t="str">
            <v>JD0220-M</v>
          </cell>
          <cell r="B2552" t="str">
            <v>JD220</v>
          </cell>
          <cell r="C2552" t="str">
            <v>เยื่อไผ่ เดรส แขนสั้น ดอกไม้จิ๋ว พื้นครีม M ตัวโชว์</v>
          </cell>
          <cell r="E2552">
            <v>0</v>
          </cell>
          <cell r="F2552">
            <v>890</v>
          </cell>
        </row>
        <row r="2553">
          <cell r="A2553" t="str">
            <v>JG0013-S</v>
          </cell>
          <cell r="B2553" t="str">
            <v>JG13</v>
          </cell>
          <cell r="C2553" t="str">
            <v>เยื่อไผ่ ห้าส่วน แมว ฟ้า S ตัวโชว์</v>
          </cell>
          <cell r="E2553">
            <v>0</v>
          </cell>
          <cell r="F2553">
            <v>890</v>
          </cell>
        </row>
        <row r="2554">
          <cell r="A2554" t="str">
            <v>JG0020-S</v>
          </cell>
          <cell r="B2554" t="str">
            <v>JG20</v>
          </cell>
          <cell r="C2554" t="str">
            <v>เยื่อไผ่ แขนสั้นขายาว ใบไม้เขียว NEW S Oversize ตัวโชว์</v>
          </cell>
          <cell r="E2554">
            <v>0</v>
          </cell>
          <cell r="F2554">
            <v>890</v>
          </cell>
        </row>
        <row r="2555">
          <cell r="A2555" t="str">
            <v>JG0023-S</v>
          </cell>
          <cell r="B2555" t="str">
            <v>JG23</v>
          </cell>
          <cell r="C2555" t="str">
            <v>เยื่อไผ่ แขนสั้นขายาว TropicaL ใบไม้เหลือง OverSize S ตัวโชว์</v>
          </cell>
          <cell r="E2555">
            <v>0</v>
          </cell>
          <cell r="F2555">
            <v>890</v>
          </cell>
        </row>
        <row r="2556">
          <cell r="A2556" t="str">
            <v>JG0057-S</v>
          </cell>
          <cell r="B2556" t="str">
            <v>JG57</v>
          </cell>
          <cell r="C2556" t="str">
            <v>เยื่อไผ่ ห้าส่วน ดอกไม้ พื้นครีม Oversize S ตัวโชว์</v>
          </cell>
          <cell r="E2556">
            <v>0</v>
          </cell>
          <cell r="F2556">
            <v>890</v>
          </cell>
        </row>
        <row r="2557">
          <cell r="A2557" t="str">
            <v>JG0108-S</v>
          </cell>
          <cell r="B2557" t="str">
            <v>JG108</v>
          </cell>
          <cell r="C2557" t="str">
            <v>เยื่อไผ่ ห้าส่วน พีชใหญ่ พื้นชมพู S OverSize ตัวโชว์</v>
          </cell>
          <cell r="E2557">
            <v>0</v>
          </cell>
          <cell r="F2557">
            <v>890</v>
          </cell>
        </row>
        <row r="2558">
          <cell r="A2558" t="str">
            <v>JG0196-M</v>
          </cell>
          <cell r="B2558" t="str">
            <v>JG196</v>
          </cell>
          <cell r="C2558" t="str">
            <v>เยื่อไผ่ แขนสั้นขายาว ใบไม้น้ำตาล พื้นแดง oversize M ตัวโชว์</v>
          </cell>
          <cell r="E2558">
            <v>0</v>
          </cell>
          <cell r="F2558">
            <v>890</v>
          </cell>
        </row>
        <row r="2559">
          <cell r="A2559" t="str">
            <v>JG0257-S</v>
          </cell>
          <cell r="B2559" t="str">
            <v>JG257</v>
          </cell>
          <cell r="C2559" t="str">
            <v>เยื่อไผ่ แขนสั้นขายาว Brand new พื้นเขียว S ตัวโชว์</v>
          </cell>
          <cell r="E2559">
            <v>0</v>
          </cell>
          <cell r="F2559">
            <v>890</v>
          </cell>
        </row>
        <row r="2560">
          <cell r="A2560" t="str">
            <v>JG0328-S</v>
          </cell>
          <cell r="B2560" t="str">
            <v>JG328</v>
          </cell>
          <cell r="C2560" t="str">
            <v>เยื่อไผ่ ห้าส่วน Cat Party OverSize S ตัวโชว์</v>
          </cell>
          <cell r="E2560">
            <v>0</v>
          </cell>
          <cell r="F2560">
            <v>890</v>
          </cell>
        </row>
        <row r="2561">
          <cell r="A2561" t="str">
            <v>JG0336-S</v>
          </cell>
          <cell r="B2561" t="str">
            <v>JG336</v>
          </cell>
          <cell r="C2561" t="str">
            <v>เยื่อไผ่ ห้าส่วน แมวการ์ตูน พื้นฟ้า S ตัวโชว์</v>
          </cell>
          <cell r="E2561">
            <v>0</v>
          </cell>
          <cell r="F2561">
            <v>890</v>
          </cell>
        </row>
        <row r="2562">
          <cell r="A2562" t="str">
            <v>JG0341-S</v>
          </cell>
          <cell r="B2562" t="str">
            <v>JG341</v>
          </cell>
          <cell r="C2562" t="str">
            <v>เยื่อไผ่ ห้าส่วน พื้นขาว ดอกไม้เหลือง ผีเสื้อเขียว S ตัวโชว์</v>
          </cell>
          <cell r="E2562">
            <v>0</v>
          </cell>
          <cell r="F2562">
            <v>890</v>
          </cell>
        </row>
        <row r="2563">
          <cell r="A2563" t="str">
            <v>JG0343-S</v>
          </cell>
          <cell r="B2563" t="str">
            <v>JG343</v>
          </cell>
          <cell r="C2563" t="str">
            <v>เยื่อไผ่ ห้าส่วน นกยูง พื้นขาวครีม S ตัวโชว์</v>
          </cell>
          <cell r="E2563">
            <v>0</v>
          </cell>
          <cell r="F2563">
            <v>890</v>
          </cell>
        </row>
        <row r="2564">
          <cell r="A2564" t="str">
            <v>JH0002-M</v>
          </cell>
          <cell r="B2564" t="str">
            <v>JH2</v>
          </cell>
          <cell r="C2564" t="str">
            <v>ซาติน ไฮเอ็น แขนสั้นขายาว พื้นชมพูอ่อน พู่กัน กระเป๋าจิ้งจอก M (กปก) ตัวโชว์</v>
          </cell>
          <cell r="E2564">
            <v>0</v>
          </cell>
          <cell r="F2564">
            <v>990</v>
          </cell>
        </row>
        <row r="2565">
          <cell r="A2565" t="str">
            <v>JH0011-M</v>
          </cell>
          <cell r="B2565" t="str">
            <v>JH11</v>
          </cell>
          <cell r="C2565" t="str">
            <v>ซาติน ไฮเอ็น แขนยาวขายาว Blue Mountain M (กปก)  ตัวโชว์</v>
          </cell>
          <cell r="E2565">
            <v>0</v>
          </cell>
          <cell r="F2565">
            <v>990</v>
          </cell>
        </row>
        <row r="2566">
          <cell r="A2566" t="str">
            <v>JH0012-L</v>
          </cell>
          <cell r="B2566" t="str">
            <v>JH12</v>
          </cell>
          <cell r="C2566" t="str">
            <v>ซาติน ไฮเอ็น แขนสั้นขายาว Luxury ขาว น้ำตาล L (กปก)  ตัวโชว์</v>
          </cell>
          <cell r="E2566">
            <v>0</v>
          </cell>
          <cell r="F2566">
            <v>990</v>
          </cell>
        </row>
        <row r="2567">
          <cell r="A2567" t="str">
            <v>JH0012-M</v>
          </cell>
          <cell r="B2567" t="str">
            <v>JH12</v>
          </cell>
          <cell r="C2567" t="str">
            <v>ซาติน ไฮเอ็น แขนสั้นขายาว Luxury ขาว น้ำตาล M (กปก)  ตัวโชว์</v>
          </cell>
          <cell r="E2567">
            <v>0</v>
          </cell>
          <cell r="F2567">
            <v>990</v>
          </cell>
        </row>
        <row r="2568">
          <cell r="A2568" t="str">
            <v>JH0012-XL</v>
          </cell>
          <cell r="B2568" t="str">
            <v>JH12</v>
          </cell>
          <cell r="C2568" t="str">
            <v>ซาติน ไฮเอ็น แขนสั้นขายาว Luxury ขาว น้ำตาล XL (กปก)  ตัวโชว์</v>
          </cell>
          <cell r="E2568">
            <v>0</v>
          </cell>
          <cell r="F2568">
            <v>990</v>
          </cell>
        </row>
        <row r="2569">
          <cell r="A2569" t="str">
            <v>JH0013-M</v>
          </cell>
          <cell r="B2569" t="str">
            <v>JH13</v>
          </cell>
          <cell r="C2569" t="str">
            <v>ซาติน ไฮเอ็น แขนสั้นขายาว พื้นครีมอ่อน ภาพวาดม้า M (กปก) ตัวโชว์</v>
          </cell>
          <cell r="E2569">
            <v>0</v>
          </cell>
          <cell r="F2569">
            <v>990</v>
          </cell>
        </row>
        <row r="2570">
          <cell r="A2570" t="str">
            <v>JH0014-M</v>
          </cell>
          <cell r="B2570" t="str">
            <v>JH14</v>
          </cell>
          <cell r="C2570" t="str">
            <v>ซาติน ไฮเอ็น แขนสั้นขายาว หัวใจเล็กระบาย พื้นเขียว M ตัวโชว์</v>
          </cell>
          <cell r="E2570">
            <v>0</v>
          </cell>
          <cell r="F2570">
            <v>990</v>
          </cell>
        </row>
        <row r="2571">
          <cell r="A2571" t="str">
            <v>JH0015-M</v>
          </cell>
          <cell r="B2571" t="str">
            <v>JH15</v>
          </cell>
          <cell r="C2571" t="str">
            <v>ซาติน ไฮเอ็น แขนสั้นขาสั้น Baby Tiger สีเหลือง M (กปก)  ตัวโชว์</v>
          </cell>
          <cell r="E2571">
            <v>0</v>
          </cell>
          <cell r="F2571">
            <v>990</v>
          </cell>
        </row>
        <row r="2572">
          <cell r="A2572" t="str">
            <v>JH0016-M</v>
          </cell>
          <cell r="B2572" t="str">
            <v>JH16</v>
          </cell>
          <cell r="C2572" t="str">
            <v>ซาติน ไฮเอ็น แขนสั้นขายาว Baby Tiger สีเหลือง M ตัวโชว์</v>
          </cell>
          <cell r="E2572">
            <v>0</v>
          </cell>
          <cell r="F2572">
            <v>990</v>
          </cell>
        </row>
        <row r="2573">
          <cell r="A2573" t="str">
            <v>JH0017-M</v>
          </cell>
          <cell r="B2573" t="str">
            <v>JH17</v>
          </cell>
          <cell r="C2573" t="str">
            <v>ซาติน ไฮเอ็น แขนสั้นขายาว ลายทางไม้ไผ่ ปกแพนด้า M (กปก) ตัวโชว์</v>
          </cell>
          <cell r="E2573">
            <v>0</v>
          </cell>
          <cell r="F2573">
            <v>990</v>
          </cell>
        </row>
        <row r="2574">
          <cell r="A2574" t="str">
            <v>JH0017-XL</v>
          </cell>
          <cell r="B2574" t="str">
            <v>JH17</v>
          </cell>
          <cell r="C2574" t="str">
            <v>ซาติน ไฮเอ็น แขนสั้นขายาว ลายทางไม้ไผ่ ปกแพนด้า XL (กปก)  ตัวโชว์</v>
          </cell>
          <cell r="E2574">
            <v>0</v>
          </cell>
          <cell r="F2574">
            <v>990</v>
          </cell>
        </row>
        <row r="2575">
          <cell r="A2575" t="str">
            <v>JH0021-XL</v>
          </cell>
          <cell r="B2575" t="str">
            <v>JH21</v>
          </cell>
          <cell r="C2575" t="str">
            <v>ซาติน ไฮเอ็น แขนยาวขายาว พื้นขาว หน้าต่างดำ XL  ตัวโชว์</v>
          </cell>
          <cell r="E2575">
            <v>0</v>
          </cell>
          <cell r="F2575">
            <v>990</v>
          </cell>
        </row>
        <row r="2576">
          <cell r="A2576" t="str">
            <v>JH0023-L</v>
          </cell>
          <cell r="B2576" t="str">
            <v>JH23</v>
          </cell>
          <cell r="C2576" t="str">
            <v>ซาติน ไฮเอ็น แขนยาวขายาว พื้นชมพูอ่อน พู่กัน กระเป๋าจิ้งจอก L (กปก)  ตัวโชว์</v>
          </cell>
          <cell r="E2576">
            <v>0</v>
          </cell>
          <cell r="F2576">
            <v>990</v>
          </cell>
        </row>
        <row r="2577">
          <cell r="A2577" t="str">
            <v>JH0023-M</v>
          </cell>
          <cell r="B2577" t="str">
            <v>JH23</v>
          </cell>
          <cell r="C2577" t="str">
            <v>ซาติน ไฮเอ็น แขนยาวขายาว พื้นชมพูอ่อน พู่กัน กระเป๋าจิ้งจอก M (กปก) ตัวโชว์</v>
          </cell>
          <cell r="E2577">
            <v>0</v>
          </cell>
          <cell r="F2577">
            <v>990</v>
          </cell>
        </row>
        <row r="2578">
          <cell r="A2578" t="str">
            <v>JH0024-M</v>
          </cell>
          <cell r="B2578" t="str">
            <v>JH24</v>
          </cell>
          <cell r="C2578" t="str">
            <v>ซาติน ไฮเอ็น เดรส สายเดี่ยว Blue Mountain M  ตัวโชว์</v>
          </cell>
          <cell r="E2578">
            <v>0</v>
          </cell>
          <cell r="F2578">
            <v>990</v>
          </cell>
        </row>
        <row r="2579">
          <cell r="A2579" t="str">
            <v>JH0025-L</v>
          </cell>
          <cell r="B2579" t="str">
            <v>JH25</v>
          </cell>
          <cell r="C2579" t="str">
            <v>ซาติน ไฮเอ็น แขนยาวขายาว พื้นครีม ปกขาว L  ตัวโชว์</v>
          </cell>
          <cell r="E2579">
            <v>0</v>
          </cell>
          <cell r="F2579">
            <v>990</v>
          </cell>
        </row>
        <row r="2580">
          <cell r="A2580" t="str">
            <v>JH0025-M</v>
          </cell>
          <cell r="B2580" t="str">
            <v>JH25</v>
          </cell>
          <cell r="C2580" t="str">
            <v>ซาติน ไฮเอ็น แขนยาวขายาว พื้นครีม ปกขาว M  ตัวโชว์</v>
          </cell>
          <cell r="E2580">
            <v>0</v>
          </cell>
          <cell r="F2580">
            <v>990</v>
          </cell>
        </row>
        <row r="2581">
          <cell r="A2581" t="str">
            <v>JH0026-M</v>
          </cell>
          <cell r="B2581" t="str">
            <v>JH26</v>
          </cell>
          <cell r="C2581" t="str">
            <v>ซาติน ไฮเอ็น แขนยาวขายาว พื้นชมพู ปกกรม M ตัวโชว์</v>
          </cell>
          <cell r="E2581">
            <v>0</v>
          </cell>
          <cell r="F2581">
            <v>990</v>
          </cell>
        </row>
        <row r="2582">
          <cell r="A2582" t="str">
            <v>JH0027-L</v>
          </cell>
          <cell r="B2582" t="str">
            <v>JH27</v>
          </cell>
          <cell r="C2582" t="str">
            <v>ซาติน ไฮเอ็น แขนยาวขายาว พื้นเขียว ปกขาว L  ตัวโชว์</v>
          </cell>
          <cell r="E2582">
            <v>0</v>
          </cell>
          <cell r="F2582">
            <v>990</v>
          </cell>
        </row>
        <row r="2583">
          <cell r="A2583" t="str">
            <v>JH0027-M</v>
          </cell>
          <cell r="B2583" t="str">
            <v>JH27</v>
          </cell>
          <cell r="C2583" t="str">
            <v>ซาติน ไฮเอ็น แขนยาวขายาว พื้นเขียว ปกขาว M  ตัวโชว์</v>
          </cell>
          <cell r="E2583">
            <v>0</v>
          </cell>
          <cell r="F2583">
            <v>990</v>
          </cell>
        </row>
        <row r="2584">
          <cell r="A2584" t="str">
            <v>JH0028-M</v>
          </cell>
          <cell r="B2584" t="str">
            <v>JH28</v>
          </cell>
          <cell r="C2584" t="str">
            <v>ซาติน ไฮเอ็น แขนยาวขายาว พื้นเหลือง ปกขาว M  ตัวโชว์</v>
          </cell>
          <cell r="E2584">
            <v>0</v>
          </cell>
          <cell r="F2584">
            <v>990</v>
          </cell>
        </row>
        <row r="2585">
          <cell r="A2585" t="str">
            <v>JH0029-M</v>
          </cell>
          <cell r="B2585" t="str">
            <v>JH29</v>
          </cell>
          <cell r="C2585" t="str">
            <v>ซาติน ไฮเอ็น แขนสั้นขายาว พื้นฟ้า ขอบดำ กระเป๋า V M  ตัวโชว์</v>
          </cell>
          <cell r="E2585">
            <v>0</v>
          </cell>
          <cell r="F2585">
            <v>990</v>
          </cell>
        </row>
        <row r="2586">
          <cell r="A2586" t="str">
            <v>JH0029-XL</v>
          </cell>
          <cell r="B2586" t="str">
            <v>JH29</v>
          </cell>
          <cell r="C2586" t="str">
            <v>ซาติน ไฮเอ็น แขนสั้นขายาว พื้นฟ้า ขอบดำ กระเป๋า V XL  ตัวโชว์</v>
          </cell>
          <cell r="E2586">
            <v>0</v>
          </cell>
          <cell r="F2586">
            <v>990</v>
          </cell>
        </row>
        <row r="2587">
          <cell r="A2587" t="str">
            <v>JH0031-L</v>
          </cell>
          <cell r="B2587" t="str">
            <v>JH31</v>
          </cell>
          <cell r="C2587" t="str">
            <v>ซาติน ไฮเอ็น แขนยาวขายาว จิ๊กซอว์ ชมพู L ตัวโชว์</v>
          </cell>
          <cell r="E2587">
            <v>0</v>
          </cell>
          <cell r="F2587">
            <v>990</v>
          </cell>
        </row>
        <row r="2588">
          <cell r="A2588" t="str">
            <v>JH0032-M</v>
          </cell>
          <cell r="B2588" t="str">
            <v>JH32</v>
          </cell>
          <cell r="C2588" t="str">
            <v>ซาติน ไฮเอ็น เดรสแขนสั้น จิ๊กซอว์ ชมพู M ตัวโชว์</v>
          </cell>
          <cell r="E2588">
            <v>0</v>
          </cell>
          <cell r="F2588">
            <v>990</v>
          </cell>
        </row>
        <row r="2589">
          <cell r="A2589" t="str">
            <v>JH0034-L</v>
          </cell>
          <cell r="B2589" t="str">
            <v>JH34</v>
          </cell>
          <cell r="C2589" t="str">
            <v>ซาติน ไฮเอ็น เดรส แขนสั้น Blue Mountain L ตัวโชว์</v>
          </cell>
          <cell r="E2589">
            <v>0</v>
          </cell>
          <cell r="F2589">
            <v>790</v>
          </cell>
        </row>
        <row r="2590">
          <cell r="A2590" t="str">
            <v>JH0034-M</v>
          </cell>
          <cell r="B2590" t="str">
            <v>JH34</v>
          </cell>
          <cell r="C2590" t="str">
            <v>ซาติน ไฮเอ็น เดรส แขนสั้น Blue Mountain M ตัวโชว์</v>
          </cell>
          <cell r="E2590">
            <v>0</v>
          </cell>
          <cell r="F2590">
            <v>790</v>
          </cell>
        </row>
        <row r="2591">
          <cell r="A2591" t="str">
            <v>JH0034-XL</v>
          </cell>
          <cell r="B2591" t="str">
            <v>JH34</v>
          </cell>
          <cell r="C2591" t="str">
            <v>ซาติน ไฮเอ็น เดรส แขนสั้น Blue Mountain XL ตัวโชว์</v>
          </cell>
          <cell r="E2591">
            <v>0</v>
          </cell>
          <cell r="F2591">
            <v>790</v>
          </cell>
        </row>
        <row r="2592">
          <cell r="A2592" t="str">
            <v>JK0005-M</v>
          </cell>
          <cell r="B2592" t="str">
            <v>JK5</v>
          </cell>
          <cell r="C2592" t="str">
            <v>ซาติน เดรส+กางเกง ชมพู นู้ด M ตัวโชว์</v>
          </cell>
          <cell r="E2592">
            <v>0</v>
          </cell>
          <cell r="F2592">
            <v>890</v>
          </cell>
        </row>
        <row r="2593">
          <cell r="A2593" t="str">
            <v>JK0006-M</v>
          </cell>
          <cell r="B2593" t="str">
            <v>JK6</v>
          </cell>
          <cell r="C2593" t="str">
            <v>ซาติน เดรส+กางเกง ฟ้าเข้ม M ตัวโชว์</v>
          </cell>
          <cell r="E2593">
            <v>0</v>
          </cell>
          <cell r="F2593">
            <v>890</v>
          </cell>
        </row>
        <row r="2594">
          <cell r="A2594" t="str">
            <v>JK0025-M</v>
          </cell>
          <cell r="B2594" t="str">
            <v>JK25</v>
          </cell>
          <cell r="C2594" t="str">
            <v>ซาติน เดรส+กางเกง สีกรมเข้ม M ตัวโชว์</v>
          </cell>
          <cell r="E2594">
            <v>0</v>
          </cell>
          <cell r="F2594">
            <v>890</v>
          </cell>
        </row>
        <row r="2595">
          <cell r="A2595" t="str">
            <v>JK0074-M</v>
          </cell>
          <cell r="B2595" t="str">
            <v>JK74</v>
          </cell>
          <cell r="C2595" t="str">
            <v>ซาติน เดรสแขนยาว Fat cat พื้นชมพู M ตัวโชว์</v>
          </cell>
          <cell r="E2595">
            <v>0</v>
          </cell>
          <cell r="F2595">
            <v>890</v>
          </cell>
        </row>
        <row r="2596">
          <cell r="A2596" t="str">
            <v>JK0086-M</v>
          </cell>
          <cell r="B2596" t="str">
            <v>JK86</v>
          </cell>
          <cell r="C2596" t="str">
            <v>ซาติน เดรสแขนยาว fashion and girl ส้ม M ตัวโชว์</v>
          </cell>
          <cell r="E2596">
            <v>0</v>
          </cell>
          <cell r="F2596">
            <v>890</v>
          </cell>
        </row>
        <row r="2597">
          <cell r="A2597" t="str">
            <v>JK0089-M</v>
          </cell>
          <cell r="B2597" t="str">
            <v>JK89</v>
          </cell>
          <cell r="C2597" t="str">
            <v>ซาติน เดรสแขนยาว love and balloon ชมพู M ตัวโชว์</v>
          </cell>
          <cell r="E2597">
            <v>0</v>
          </cell>
          <cell r="F2597">
            <v>890</v>
          </cell>
        </row>
        <row r="2598">
          <cell r="A2598" t="str">
            <v>JK0316-M</v>
          </cell>
          <cell r="B2598" t="str">
            <v>JK316</v>
          </cell>
          <cell r="C2598" t="str">
            <v>ซาติน เดรส แขนสั้น กางเกง ลาเวนเดอร์ M ตัวโชว์</v>
          </cell>
          <cell r="E2598">
            <v>0</v>
          </cell>
          <cell r="F2598">
            <v>890</v>
          </cell>
        </row>
        <row r="2599">
          <cell r="A2599" t="str">
            <v>JK0328-M</v>
          </cell>
          <cell r="B2599" t="str">
            <v>JK328</v>
          </cell>
          <cell r="C2599" t="str">
            <v>ซาติน เดรส แขนสั้น อาหมวย พื้นเขียว หมวกแดง  M ตัวโชว์</v>
          </cell>
          <cell r="E2599">
            <v>0</v>
          </cell>
          <cell r="F2599">
            <v>890</v>
          </cell>
        </row>
        <row r="2600">
          <cell r="A2600" t="str">
            <v>JK0329-M</v>
          </cell>
          <cell r="B2600" t="str">
            <v>JK329</v>
          </cell>
          <cell r="C2600" t="str">
            <v>ซาติน เดรส แขนสั้น อาหมวย พื้นชมพู หมวกขาว M ตัวโชว์</v>
          </cell>
          <cell r="E2600">
            <v>0</v>
          </cell>
          <cell r="F2600">
            <v>890</v>
          </cell>
        </row>
        <row r="2601">
          <cell r="A2601" t="str">
            <v>JK0339-M</v>
          </cell>
          <cell r="B2601" t="str">
            <v>JK339</v>
          </cell>
          <cell r="C2601" t="str">
            <v>ซาติน เดรสแขนสั้น แคสเปอร์ ชมพู M ตัวโชว์</v>
          </cell>
          <cell r="E2601">
            <v>0</v>
          </cell>
          <cell r="F2601">
            <v>890</v>
          </cell>
        </row>
        <row r="2602">
          <cell r="A2602" t="str">
            <v>JK0474-M</v>
          </cell>
          <cell r="B2602" t="str">
            <v>JK474</v>
          </cell>
          <cell r="C2602" t="str">
            <v>ซาติน เดรสแขน 5 ส่วน Good Night Dog พื้นชมพู M ตัวโชว์</v>
          </cell>
          <cell r="E2602">
            <v>0</v>
          </cell>
          <cell r="F2602">
            <v>890</v>
          </cell>
        </row>
        <row r="2603">
          <cell r="A2603" t="str">
            <v>JK0490-M</v>
          </cell>
          <cell r="B2603" t="str">
            <v>JK490</v>
          </cell>
          <cell r="C2603" t="str">
            <v>ซาติน เดรสแขนยาว พื้นครีม MONTER M ตัวโชว์</v>
          </cell>
          <cell r="E2603">
            <v>0</v>
          </cell>
          <cell r="F2603">
            <v>890</v>
          </cell>
        </row>
        <row r="2604">
          <cell r="A2604" t="str">
            <v>JK0493-M</v>
          </cell>
          <cell r="B2604" t="str">
            <v>JK493</v>
          </cell>
          <cell r="C2604" t="str">
            <v>ซาติน เดรสแขนยาว พื้นขาว ลายจุด กระเป๋าลูกไม้ Couple M ตัวโชว์</v>
          </cell>
          <cell r="E2604">
            <v>0</v>
          </cell>
          <cell r="F2604">
            <v>890</v>
          </cell>
        </row>
        <row r="2605">
          <cell r="A2605" t="str">
            <v>JK0498-M</v>
          </cell>
          <cell r="B2605" t="str">
            <v>JK498</v>
          </cell>
          <cell r="C2605" t="str">
            <v>ซาติน เดรสแขนสั้น กางเกง ฟรุตตี้ M ตัวโชว์</v>
          </cell>
          <cell r="E2605">
            <v>0</v>
          </cell>
          <cell r="F2605">
            <v>890</v>
          </cell>
        </row>
        <row r="2606">
          <cell r="A2606" t="str">
            <v>JL0035-M</v>
          </cell>
          <cell r="B2606" t="str">
            <v>JL35</v>
          </cell>
          <cell r="C2606" t="str">
            <v>ซาติน แขนสั้นขาสี่ส่วน ฟรุตตี้ M (กปก) ตัวโชว์</v>
          </cell>
          <cell r="E2606">
            <v>0</v>
          </cell>
          <cell r="F2606">
            <v>850</v>
          </cell>
        </row>
        <row r="2607">
          <cell r="A2607" t="str">
            <v>JM0001-120</v>
          </cell>
          <cell r="B2607" t="str">
            <v>JM1</v>
          </cell>
          <cell r="C2607" t="str">
            <v>ซาติน แขนยาวขายาว Totoro พื้นชมพู เด็ก 120 ตัวโชว์</v>
          </cell>
          <cell r="E2607">
            <v>0</v>
          </cell>
          <cell r="F2607">
            <v>790</v>
          </cell>
        </row>
        <row r="2608">
          <cell r="A2608" t="str">
            <v>JM0001-130</v>
          </cell>
          <cell r="B2608" t="str">
            <v>JM1</v>
          </cell>
          <cell r="C2608" t="str">
            <v>ซาติน แขนยาวขายาว Totoro พื้นชมพู เด็ก 130 ตัวโชว์</v>
          </cell>
          <cell r="E2608">
            <v>0</v>
          </cell>
          <cell r="F2608">
            <v>790</v>
          </cell>
        </row>
        <row r="2609">
          <cell r="A2609" t="str">
            <v>JM0001-140</v>
          </cell>
          <cell r="B2609" t="str">
            <v>JM1</v>
          </cell>
          <cell r="C2609" t="str">
            <v>ซาติน แขนยาวขายาว Totoro พื้นชมพู เด็ก 140 ตัวโชว์</v>
          </cell>
          <cell r="E2609">
            <v>0</v>
          </cell>
          <cell r="F2609">
            <v>790</v>
          </cell>
        </row>
        <row r="2610">
          <cell r="A2610" t="str">
            <v>JM0002-120</v>
          </cell>
          <cell r="B2610" t="str">
            <v>JM2</v>
          </cell>
          <cell r="C2610" t="str">
            <v>ซาติน แขนยาวขายาว Totoro พื้นฟ้า เด็ก 120 ตัวโชว์</v>
          </cell>
          <cell r="E2610">
            <v>0</v>
          </cell>
          <cell r="F2610">
            <v>790</v>
          </cell>
        </row>
        <row r="2611">
          <cell r="A2611" t="str">
            <v>JM0002-150</v>
          </cell>
          <cell r="B2611" t="str">
            <v>JM2</v>
          </cell>
          <cell r="C2611" t="str">
            <v>ซาติน แขนยาวขายาว Totoro พื้นฟ้า เด็ก 150 ตัวโชว์</v>
          </cell>
          <cell r="E2611">
            <v>0</v>
          </cell>
          <cell r="F2611">
            <v>790</v>
          </cell>
        </row>
        <row r="2612">
          <cell r="A2612" t="str">
            <v>JN0025-M</v>
          </cell>
          <cell r="B2612" t="str">
            <v>JN25</v>
          </cell>
          <cell r="C2612" t="str">
            <v>ซาติน แขนสั้นขาสั้น ชมพูจุด ดอกไม้หัวใจ M ตัวโชว์</v>
          </cell>
          <cell r="E2612">
            <v>0</v>
          </cell>
          <cell r="F2612">
            <v>790</v>
          </cell>
        </row>
        <row r="2613">
          <cell r="A2613" t="str">
            <v>JN0064-M</v>
          </cell>
          <cell r="B2613" t="str">
            <v>JN64</v>
          </cell>
          <cell r="C2613" t="str">
            <v>ซาติน แขนสั้นขาสั้น ขาว จุดโอรส ขอบเขียว M ตัวโชว์</v>
          </cell>
          <cell r="E2613">
            <v>0</v>
          </cell>
          <cell r="F2613">
            <v>790</v>
          </cell>
        </row>
        <row r="2614">
          <cell r="A2614" t="str">
            <v>JN0128-L</v>
          </cell>
          <cell r="B2614" t="str">
            <v>JN128</v>
          </cell>
          <cell r="C2614" t="str">
            <v>ซาติน แขนสั้นขาสั้น ผีเสื้อดอกไม้ เขียว L ตัวโชว์</v>
          </cell>
          <cell r="E2614">
            <v>0</v>
          </cell>
          <cell r="F2614">
            <v>790</v>
          </cell>
        </row>
        <row r="2615">
          <cell r="A2615" t="str">
            <v>JN0142-L</v>
          </cell>
          <cell r="B2615" t="str">
            <v>JN142</v>
          </cell>
          <cell r="C2615" t="str">
            <v>ซาติน แขนสั้นขาสั้น เหลืองขอบเขียวลายหัวใจ L ตัวโชว์</v>
          </cell>
          <cell r="E2615">
            <v>0</v>
          </cell>
          <cell r="F2615">
            <v>790</v>
          </cell>
        </row>
        <row r="2616">
          <cell r="A2616" t="str">
            <v>JN0187-M</v>
          </cell>
          <cell r="B2616" t="str">
            <v>JN187</v>
          </cell>
          <cell r="C2616" t="str">
            <v>ซาตินแขนสั้นขาสั้น สีฟ้า ขอบชมพู M ตัวโชว์</v>
          </cell>
          <cell r="E2616">
            <v>0</v>
          </cell>
          <cell r="F2616">
            <v>790</v>
          </cell>
        </row>
        <row r="2617">
          <cell r="A2617" t="str">
            <v>JN0213-M</v>
          </cell>
          <cell r="B2617" t="str">
            <v>JN213</v>
          </cell>
          <cell r="C2617" t="str">
            <v>ซาติน แขนสั้นขาสั้น สีโอรสขอบเงินลายหัวใจ M ตัวโชว์</v>
          </cell>
          <cell r="E2617">
            <v>0</v>
          </cell>
          <cell r="F2617">
            <v>790</v>
          </cell>
        </row>
        <row r="2618">
          <cell r="A2618" t="str">
            <v>JN0214-L</v>
          </cell>
          <cell r="B2618" t="str">
            <v>JN214</v>
          </cell>
          <cell r="C2618" t="str">
            <v>ซาติน แขนสั้นขาสั้น สีชมพูนู๊ดขอบเงินลายหัวใจ L ตัวโชว์</v>
          </cell>
          <cell r="E2618">
            <v>0</v>
          </cell>
          <cell r="F2618">
            <v>790</v>
          </cell>
        </row>
        <row r="2619">
          <cell r="A2619" t="str">
            <v>JN0270-M</v>
          </cell>
          <cell r="B2619" t="str">
            <v>JN270</v>
          </cell>
          <cell r="C2619" t="str">
            <v>ซาติน แขนสั้นขาสั้น จุดขาวใหญ่ พื้นชมพู M ตัวโชว์</v>
          </cell>
          <cell r="E2619">
            <v>0</v>
          </cell>
          <cell r="F2619">
            <v>790</v>
          </cell>
        </row>
        <row r="2620">
          <cell r="A2620" t="str">
            <v>JN0271-M</v>
          </cell>
          <cell r="B2620" t="str">
            <v>JN271</v>
          </cell>
          <cell r="C2620" t="str">
            <v>ซาติน แขนสั้นขาสั้น จุดกรมใหญ่ พื้นม่วง M ตัวโชว์</v>
          </cell>
          <cell r="E2620">
            <v>0</v>
          </cell>
          <cell r="F2620">
            <v>790</v>
          </cell>
        </row>
        <row r="2621">
          <cell r="A2621" t="str">
            <v>JN0325-M</v>
          </cell>
          <cell r="B2621" t="str">
            <v>JN325</v>
          </cell>
          <cell r="C2621" t="str">
            <v>ซาติน แขนสั้นขาสั้น ดอกไม้ นกยูง M ตัวโชว์</v>
          </cell>
          <cell r="E2621">
            <v>0</v>
          </cell>
          <cell r="F2621">
            <v>790</v>
          </cell>
        </row>
        <row r="2622">
          <cell r="A2622" t="str">
            <v>JN0401-M</v>
          </cell>
          <cell r="B2622" t="str">
            <v>JN401</v>
          </cell>
          <cell r="C2622" t="str">
            <v>ซาติน แขนสั้นขาสั้น พื้นขาว จุดชมพูอ่อน SLEEP M ตัวโชว์</v>
          </cell>
          <cell r="E2622">
            <v>0</v>
          </cell>
          <cell r="F2622">
            <v>790</v>
          </cell>
        </row>
        <row r="2623">
          <cell r="A2623" t="str">
            <v>JN0429-M</v>
          </cell>
          <cell r="B2623" t="str">
            <v>JN429</v>
          </cell>
          <cell r="C2623" t="str">
            <v>ซาติน แขนสั้นขาสั้น ลายทาง แมว พื้นเทา M ตัวโชว์</v>
          </cell>
          <cell r="E2623">
            <v>0</v>
          </cell>
          <cell r="F2623">
            <v>790</v>
          </cell>
        </row>
        <row r="2624">
          <cell r="A2624" t="str">
            <v>JN0430-M</v>
          </cell>
          <cell r="B2624" t="str">
            <v>JN430</v>
          </cell>
          <cell r="C2624" t="str">
            <v>ซาติน แขนสั้นขาสั้น ลายทาง หมา พื้นดำ M ตัวโชว์</v>
          </cell>
          <cell r="E2624">
            <v>0</v>
          </cell>
          <cell r="F2624">
            <v>790</v>
          </cell>
        </row>
        <row r="2625">
          <cell r="A2625" t="str">
            <v>JN0501-M</v>
          </cell>
          <cell r="B2625" t="str">
            <v>JN501</v>
          </cell>
          <cell r="C2625" t="str">
            <v>ซาติน แขนสั้นขาสั้น Good Luck น้องหมีชมพู M ตัวโชว์</v>
          </cell>
          <cell r="E2625">
            <v>0</v>
          </cell>
          <cell r="F2625">
            <v>790</v>
          </cell>
        </row>
        <row r="2626">
          <cell r="A2626" t="str">
            <v>JN0519-XL</v>
          </cell>
          <cell r="B2626" t="str">
            <v>JN519</v>
          </cell>
          <cell r="C2626" t="str">
            <v>ซิลค์แจ็คการ์ด แขนสั้นขาสั้น ผีเสื้อ พาสเทล พื้นขาว XL ตัวโชว์</v>
          </cell>
          <cell r="E2626">
            <v>0</v>
          </cell>
          <cell r="F2626">
            <v>850</v>
          </cell>
        </row>
        <row r="2627">
          <cell r="A2627" t="str">
            <v>JN0532-M</v>
          </cell>
          <cell r="B2627" t="str">
            <v>JN532</v>
          </cell>
          <cell r="C2627" t="str">
            <v>ซาติน แขนสั้นขาสั้น มะหมา พื้นฟ้า M (กปก) ตัวโชว์</v>
          </cell>
          <cell r="E2627">
            <v>0</v>
          </cell>
          <cell r="F2627">
            <v>790</v>
          </cell>
        </row>
        <row r="2628">
          <cell r="A2628" t="str">
            <v>JN0540-S</v>
          </cell>
          <cell r="B2628" t="str">
            <v>JN540</v>
          </cell>
          <cell r="C2628" t="str">
            <v>ซาติน แขนสั้นขาสั้น Sweet Green S ตัวโชว์</v>
          </cell>
          <cell r="E2628">
            <v>0</v>
          </cell>
          <cell r="F2628">
            <v>790</v>
          </cell>
        </row>
        <row r="2629">
          <cell r="A2629" t="str">
            <v>JN0541-M</v>
          </cell>
          <cell r="B2629" t="str">
            <v>JN541</v>
          </cell>
          <cell r="C2629" t="str">
            <v>ซาติน แขนสั้นขาสั้น ใบไม้ชมพู ปกม่วง M ตัวโชว์</v>
          </cell>
          <cell r="E2629">
            <v>0</v>
          </cell>
          <cell r="F2629">
            <v>790</v>
          </cell>
        </row>
        <row r="2630">
          <cell r="A2630" t="str">
            <v>JN0543-S</v>
          </cell>
          <cell r="B2630" t="str">
            <v>JN543</v>
          </cell>
          <cell r="C2630" t="str">
            <v>ซาติน แขนสั้นขาสั้น Sweet Green ลูกไม้ S ตัวโชว์</v>
          </cell>
          <cell r="E2630">
            <v>0</v>
          </cell>
          <cell r="F2630">
            <v>790</v>
          </cell>
        </row>
        <row r="2631">
          <cell r="A2631" t="str">
            <v>JN0568-M</v>
          </cell>
          <cell r="B2631" t="str">
            <v>JN568</v>
          </cell>
          <cell r="C2631" t="str">
            <v>ซาติน แขนสั้นขาสั้น อาหมวย พื้นชมพู หมวกขาว M (กปก) ตัวโชว์</v>
          </cell>
          <cell r="E2631">
            <v>0</v>
          </cell>
          <cell r="F2631">
            <v>790</v>
          </cell>
        </row>
        <row r="2632">
          <cell r="A2632" t="str">
            <v>JN0569-M</v>
          </cell>
          <cell r="B2632" t="str">
            <v>JN569</v>
          </cell>
          <cell r="C2632" t="str">
            <v>ซาติน แขนสั้นขาสั้น อาหมวย พื้นเขียว หมวกขาว M (กปก) ตัวโชว์</v>
          </cell>
          <cell r="E2632">
            <v>0</v>
          </cell>
          <cell r="F2632">
            <v>790</v>
          </cell>
        </row>
        <row r="2633">
          <cell r="A2633" t="str">
            <v>JN0570-M</v>
          </cell>
          <cell r="B2633" t="str">
            <v>JN570</v>
          </cell>
          <cell r="C2633" t="str">
            <v>ซาติน แขนสั้นขาสั้น อาหมวย พื้นชมพู หมวกแดง  M (กปก) ตัวโชว์</v>
          </cell>
          <cell r="E2633">
            <v>0</v>
          </cell>
          <cell r="F2633">
            <v>790</v>
          </cell>
        </row>
        <row r="2634">
          <cell r="A2634" t="str">
            <v>JN0572-S</v>
          </cell>
          <cell r="B2634" t="str">
            <v>JN572</v>
          </cell>
          <cell r="C2634" t="str">
            <v>ซาติน แขนสั้นขาสั้น ลายเสือ ชมพู ลูกไม้ S ตัวโชว์</v>
          </cell>
          <cell r="E2634">
            <v>0</v>
          </cell>
          <cell r="F2634">
            <v>790</v>
          </cell>
        </row>
        <row r="2635">
          <cell r="A2635" t="str">
            <v>JN0577-S</v>
          </cell>
          <cell r="B2635" t="str">
            <v>JN577</v>
          </cell>
          <cell r="C2635" t="str">
            <v>ซาติน แขนสั้นขาสั้น Lime พื้นฟ้าอ่อน S ตัวโชว์</v>
          </cell>
          <cell r="E2635">
            <v>0</v>
          </cell>
          <cell r="F2635">
            <v>790</v>
          </cell>
        </row>
        <row r="2636">
          <cell r="A2636" t="str">
            <v>JN0578-S</v>
          </cell>
          <cell r="B2636" t="str">
            <v>JN578</v>
          </cell>
          <cell r="C2636" t="str">
            <v>ซาติน แขนสั้นขาสั้น ชมพูดำเล็ก พื้นขาว Dreamy S ตัวโชว์</v>
          </cell>
          <cell r="E2636">
            <v>0</v>
          </cell>
          <cell r="F2636">
            <v>790</v>
          </cell>
        </row>
        <row r="2637">
          <cell r="A2637" t="str">
            <v>JN0581-M</v>
          </cell>
          <cell r="B2637" t="str">
            <v>JN581</v>
          </cell>
          <cell r="C2637" t="str">
            <v>ซาติน แขนสั้นขาสั้น โบว์ดำคู่ ขอบดำ พื้นครีม M ตัวโชว์</v>
          </cell>
          <cell r="E2637">
            <v>0</v>
          </cell>
          <cell r="F2637">
            <v>790</v>
          </cell>
        </row>
        <row r="2638">
          <cell r="A2638" t="str">
            <v>JN0582-M</v>
          </cell>
          <cell r="B2638" t="str">
            <v>JN582</v>
          </cell>
          <cell r="C2638" t="str">
            <v>ซาติน แขนสั้นขาสั้น โบว์ชมพูคู่ ขอบชมพู พื้นขาว M ตัวโชว์</v>
          </cell>
          <cell r="E2638">
            <v>0</v>
          </cell>
          <cell r="F2638">
            <v>790</v>
          </cell>
        </row>
        <row r="2639">
          <cell r="A2639" t="str">
            <v>JN0583-M</v>
          </cell>
          <cell r="B2639" t="str">
            <v>JN583</v>
          </cell>
          <cell r="C2639" t="str">
            <v>ซาติน แขนสั้นขาสั้น โบว์ขาวคู่ ขอบขาว พื้นดำ M ตัวโชว์</v>
          </cell>
          <cell r="E2639">
            <v>0</v>
          </cell>
          <cell r="F2639">
            <v>790</v>
          </cell>
        </row>
        <row r="2640">
          <cell r="A2640" t="str">
            <v>JN0632-M</v>
          </cell>
          <cell r="B2640" t="str">
            <v>JN632</v>
          </cell>
          <cell r="C2640" t="str">
            <v>ซาติน แขนสั้นขาสั้น คอวี พื้นครีม ขอบดำ M ตัวโชว์</v>
          </cell>
          <cell r="E2640">
            <v>0</v>
          </cell>
          <cell r="F2640">
            <v>790</v>
          </cell>
        </row>
        <row r="2641">
          <cell r="A2641" t="str">
            <v>JN0638-M</v>
          </cell>
          <cell r="B2641" t="str">
            <v>JN638</v>
          </cell>
          <cell r="C2641" t="str">
            <v>ซาติน แขนสั้นขาสั้น เรนโบว์ M ตัวโชว์</v>
          </cell>
          <cell r="E2641">
            <v>0</v>
          </cell>
          <cell r="F2641">
            <v>790</v>
          </cell>
        </row>
        <row r="2642">
          <cell r="A2642" t="str">
            <v>JN0643-M</v>
          </cell>
          <cell r="B2642" t="str">
            <v>JN643</v>
          </cell>
          <cell r="C2642" t="str">
            <v>ซาติน แขนสั้นขาสั้น Lacy Cat พื้นชมพู M ตัวโชว์</v>
          </cell>
          <cell r="E2642">
            <v>0</v>
          </cell>
          <cell r="F2642">
            <v>790</v>
          </cell>
        </row>
        <row r="2643">
          <cell r="A2643" t="str">
            <v>JN0648-S</v>
          </cell>
          <cell r="B2643" t="str">
            <v>JN648</v>
          </cell>
          <cell r="C2643" t="str">
            <v>ซาติน แขนสั้นขาสั้น Happy Time Cat ชมพู S (กปก) ตัวโชว์</v>
          </cell>
          <cell r="E2643">
            <v>0</v>
          </cell>
          <cell r="F2643">
            <v>790</v>
          </cell>
        </row>
        <row r="2644">
          <cell r="A2644" t="str">
            <v>JN0650-S</v>
          </cell>
          <cell r="B2644" t="str">
            <v>JN650</v>
          </cell>
          <cell r="C2644" t="str">
            <v>ซาติน แขนสั้นขาสั้น น้องเหมียว ฟ้าเขียว ระบาย S ตัวโชว์</v>
          </cell>
          <cell r="E2644">
            <v>0</v>
          </cell>
          <cell r="F2644">
            <v>790</v>
          </cell>
        </row>
        <row r="2645">
          <cell r="A2645" t="str">
            <v>JN0663-L</v>
          </cell>
          <cell r="B2645" t="str">
            <v>JN663</v>
          </cell>
          <cell r="C2645" t="str">
            <v>ซาติน แขนสั้นขาสั้น Black Rose L ตัวโชว์</v>
          </cell>
          <cell r="E2645">
            <v>0</v>
          </cell>
          <cell r="F2645">
            <v>790</v>
          </cell>
        </row>
        <row r="2646">
          <cell r="A2646" t="str">
            <v>JN0665-S</v>
          </cell>
          <cell r="B2646" t="str">
            <v>JN665</v>
          </cell>
          <cell r="C2646" t="str">
            <v>ซาติน แขนสั้นขาสั้น เสือเขียว พื้นครีม S ตัวโชว์</v>
          </cell>
          <cell r="E2646">
            <v>0</v>
          </cell>
          <cell r="F2646">
            <v>790</v>
          </cell>
        </row>
        <row r="2647">
          <cell r="A2647" t="str">
            <v>JN0667-M</v>
          </cell>
          <cell r="B2647" t="str">
            <v>JN667</v>
          </cell>
          <cell r="C2647" t="str">
            <v>ซาติน แขนสั้นขาสั้น art พื้นส้ม M ตัวโชว์</v>
          </cell>
          <cell r="E2647">
            <v>0</v>
          </cell>
          <cell r="F2647">
            <v>790</v>
          </cell>
        </row>
        <row r="2648">
          <cell r="A2648" t="str">
            <v>JN0677-M</v>
          </cell>
          <cell r="B2648" t="str">
            <v>JN677</v>
          </cell>
          <cell r="C2648" t="str">
            <v>ซาติน แขนสั้นขาสั้น Golden Leaf พื้นกรม M ตัวโชว์</v>
          </cell>
          <cell r="E2648">
            <v>0</v>
          </cell>
          <cell r="F2648">
            <v>790</v>
          </cell>
        </row>
        <row r="2649">
          <cell r="A2649" t="str">
            <v>JN0681-M</v>
          </cell>
          <cell r="B2649" t="str">
            <v>JN681</v>
          </cell>
          <cell r="C2649" t="str">
            <v>ซาติน แขนสั้นขาสั้น ตาราง หมี ชมพู M (กปก) ตัวโชว์</v>
          </cell>
          <cell r="E2649">
            <v>0</v>
          </cell>
          <cell r="F2649">
            <v>790</v>
          </cell>
        </row>
        <row r="2650">
          <cell r="A2650" t="str">
            <v>JN0698-M</v>
          </cell>
          <cell r="B2650" t="str">
            <v>JN698</v>
          </cell>
          <cell r="C2650" t="str">
            <v>ซาติน แขนสั้นขาสั้น ชิโนริ ชมพู กระเป๋าหมี M (กปก) ตัวโชว์</v>
          </cell>
          <cell r="E2650">
            <v>0</v>
          </cell>
          <cell r="F2650">
            <v>790</v>
          </cell>
        </row>
        <row r="2651">
          <cell r="A2651" t="str">
            <v>JN0699-M</v>
          </cell>
          <cell r="B2651" t="str">
            <v>JN699</v>
          </cell>
          <cell r="C2651" t="str">
            <v>ซาติน แขนสั้นขาสั้น ชิโนริ ดำ กระเป๋าหมี M (กปก) ตัวโชว์</v>
          </cell>
          <cell r="E2651">
            <v>0</v>
          </cell>
          <cell r="F2651">
            <v>790</v>
          </cell>
        </row>
        <row r="2652">
          <cell r="A2652" t="str">
            <v>JN0702-M</v>
          </cell>
          <cell r="B2652" t="str">
            <v>JN702</v>
          </cell>
          <cell r="C2652" t="str">
            <v>ซาติน แขนสั้นขาสั้น น้องหมา จิ๊กซอว์ ฟ้า M ตัวโชว์</v>
          </cell>
          <cell r="E2652">
            <v>0</v>
          </cell>
          <cell r="F2652">
            <v>790</v>
          </cell>
        </row>
        <row r="2653">
          <cell r="A2653" t="str">
            <v>JN0717-L</v>
          </cell>
          <cell r="B2653" t="str">
            <v>JN717</v>
          </cell>
          <cell r="C2653" t="str">
            <v>ซาติน แขนสั้นขาสั้น Lovely Cat พื้นชมพู L (กปก) ตัวโชว์</v>
          </cell>
          <cell r="E2653">
            <v>0</v>
          </cell>
          <cell r="F2653">
            <v>790</v>
          </cell>
        </row>
        <row r="2654">
          <cell r="A2654" t="str">
            <v>JN0718-M</v>
          </cell>
          <cell r="B2654" t="str">
            <v>JN718</v>
          </cell>
          <cell r="C2654" t="str">
            <v>ซาติน แขนสั้นขาสั้น Lovely Cat พื้นขาว M (กปก) ตัวโชว์</v>
          </cell>
          <cell r="E2654">
            <v>0</v>
          </cell>
          <cell r="F2654">
            <v>790</v>
          </cell>
        </row>
        <row r="2655">
          <cell r="A2655" t="str">
            <v>JN0742-S</v>
          </cell>
          <cell r="B2655" t="str">
            <v>JN742</v>
          </cell>
          <cell r="C2655" t="str">
            <v>ซาติน แขนสั้นขาสั้น พื้นม่วงล้วน ขอบขาว S ตัวโชว์</v>
          </cell>
          <cell r="E2655">
            <v>0</v>
          </cell>
          <cell r="F2655">
            <v>790</v>
          </cell>
        </row>
        <row r="2656">
          <cell r="A2656" t="str">
            <v>JN0762-L</v>
          </cell>
          <cell r="B2656" t="str">
            <v>JN762</v>
          </cell>
          <cell r="C2656" t="str">
            <v>ซาติน แขนสั้นขาสั้น ลูกพีช คอระบาย L ตัวโชว์</v>
          </cell>
          <cell r="E2656">
            <v>0</v>
          </cell>
          <cell r="F2656">
            <v>790</v>
          </cell>
        </row>
        <row r="2657">
          <cell r="A2657" t="str">
            <v>JN0763-M</v>
          </cell>
          <cell r="B2657" t="str">
            <v>JN763</v>
          </cell>
          <cell r="C2657" t="str">
            <v>ซาติน แขนสั้นขาสั้น ก้อนเมฆ ลายพราง พื้นฟ้า M ตัวโชว์</v>
          </cell>
          <cell r="E2657">
            <v>0</v>
          </cell>
          <cell r="F2657">
            <v>790</v>
          </cell>
        </row>
        <row r="2658">
          <cell r="A2658" t="str">
            <v>JN0765-M</v>
          </cell>
          <cell r="B2658" t="str">
            <v>JN765</v>
          </cell>
          <cell r="C2658" t="str">
            <v>ซาติน แขนสั้นขาสั้น โซ่ พื้นดำ M ตัวโชว์</v>
          </cell>
          <cell r="E2658">
            <v>0</v>
          </cell>
          <cell r="F2658">
            <v>790</v>
          </cell>
        </row>
        <row r="2659">
          <cell r="A2659" t="str">
            <v>JN0766-M</v>
          </cell>
          <cell r="B2659" t="str">
            <v>JN766</v>
          </cell>
          <cell r="C2659" t="str">
            <v>ซาติน แขนสั้นขาสั้น Pinky Rose พื้นครีม M ตัวโชว์</v>
          </cell>
          <cell r="E2659">
            <v>0</v>
          </cell>
          <cell r="F2659">
            <v>790</v>
          </cell>
        </row>
        <row r="2660">
          <cell r="A2660" t="str">
            <v>JN0768-M</v>
          </cell>
          <cell r="B2660" t="str">
            <v>JN768</v>
          </cell>
          <cell r="C2660" t="str">
            <v>ซาติน แขนสั้นขาสั้น ใบไม้ เส้นฟ้า M ตัวโชว์</v>
          </cell>
          <cell r="E2660">
            <v>0</v>
          </cell>
          <cell r="F2660">
            <v>790</v>
          </cell>
        </row>
        <row r="2661">
          <cell r="A2661" t="str">
            <v>JN0776-M</v>
          </cell>
          <cell r="B2661" t="str">
            <v>JN776</v>
          </cell>
          <cell r="C2661" t="str">
            <v>ซาติน แขนสั้นขาสั้น Cloundy Moon M ตัวโชว์</v>
          </cell>
          <cell r="E2661">
            <v>0</v>
          </cell>
          <cell r="F2661">
            <v>790</v>
          </cell>
        </row>
        <row r="2662">
          <cell r="A2662" t="str">
            <v>JN0782-M</v>
          </cell>
          <cell r="B2662" t="str">
            <v>JN782</v>
          </cell>
          <cell r="C2662" t="str">
            <v>ซาติน แขนสั้นขาสั้น Wild Animal พื้นเขียว M ตัวโชว์</v>
          </cell>
          <cell r="E2662">
            <v>0</v>
          </cell>
          <cell r="F2662">
            <v>790</v>
          </cell>
        </row>
        <row r="2663">
          <cell r="A2663" t="str">
            <v>JN0790-M</v>
          </cell>
          <cell r="B2663" t="str">
            <v>JN790</v>
          </cell>
          <cell r="C2663" t="str">
            <v>ซาติน แขนสั้นขาสั้น แฟนซี่ พิ้งค์ M ตัวโชว์</v>
          </cell>
          <cell r="E2663">
            <v>0</v>
          </cell>
          <cell r="F2663">
            <v>790</v>
          </cell>
        </row>
        <row r="2664">
          <cell r="A2664" t="str">
            <v>JN0801-M</v>
          </cell>
          <cell r="B2664" t="str">
            <v>JN801</v>
          </cell>
          <cell r="C2664" t="str">
            <v>ซาติน แขนสั้นขาสั้น พื้นฟ้าคราม สีครีม M ตัวโชว์</v>
          </cell>
          <cell r="E2664">
            <v>0</v>
          </cell>
          <cell r="F2664">
            <v>790</v>
          </cell>
        </row>
        <row r="2665">
          <cell r="A2665" t="str">
            <v>JN0802-M</v>
          </cell>
          <cell r="B2665" t="str">
            <v>JN802</v>
          </cell>
          <cell r="C2665" t="str">
            <v>ซิลค์แจ็คการ์ด แขนสั้นขาสั้น พื้นเขียว ดอกไม้ฟ้าขาว M ตัวโชว์</v>
          </cell>
          <cell r="E2665">
            <v>0</v>
          </cell>
          <cell r="F2665">
            <v>790</v>
          </cell>
        </row>
        <row r="2666">
          <cell r="A2666" t="str">
            <v>JN0803-M</v>
          </cell>
          <cell r="B2666" t="str">
            <v>N803</v>
          </cell>
          <cell r="C2666" t="str">
            <v>ซาติน แขนสั้นขาสั้น Mini Black Heart M</v>
          </cell>
          <cell r="E2666">
            <v>0</v>
          </cell>
          <cell r="F2666">
            <v>790</v>
          </cell>
        </row>
        <row r="2667">
          <cell r="A2667" t="str">
            <v>JP0045-M</v>
          </cell>
          <cell r="B2667" t="str">
            <v>JP45</v>
          </cell>
          <cell r="C2667" t="str">
            <v>ซาติน แขนยาวขายาว สีชมพู นู้ด ขอบเงิน M (กปก) ตัวโชว์</v>
          </cell>
          <cell r="E2667">
            <v>0</v>
          </cell>
          <cell r="F2667">
            <v>990</v>
          </cell>
        </row>
        <row r="2668">
          <cell r="A2668" t="str">
            <v>JP0318-M</v>
          </cell>
          <cell r="B2668" t="str">
            <v>JP318</v>
          </cell>
          <cell r="C2668" t="str">
            <v>ซาติน แขนยาวขายาว คาร์เนชั่นครีม พื้นดำ M (กปก) ตัวโชว์</v>
          </cell>
          <cell r="E2668">
            <v>0</v>
          </cell>
          <cell r="F2668">
            <v>990</v>
          </cell>
        </row>
        <row r="2669">
          <cell r="A2669" t="str">
            <v>JP0362-M</v>
          </cell>
          <cell r="B2669" t="str">
            <v>JP362</v>
          </cell>
          <cell r="C2669" t="str">
            <v>ซาติน แขนยาวขายาว New moon Art M ตัวโชว์</v>
          </cell>
          <cell r="E2669">
            <v>0</v>
          </cell>
          <cell r="F2669">
            <v>990</v>
          </cell>
        </row>
        <row r="2670">
          <cell r="A2670" t="str">
            <v>JP0380-M</v>
          </cell>
          <cell r="B2670" t="str">
            <v>JP380</v>
          </cell>
          <cell r="C2670" t="str">
            <v>ซาติน แขนยาวขายาว หัวใจฟ้า น้ำตาล พื้นชมพู M ตัวโชว์</v>
          </cell>
          <cell r="E2670">
            <v>0</v>
          </cell>
          <cell r="F2670">
            <v>990</v>
          </cell>
        </row>
        <row r="2671">
          <cell r="A2671" t="str">
            <v>JP0441-M</v>
          </cell>
          <cell r="B2671" t="str">
            <v>JP441</v>
          </cell>
          <cell r="C2671" t="str">
            <v>ซาติน แขนยาวขายาว rabbit smile พื้นขาว M ตัวโชว์</v>
          </cell>
          <cell r="E2671">
            <v>0</v>
          </cell>
          <cell r="F2671">
            <v>990</v>
          </cell>
        </row>
        <row r="2672">
          <cell r="A2672" t="str">
            <v>JP0488-S</v>
          </cell>
          <cell r="B2672" t="str">
            <v>JP488</v>
          </cell>
          <cell r="C2672" t="str">
            <v>ซาติน แขนยาวขายาว VINTAGE พื้นดำ S ตัวโชว์</v>
          </cell>
          <cell r="E2672">
            <v>0</v>
          </cell>
          <cell r="F2672">
            <v>990</v>
          </cell>
        </row>
        <row r="2673">
          <cell r="A2673" t="str">
            <v>JP0578-S</v>
          </cell>
          <cell r="B2673" t="str">
            <v>JP578</v>
          </cell>
          <cell r="C2673" t="str">
            <v>ซาติน แขนยาวขายาว ชมพูดำเล็ก พื้นขาว Dreamy S ตัวโชว์</v>
          </cell>
          <cell r="E2673">
            <v>0</v>
          </cell>
          <cell r="F2673">
            <v>990</v>
          </cell>
        </row>
        <row r="2674">
          <cell r="A2674" t="str">
            <v>JP0594-M</v>
          </cell>
          <cell r="B2674" t="str">
            <v>JP594</v>
          </cell>
          <cell r="C2674" t="str">
            <v>ซาติน แขนยาวขายาว ปกหนาเหลือง พื้นม่วง M ตัวโชว์</v>
          </cell>
          <cell r="E2674">
            <v>0</v>
          </cell>
          <cell r="F2674">
            <v>990</v>
          </cell>
        </row>
        <row r="2675">
          <cell r="A2675" t="str">
            <v>JP0596-M</v>
          </cell>
          <cell r="B2675" t="str">
            <v>JP596</v>
          </cell>
          <cell r="C2675" t="str">
            <v>ซาติน แขนยาวขายาว ลูกไม้ ฉลุ พื้นดำ M (กปก) ตัวโชว์</v>
          </cell>
          <cell r="E2675">
            <v>0</v>
          </cell>
          <cell r="F2675">
            <v>990</v>
          </cell>
        </row>
        <row r="2676">
          <cell r="A2676" t="str">
            <v>JP0726-S</v>
          </cell>
          <cell r="B2676" t="str">
            <v>JP726</v>
          </cell>
          <cell r="C2676" t="str">
            <v>ซาติน แขนยาวขายาว พื้นม่วงล้วน ขอบขาว  S ตัวโชว์</v>
          </cell>
          <cell r="E2676">
            <v>0</v>
          </cell>
          <cell r="F2676">
            <v>990</v>
          </cell>
        </row>
        <row r="2677">
          <cell r="A2677" t="str">
            <v>JP0727-S</v>
          </cell>
          <cell r="B2677" t="str">
            <v>JP727</v>
          </cell>
          <cell r="C2677" t="str">
            <v>ซาติน แขนยาวขายาว พื้นชมพูล้วน ขอบขาว  S ตัวโชว์</v>
          </cell>
          <cell r="E2677">
            <v>0</v>
          </cell>
          <cell r="F2677">
            <v>990</v>
          </cell>
        </row>
        <row r="2678">
          <cell r="A2678" t="str">
            <v>JP0739-M</v>
          </cell>
          <cell r="B2678" t="str">
            <v>JP739</v>
          </cell>
          <cell r="C2678" t="str">
            <v>ซาติน แขนยาวขายาว Tiger Flower พื้นชมพู M ตัวโชว์</v>
          </cell>
          <cell r="E2678">
            <v>0</v>
          </cell>
          <cell r="F2678">
            <v>990</v>
          </cell>
        </row>
        <row r="2679">
          <cell r="A2679" t="str">
            <v>JP0763-M</v>
          </cell>
          <cell r="B2679" t="str">
            <v>JP763</v>
          </cell>
          <cell r="C2679" t="str">
            <v>ซาติน แขนยาวขายาว ก้อนเมฆ ลายพราง พื้นฟ้า M ตัวโชว์</v>
          </cell>
          <cell r="E2679">
            <v>0</v>
          </cell>
          <cell r="F2679">
            <v>990</v>
          </cell>
        </row>
        <row r="2680">
          <cell r="A2680" t="str">
            <v>JP0764-L</v>
          </cell>
          <cell r="B2680" t="str">
            <v>JP764</v>
          </cell>
          <cell r="C2680" t="str">
            <v>ซาติน แขนยาวขายาว ก้อนเมฆ ลายพราง พื้นเหลือง L ตัวโชว์</v>
          </cell>
          <cell r="E2680">
            <v>0</v>
          </cell>
          <cell r="F2680">
            <v>990</v>
          </cell>
        </row>
        <row r="2681">
          <cell r="A2681" t="str">
            <v>JP0777-M</v>
          </cell>
          <cell r="B2681" t="str">
            <v>JP777</v>
          </cell>
          <cell r="C2681" t="str">
            <v>ซาติน แขนยาวขายาว ตาราง ชมพู กระเป๋า V M ตัวโชว์</v>
          </cell>
          <cell r="E2681">
            <v>0</v>
          </cell>
          <cell r="F2681">
            <v>990</v>
          </cell>
        </row>
        <row r="2682">
          <cell r="A2682" t="str">
            <v>JP0779-M</v>
          </cell>
          <cell r="B2682" t="str">
            <v>JP779</v>
          </cell>
          <cell r="C2682" t="str">
            <v>ซาติน แขนยาวขายาว พื้นดำ ขอบชมพู M ตัวโชว์</v>
          </cell>
          <cell r="E2682">
            <v>0</v>
          </cell>
          <cell r="F2682">
            <v>990</v>
          </cell>
        </row>
        <row r="2683">
          <cell r="A2683" t="str">
            <v>JP0782-M</v>
          </cell>
          <cell r="B2683" t="str">
            <v>JP782</v>
          </cell>
          <cell r="C2683" t="str">
            <v>ซาติน แขนยาวขายาว Wild Animal พื้นเขียว M ตัวโชว์</v>
          </cell>
          <cell r="E2683">
            <v>0</v>
          </cell>
          <cell r="F2683">
            <v>990</v>
          </cell>
        </row>
        <row r="2684">
          <cell r="A2684" t="str">
            <v>JP0793-M</v>
          </cell>
          <cell r="B2684" t="str">
            <v>JP793</v>
          </cell>
          <cell r="C2684" t="str">
            <v>ซาติน แขนยาวขายาว บอนไซ ปกเขียว M ตัวโชว์</v>
          </cell>
          <cell r="E2684">
            <v>0</v>
          </cell>
          <cell r="F2684">
            <v>990</v>
          </cell>
        </row>
        <row r="2685">
          <cell r="A2685" t="str">
            <v>JP0801-M</v>
          </cell>
          <cell r="B2685" t="str">
            <v>JP801</v>
          </cell>
          <cell r="C2685" t="str">
            <v>ซาติน แขนยาวขายาว พื้นฟ้าคราม สีครีม M ตัวโชว์</v>
          </cell>
          <cell r="E2685">
            <v>0</v>
          </cell>
          <cell r="F2685">
            <v>990</v>
          </cell>
        </row>
        <row r="2686">
          <cell r="A2686" t="str">
            <v>JP0805-M</v>
          </cell>
          <cell r="B2686" t="str">
            <v>JP805</v>
          </cell>
          <cell r="C2686" t="str">
            <v>ซาติน แขนยาวขายาว Royal Zebra ปกดำ M ตัวโชว์</v>
          </cell>
          <cell r="E2686">
            <v>0</v>
          </cell>
          <cell r="F2686">
            <v>990</v>
          </cell>
        </row>
        <row r="2687">
          <cell r="A2687" t="str">
            <v>JP0811-F</v>
          </cell>
          <cell r="B2687" t="str">
            <v>JP811</v>
          </cell>
          <cell r="C2687" t="str">
            <v>ซิลค์แจ็คการ์ด แขนยาวขายาว ดาว พาสเทล F ตัวโชว์</v>
          </cell>
          <cell r="E2687">
            <v>0</v>
          </cell>
          <cell r="F2687">
            <v>990</v>
          </cell>
        </row>
        <row r="2688">
          <cell r="A2688" t="str">
            <v>JP0831-M</v>
          </cell>
          <cell r="B2688" t="str">
            <v>JP831</v>
          </cell>
          <cell r="C2688" t="str">
            <v>ซาติน แขนยาวขายาว Little Clound พื้นฟ้า (กปก) M ตัวโชว์</v>
          </cell>
          <cell r="E2688">
            <v>0</v>
          </cell>
          <cell r="F2688">
            <v>990</v>
          </cell>
        </row>
        <row r="2689">
          <cell r="A2689" t="str">
            <v>JP0833-M</v>
          </cell>
          <cell r="B2689" t="str">
            <v>JP833</v>
          </cell>
          <cell r="C2689" t="str">
            <v>ซาติน แขนยาวขายาว พื้นครีม ปกกลม M ตัวโชว์</v>
          </cell>
          <cell r="E2689">
            <v>0</v>
          </cell>
          <cell r="F2689">
            <v>990</v>
          </cell>
        </row>
        <row r="2690">
          <cell r="A2690" t="str">
            <v>JP1245-M</v>
          </cell>
          <cell r="B2690" t="str">
            <v>P1245</v>
          </cell>
          <cell r="C2690" t="str">
            <v>ซิลค์แจ็คการ์ด แขนยาวขายาว Cloudy Cupid M</v>
          </cell>
          <cell r="E2690">
            <v>3</v>
          </cell>
          <cell r="F2690">
            <v>1090</v>
          </cell>
        </row>
        <row r="2691">
          <cell r="A2691" t="str">
            <v>JR0015-M</v>
          </cell>
          <cell r="B2691" t="str">
            <v>JR15</v>
          </cell>
          <cell r="C2691" t="str">
            <v>ซาติน สายเดี่ยว ขายาว ซากุระ พื้นชมพู M ตัวโชว์</v>
          </cell>
          <cell r="E2691">
            <v>0</v>
          </cell>
          <cell r="F2691">
            <v>890</v>
          </cell>
        </row>
        <row r="2692">
          <cell r="A2692" t="str">
            <v>JR0017-S</v>
          </cell>
          <cell r="B2692" t="str">
            <v>JR17</v>
          </cell>
          <cell r="C2692" t="str">
            <v>ซาติน สายเดี่ยว กระโปรง พื้นเขียว เลมอน M ตัวโชว์</v>
          </cell>
          <cell r="E2692">
            <v>0</v>
          </cell>
          <cell r="F2692">
            <v>890</v>
          </cell>
        </row>
        <row r="2693">
          <cell r="A2693" t="str">
            <v>JR0021-M</v>
          </cell>
          <cell r="B2693" t="str">
            <v>JR21</v>
          </cell>
          <cell r="C2693" t="str">
            <v>ซาติน สายเดี่ยว ขาสั้น Little Maid พื้นขาว โบว์ดำ M (กปก) ตัวโชว์</v>
          </cell>
          <cell r="E2693">
            <v>0</v>
          </cell>
          <cell r="F2693">
            <v>790</v>
          </cell>
        </row>
        <row r="2694">
          <cell r="A2694" t="str">
            <v>JR0026-M</v>
          </cell>
          <cell r="B2694" t="str">
            <v>JR26</v>
          </cell>
          <cell r="C2694" t="str">
            <v>ซาติน เดรส สายเดี่ยว ขายาว หวานใจ หวานเย็น M ตัวโชว์</v>
          </cell>
          <cell r="E2694">
            <v>0</v>
          </cell>
          <cell r="F2694">
            <v>890</v>
          </cell>
        </row>
        <row r="2695">
          <cell r="A2695" t="str">
            <v>JR0032-L</v>
          </cell>
          <cell r="B2695" t="str">
            <v>JR32</v>
          </cell>
          <cell r="C2695" t="str">
            <v>ซาติน เดรส สายเดี่ยว ขาสั้น ดอกไม้ขาว พื้นฟ้า L ตัวโชว์</v>
          </cell>
          <cell r="E2695">
            <v>0</v>
          </cell>
          <cell r="F2695">
            <v>790</v>
          </cell>
        </row>
        <row r="2696">
          <cell r="A2696" t="str">
            <v>JR0032-M</v>
          </cell>
          <cell r="B2696" t="str">
            <v>JR32</v>
          </cell>
          <cell r="C2696" t="str">
            <v>ซาติน เดรส สายเดี่ยว ขาสั้น ดอกไม้ขาว พื้นฟ้า M ตัวโชว์</v>
          </cell>
          <cell r="E2696">
            <v>0</v>
          </cell>
          <cell r="F2696">
            <v>790</v>
          </cell>
        </row>
        <row r="2697">
          <cell r="A2697" t="str">
            <v>JR0033-M</v>
          </cell>
          <cell r="B2697" t="str">
            <v>JR33</v>
          </cell>
          <cell r="C2697" t="str">
            <v>ซาติน เดรส สายเดี่ยว ขาสั้น พื้นขาวลายคราม M ตัวโชว์</v>
          </cell>
          <cell r="E2697">
            <v>0</v>
          </cell>
          <cell r="F2697">
            <v>790</v>
          </cell>
        </row>
        <row r="2698">
          <cell r="A2698" t="str">
            <v>JR0038-M</v>
          </cell>
          <cell r="B2698" t="str">
            <v>JR38</v>
          </cell>
          <cell r="C2698" t="str">
            <v>ซาติน เดรส สายเดี่ยว ขาสั้น ดอกไม้ขาว พื้นชมพู M ตัวโชว์</v>
          </cell>
          <cell r="E2698">
            <v>0</v>
          </cell>
          <cell r="F2698">
            <v>790</v>
          </cell>
        </row>
        <row r="2699">
          <cell r="A2699" t="str">
            <v>JR0039-M</v>
          </cell>
          <cell r="B2699" t="str">
            <v>JR39</v>
          </cell>
          <cell r="C2699" t="str">
            <v>ซาติน เดรส สายเดี่ยว ขายาว ดอกไม้ขาว พื้นชมพู M ตัวโชว์</v>
          </cell>
          <cell r="E2699">
            <v>0</v>
          </cell>
          <cell r="F2699">
            <v>890</v>
          </cell>
        </row>
        <row r="2700">
          <cell r="A2700" t="str">
            <v>JR0041-L</v>
          </cell>
          <cell r="B2700" t="str">
            <v>JR41</v>
          </cell>
          <cell r="C2700" t="str">
            <v>ซาติน เดรส สายเดี่ยว ขายาว พื้นเขียว ดอกลาเวนเดอร์ L ตัวโชว์</v>
          </cell>
          <cell r="E2700">
            <v>0</v>
          </cell>
          <cell r="F2700">
            <v>890</v>
          </cell>
        </row>
        <row r="2701">
          <cell r="A2701" t="str">
            <v>JR0128-M</v>
          </cell>
          <cell r="B2701" t="str">
            <v>JR128</v>
          </cell>
          <cell r="C2701" t="str">
            <v>ซาติน สายเดี่ยวขายาว ผีเสื้อดอกไม้ พื้นเขียว M ตัวโชว์</v>
          </cell>
          <cell r="E2701">
            <v>0</v>
          </cell>
          <cell r="F2701">
            <v>890</v>
          </cell>
        </row>
        <row r="2702">
          <cell r="A2702" t="str">
            <v>JT0045-M</v>
          </cell>
          <cell r="B2702" t="str">
            <v>JT45</v>
          </cell>
          <cell r="C2702" t="str">
            <v>ซาติน แขนสั้นขายาว สีชมพู นู้ด ขอบเงิน M (กปก) ตัวโชว์</v>
          </cell>
          <cell r="E2702">
            <v>0</v>
          </cell>
          <cell r="F2702">
            <v>890</v>
          </cell>
        </row>
        <row r="2703">
          <cell r="A2703" t="str">
            <v>JT0061-M</v>
          </cell>
          <cell r="B2703" t="str">
            <v>JT61</v>
          </cell>
          <cell r="C2703" t="str">
            <v>ซาติน แขนสั้นขายาว ชมพู ส้ม M (กปก) ตัวโชว์</v>
          </cell>
          <cell r="E2703">
            <v>0</v>
          </cell>
          <cell r="F2703">
            <v>890</v>
          </cell>
        </row>
        <row r="2704">
          <cell r="A2704" t="str">
            <v>JT0128-L</v>
          </cell>
          <cell r="B2704" t="str">
            <v>JT128</v>
          </cell>
          <cell r="C2704" t="str">
            <v>ซาติน แขนสั้นขายาว ผีเสื้อดอกไม้ เขียว L (กปก) ตัวโชว์</v>
          </cell>
          <cell r="E2704">
            <v>0</v>
          </cell>
          <cell r="F2704">
            <v>890</v>
          </cell>
        </row>
        <row r="2705">
          <cell r="A2705" t="str">
            <v>JT0187-M</v>
          </cell>
          <cell r="B2705" t="str">
            <v>JT187</v>
          </cell>
          <cell r="C2705" t="str">
            <v>ซาตินแขนสั้นขายาว สีฟ้า ขอบชมพู M (กปก) ตัวโชว์</v>
          </cell>
          <cell r="E2705">
            <v>0</v>
          </cell>
          <cell r="F2705">
            <v>890</v>
          </cell>
        </row>
        <row r="2706">
          <cell r="A2706" t="str">
            <v>JT0213-M</v>
          </cell>
          <cell r="B2706" t="str">
            <v>JT213</v>
          </cell>
          <cell r="C2706" t="str">
            <v>ซาติน แขนสั้นขายาว สีโอรสขอบเงินลายหัวใจ M (กปก) ตัวโชว์</v>
          </cell>
          <cell r="E2706">
            <v>0</v>
          </cell>
          <cell r="F2706">
            <v>890</v>
          </cell>
        </row>
        <row r="2707">
          <cell r="A2707" t="str">
            <v>JT0240-S</v>
          </cell>
          <cell r="B2707" t="str">
            <v>JT240</v>
          </cell>
          <cell r="C2707" t="str">
            <v>ซาติน  แขนสั้นขายาว จุดดำ พื้นครีม S ตัวโชว์</v>
          </cell>
          <cell r="E2707">
            <v>0</v>
          </cell>
          <cell r="F2707">
            <v>890</v>
          </cell>
        </row>
        <row r="2708">
          <cell r="A2708" t="str">
            <v>JT0270-M</v>
          </cell>
          <cell r="B2708" t="str">
            <v>JT270</v>
          </cell>
          <cell r="C2708" t="str">
            <v>ซาติน แขนสั้นขายาว จุดขาวใหญ่ พื้นชมพู M ตัวโชว์</v>
          </cell>
          <cell r="E2708">
            <v>0</v>
          </cell>
          <cell r="F2708">
            <v>890</v>
          </cell>
        </row>
        <row r="2709">
          <cell r="A2709" t="str">
            <v>JT0271-M</v>
          </cell>
          <cell r="B2709" t="str">
            <v>JT271</v>
          </cell>
          <cell r="C2709" t="str">
            <v>ซาติน แขนสั้นขายาว จุดกรมใหญ่ พื้นม่วง M ตัวโชว์</v>
          </cell>
          <cell r="E2709">
            <v>0</v>
          </cell>
          <cell r="F2709">
            <v>890</v>
          </cell>
        </row>
        <row r="2710">
          <cell r="A2710" t="str">
            <v>JT0298-L</v>
          </cell>
          <cell r="B2710" t="str">
            <v>JT298</v>
          </cell>
          <cell r="C2710" t="str">
            <v>ซาติน แขนสั้นขายาว teddy bear พื้นน้ำตาล L (กปก) ตัวโชว์</v>
          </cell>
          <cell r="E2710">
            <v>0</v>
          </cell>
          <cell r="F2710">
            <v>890</v>
          </cell>
        </row>
        <row r="2711">
          <cell r="A2711" t="str">
            <v>JT0369-M</v>
          </cell>
          <cell r="B2711" t="str">
            <v>JT369</v>
          </cell>
          <cell r="C2711" t="str">
            <v>ซาติน แขนสั้นขายาว กุหลาบ ขอบชมพู พื้นขาว M (กปก) ตัวโชว์</v>
          </cell>
          <cell r="E2711">
            <v>0</v>
          </cell>
          <cell r="F2711">
            <v>890</v>
          </cell>
        </row>
        <row r="2712">
          <cell r="A2712" t="str">
            <v>JT0380-M</v>
          </cell>
          <cell r="B2712" t="str">
            <v>JT380</v>
          </cell>
          <cell r="C2712" t="str">
            <v>ซาติน แขนสั้นขายาว หัวใจฟ้า น้ำตาล พื้นชมพู M ตัวโชว์</v>
          </cell>
          <cell r="E2712">
            <v>0</v>
          </cell>
          <cell r="F2712">
            <v>890</v>
          </cell>
        </row>
        <row r="2713">
          <cell r="A2713" t="str">
            <v>JT0409-M</v>
          </cell>
          <cell r="B2713" t="str">
            <v>JT409</v>
          </cell>
          <cell r="C2713" t="str">
            <v>ซาติน แขนสั้นขายาว แมวดำ พื้นขาว M ตัวโชว์</v>
          </cell>
          <cell r="E2713">
            <v>0</v>
          </cell>
          <cell r="F2713">
            <v>890</v>
          </cell>
        </row>
        <row r="2714">
          <cell r="A2714" t="str">
            <v>JT0427-L</v>
          </cell>
          <cell r="B2714" t="str">
            <v>JT427</v>
          </cell>
          <cell r="C2714" t="str">
            <v>ซาติน แขนสั้นขายาว ลายทางเขียว Forever L (กปก) ตัวโชว์</v>
          </cell>
          <cell r="E2714">
            <v>0</v>
          </cell>
          <cell r="F2714">
            <v>890</v>
          </cell>
        </row>
        <row r="2715">
          <cell r="A2715" t="str">
            <v>JT0428-M</v>
          </cell>
          <cell r="B2715" t="str">
            <v>JT428</v>
          </cell>
          <cell r="C2715" t="str">
            <v>ซาติน แขนสั้นขายาว ลายทางชมพู Forever M (กปก) ตัวโชว์</v>
          </cell>
          <cell r="E2715">
            <v>0</v>
          </cell>
          <cell r="F2715">
            <v>890</v>
          </cell>
        </row>
        <row r="2716">
          <cell r="A2716" t="str">
            <v>JT0431-M</v>
          </cell>
          <cell r="B2716" t="str">
            <v>JT431</v>
          </cell>
          <cell r="C2716" t="str">
            <v>ซาติน แขนสั้นขายาว ลายทาง จิ้งจอก พื้นเขียว M ตัวโชว์</v>
          </cell>
          <cell r="E2716">
            <v>0</v>
          </cell>
          <cell r="F2716">
            <v>890</v>
          </cell>
        </row>
        <row r="2717">
          <cell r="A2717" t="str">
            <v>JT0500-S</v>
          </cell>
          <cell r="B2717" t="str">
            <v>JT500</v>
          </cell>
          <cell r="C2717" t="str">
            <v>ซาติน  แขนสั้นขายาว   เสือดาว พื้นครีมอ่อน S ตัวโชว์</v>
          </cell>
          <cell r="E2717">
            <v>0</v>
          </cell>
          <cell r="F2717">
            <v>890</v>
          </cell>
        </row>
        <row r="2718">
          <cell r="A2718" t="str">
            <v>JT0501-L</v>
          </cell>
          <cell r="B2718" t="str">
            <v>JT501</v>
          </cell>
          <cell r="C2718" t="str">
            <v>ซาติน แขนสั้นขายาว Good Luck น้องหมีชมพู L (กปก) ตัวโชว์</v>
          </cell>
          <cell r="E2718">
            <v>0</v>
          </cell>
          <cell r="F2718">
            <v>890</v>
          </cell>
        </row>
        <row r="2719">
          <cell r="A2719" t="str">
            <v>JT0523-M</v>
          </cell>
          <cell r="B2719" t="str">
            <v>JT523</v>
          </cell>
          <cell r="C2719" t="str">
            <v>ซาติน แขนสั้นขายาว Flower พื้นเขียว ปกชมพู M ตัวโชว์</v>
          </cell>
          <cell r="E2719">
            <v>0</v>
          </cell>
          <cell r="F2719">
            <v>890</v>
          </cell>
        </row>
        <row r="2720">
          <cell r="A2720" t="str">
            <v>JT0524-M</v>
          </cell>
          <cell r="B2720" t="str">
            <v>JT524</v>
          </cell>
          <cell r="C2720" t="str">
            <v>ซาติน แขนสั้นขายาว ดอกไม้เขียว พื้นเขียว M (กปก) ตัวโชว์</v>
          </cell>
          <cell r="E2720">
            <v>0</v>
          </cell>
          <cell r="F2720">
            <v>890</v>
          </cell>
        </row>
        <row r="2721">
          <cell r="A2721" t="str">
            <v>JT0550-M</v>
          </cell>
          <cell r="B2721" t="str">
            <v>JT550</v>
          </cell>
          <cell r="C2721" t="str">
            <v>ซาติน แขนสั้นขายาว ลายทางชมพู ปกชมพู cute M ตัวโชว์</v>
          </cell>
          <cell r="E2721">
            <v>0</v>
          </cell>
          <cell r="F2721">
            <v>890</v>
          </cell>
        </row>
        <row r="2722">
          <cell r="A2722" t="str">
            <v>JT0572-S</v>
          </cell>
          <cell r="B2722" t="str">
            <v>JT572</v>
          </cell>
          <cell r="C2722" t="str">
            <v>ซาติน แขนสั้นขายาว ลายเสือ ชมพู ลูกไม้ S ตัวโชว์</v>
          </cell>
          <cell r="E2722">
            <v>0</v>
          </cell>
          <cell r="F2722">
            <v>890</v>
          </cell>
        </row>
        <row r="2723">
          <cell r="A2723" t="str">
            <v>JT0629-M</v>
          </cell>
          <cell r="B2723" t="str">
            <v>JT629</v>
          </cell>
          <cell r="C2723" t="str">
            <v>ซาติน แขนสั้นขายาว ชิโนริ ฟ้า ขอบม่วง M ตัวโชว์</v>
          </cell>
          <cell r="E2723">
            <v>0</v>
          </cell>
          <cell r="F2723">
            <v>890</v>
          </cell>
        </row>
        <row r="2724">
          <cell r="A2724" t="str">
            <v>JT0631-M</v>
          </cell>
          <cell r="B2724" t="str">
            <v>JT631</v>
          </cell>
          <cell r="C2724" t="str">
            <v>ซาติน แขนสั้นขายาว ชิโนริ ชมพู ขอบม่วง M ตัวโชว์</v>
          </cell>
          <cell r="E2724">
            <v>0</v>
          </cell>
          <cell r="F2724">
            <v>890</v>
          </cell>
        </row>
        <row r="2725">
          <cell r="A2725" t="str">
            <v>JT0666-S</v>
          </cell>
          <cell r="B2725" t="str">
            <v>JT666</v>
          </cell>
          <cell r="C2725" t="str">
            <v>ซาติน แขนสั้นขายาว Rainbow Cat พื้นขาว S (กปก) ตัวโชว์</v>
          </cell>
          <cell r="E2725">
            <v>0</v>
          </cell>
          <cell r="F2725">
            <v>890</v>
          </cell>
        </row>
        <row r="2726">
          <cell r="A2726" t="str">
            <v>JT0674-M</v>
          </cell>
          <cell r="B2726" t="str">
            <v>JT674</v>
          </cell>
          <cell r="C2726" t="str">
            <v>ซาติน แขนสั้นขายาว ดอกไม้ แดงน้ำเงิน พื้นครีม M (กปก) ตัวโชว์</v>
          </cell>
          <cell r="E2726">
            <v>0</v>
          </cell>
          <cell r="F2726">
            <v>890</v>
          </cell>
        </row>
        <row r="2727">
          <cell r="A2727" t="str">
            <v>JT0675-M</v>
          </cell>
          <cell r="B2727" t="str">
            <v>JT675</v>
          </cell>
          <cell r="C2727" t="str">
            <v>ซาติน แขนสั้นขายาว Blue Sky M ตัวโชว์</v>
          </cell>
          <cell r="E2727">
            <v>0</v>
          </cell>
          <cell r="F2727">
            <v>890</v>
          </cell>
        </row>
        <row r="2728">
          <cell r="A2728" t="str">
            <v>JT0677-L</v>
          </cell>
          <cell r="B2728" t="str">
            <v>JT677</v>
          </cell>
          <cell r="C2728" t="str">
            <v>ซาติน แขนสั้นขายาว Golden Leaf พื้นกรม L ตัวโชว์</v>
          </cell>
          <cell r="E2728">
            <v>0</v>
          </cell>
          <cell r="F2728">
            <v>890</v>
          </cell>
        </row>
        <row r="2729">
          <cell r="A2729" t="str">
            <v>JT0678-M</v>
          </cell>
          <cell r="B2729" t="str">
            <v>JT678</v>
          </cell>
          <cell r="C2729" t="str">
            <v>ซาติน แขนสั้นขายาว ดอกไม้น้ำตาล พื้นฟ้า คอวี M ตัวโชว์</v>
          </cell>
          <cell r="E2729">
            <v>0</v>
          </cell>
          <cell r="F2729">
            <v>890</v>
          </cell>
        </row>
        <row r="2730">
          <cell r="A2730" t="str">
            <v>JT0679-M</v>
          </cell>
          <cell r="B2730" t="str">
            <v>JT679</v>
          </cell>
          <cell r="C2730" t="str">
            <v>ซาติน แขนสั้นขายาว กุหลาบ พื้นครีม M (กปก) ตัวโชว์</v>
          </cell>
          <cell r="E2730">
            <v>0</v>
          </cell>
          <cell r="F2730">
            <v>890</v>
          </cell>
        </row>
        <row r="2731">
          <cell r="A2731" t="str">
            <v>JT0680-M</v>
          </cell>
          <cell r="B2731" t="str">
            <v>JT680</v>
          </cell>
          <cell r="C2731" t="str">
            <v>ซาติน แขนสั้นขายาว ตาราง หมี ฟ้า M (กปก) ตัวโชว์</v>
          </cell>
          <cell r="E2731">
            <v>0</v>
          </cell>
          <cell r="F2731">
            <v>890</v>
          </cell>
        </row>
        <row r="2732">
          <cell r="A2732" t="str">
            <v>JT0698-M</v>
          </cell>
          <cell r="B2732" t="str">
            <v>JT698</v>
          </cell>
          <cell r="C2732" t="str">
            <v>ซาติน แขนสั้นขายาว ชิโนริ ชมพู กระเป๋าหมี M ตัวโชว์</v>
          </cell>
          <cell r="E2732">
            <v>0</v>
          </cell>
          <cell r="F2732">
            <v>890</v>
          </cell>
        </row>
        <row r="2733">
          <cell r="A2733" t="str">
            <v>JT0699-M</v>
          </cell>
          <cell r="B2733" t="str">
            <v>JT699</v>
          </cell>
          <cell r="C2733" t="str">
            <v>ซาติน แขนสั้นขายาว ชิโนริ ดำ กระเป๋าหมี M ตัวโชว์</v>
          </cell>
          <cell r="E2733">
            <v>0</v>
          </cell>
          <cell r="F2733">
            <v>890</v>
          </cell>
        </row>
        <row r="2734">
          <cell r="A2734" t="str">
            <v>JT0700-M</v>
          </cell>
          <cell r="B2734" t="str">
            <v>JT700</v>
          </cell>
          <cell r="C2734" t="str">
            <v>ซาติน แขนสั้นขายาว Royal Rabbit M ตัวโชว์</v>
          </cell>
          <cell r="E2734">
            <v>0</v>
          </cell>
          <cell r="F2734">
            <v>890</v>
          </cell>
        </row>
        <row r="2735">
          <cell r="A2735" t="str">
            <v>JT0701-M</v>
          </cell>
          <cell r="B2735" t="str">
            <v>JT701</v>
          </cell>
          <cell r="C2735" t="str">
            <v>ซาติน แขนสั้นขายาว คณะแมว M ตัวโชว์</v>
          </cell>
          <cell r="E2735">
            <v>0</v>
          </cell>
          <cell r="F2735">
            <v>890</v>
          </cell>
        </row>
        <row r="2736">
          <cell r="A2736" t="str">
            <v>JT0724-S</v>
          </cell>
          <cell r="B2736" t="str">
            <v>JT724</v>
          </cell>
          <cell r="C2736" t="str">
            <v>ซาติน แขนสั้นขายาว จุดเล็ก พื้นเหลือง  S ตัวโชว์</v>
          </cell>
          <cell r="E2736">
            <v>0</v>
          </cell>
          <cell r="F2736">
            <v>890</v>
          </cell>
        </row>
        <row r="2737">
          <cell r="A2737" t="str">
            <v>JT0725-S</v>
          </cell>
          <cell r="B2737" t="str">
            <v>JT725</v>
          </cell>
          <cell r="C2737" t="str">
            <v>ซาติน แขนสั้นขายาว จุดเล็ก พื้นชมพู  S ตัวโชว์</v>
          </cell>
          <cell r="E2737">
            <v>0</v>
          </cell>
          <cell r="F2737">
            <v>890</v>
          </cell>
        </row>
        <row r="2738">
          <cell r="A2738" t="str">
            <v>JT0765-M</v>
          </cell>
          <cell r="B2738" t="str">
            <v>JT765</v>
          </cell>
          <cell r="C2738" t="str">
            <v>ซาติน แขนสั้นขายาว โซ่ พื้นดำ M ตัวโชว์</v>
          </cell>
          <cell r="E2738">
            <v>0</v>
          </cell>
          <cell r="F2738">
            <v>890</v>
          </cell>
        </row>
        <row r="2739">
          <cell r="A2739" t="str">
            <v>JT0801-M</v>
          </cell>
          <cell r="B2739" t="str">
            <v>JT801</v>
          </cell>
          <cell r="C2739" t="str">
            <v>ซาติน แขนสั้นขายาว พื้นฟ้าคราม สีครีม M ตัวโชว์</v>
          </cell>
          <cell r="E2739">
            <v>0</v>
          </cell>
          <cell r="F2739">
            <v>890</v>
          </cell>
        </row>
        <row r="2740">
          <cell r="A2740" t="str">
            <v>JT0804-M</v>
          </cell>
          <cell r="B2740" t="str">
            <v>JT804</v>
          </cell>
          <cell r="C2740" t="str">
            <v>ซาติน แขนสั้นขายาว พื้นชมพูคราม สีครีม M ตัวโชว์</v>
          </cell>
          <cell r="E2740">
            <v>0</v>
          </cell>
          <cell r="F2740">
            <v>890</v>
          </cell>
        </row>
        <row r="2741">
          <cell r="A2741" t="str">
            <v>JT0807-M</v>
          </cell>
          <cell r="B2741" t="str">
            <v>JT807</v>
          </cell>
          <cell r="C2741" t="str">
            <v>ซาติน แขนสั้นขายาว หกเหลี่ยม เขียว ขาว M ตัวโชว์</v>
          </cell>
          <cell r="E2741">
            <v>0</v>
          </cell>
          <cell r="F2741">
            <v>890</v>
          </cell>
        </row>
        <row r="2742">
          <cell r="A2742" t="str">
            <v>JU0128-L</v>
          </cell>
          <cell r="B2742" t="str">
            <v>JU128</v>
          </cell>
          <cell r="C2742" t="str">
            <v>ซาติน แขนยาวขาสั้น ผีเสื้อดอกไม้ เขียว L ตัวโชว์</v>
          </cell>
          <cell r="E2742">
            <v>0</v>
          </cell>
          <cell r="F2742">
            <v>890</v>
          </cell>
        </row>
        <row r="2743">
          <cell r="A2743" t="str">
            <v>JU0246-M</v>
          </cell>
          <cell r="B2743" t="str">
            <v>JU246</v>
          </cell>
          <cell r="C2743" t="str">
            <v>ซาติน แขนยาวขาสั้น เสือ ชมพู M (กปก) ตัวโชว์</v>
          </cell>
          <cell r="E2743">
            <v>0</v>
          </cell>
          <cell r="F2743">
            <v>890</v>
          </cell>
        </row>
        <row r="2744">
          <cell r="A2744" t="str">
            <v>JU0320-L</v>
          </cell>
          <cell r="B2744" t="str">
            <v>JU320</v>
          </cell>
          <cell r="C2744" t="str">
            <v>ซาติน แขนยาวขาสั้น ลายมะพร้าว สีพาสเทล L ตัวโชว์</v>
          </cell>
          <cell r="E2744">
            <v>0</v>
          </cell>
          <cell r="F2744">
            <v>890</v>
          </cell>
        </row>
        <row r="2745">
          <cell r="A2745" t="str">
            <v>JV0035-L</v>
          </cell>
          <cell r="B2745" t="str">
            <v>JV35</v>
          </cell>
          <cell r="C2745" t="str">
            <v>ซาติน แขนสั้นขายาว ฟรุตตี้ L (กปก) ตัวโชว์</v>
          </cell>
          <cell r="E2745">
            <v>0</v>
          </cell>
          <cell r="F2745">
            <v>890</v>
          </cell>
        </row>
        <row r="2746">
          <cell r="A2746" t="str">
            <v>JV0660-M</v>
          </cell>
          <cell r="B2746" t="str">
            <v>JV660</v>
          </cell>
          <cell r="C2746" t="str">
            <v>ซาติน แขนสั้นขายาว Pink Diamond Pastel M (กปก) ตัวโชว์</v>
          </cell>
          <cell r="E2746">
            <v>0</v>
          </cell>
          <cell r="F2746">
            <v>890</v>
          </cell>
        </row>
        <row r="2747">
          <cell r="A2747" t="str">
            <v>JW0237-M</v>
          </cell>
          <cell r="B2747" t="str">
            <v>JW237</v>
          </cell>
          <cell r="C2747" t="str">
            <v>ซาติน แขนสั้นขาสั้น ภาพวาด  OVERSIZE M ตัวโชว์</v>
          </cell>
          <cell r="E2747">
            <v>0</v>
          </cell>
          <cell r="F2747">
            <v>790</v>
          </cell>
        </row>
        <row r="2748">
          <cell r="A2748" t="str">
            <v>JW0320-M</v>
          </cell>
          <cell r="B2748" t="str">
            <v>JW320</v>
          </cell>
          <cell r="C2748" t="str">
            <v>ซาติน แขนสั้นขาสั้น ลายมะพร้าว สีพาสเทล Over Size M ตัวโชว์</v>
          </cell>
          <cell r="E2748">
            <v>0</v>
          </cell>
          <cell r="F2748">
            <v>790</v>
          </cell>
        </row>
        <row r="2749">
          <cell r="A2749" t="str">
            <v>JW0361-S</v>
          </cell>
          <cell r="B2749" t="str">
            <v>JW361</v>
          </cell>
          <cell r="C2749" t="str">
            <v>ซาติน แขนสั้นขาสั้น Color Full Over Size S ตัวโชว์</v>
          </cell>
          <cell r="E2749">
            <v>0</v>
          </cell>
          <cell r="F2749">
            <v>790</v>
          </cell>
        </row>
        <row r="2750">
          <cell r="A2750" t="str">
            <v>JW0369-L</v>
          </cell>
          <cell r="B2750" t="str">
            <v>JW369</v>
          </cell>
          <cell r="C2750" t="str">
            <v>ซาติน แขนสั้นขาสั้น กุหลาบ ขอบชมพู พื้นขาว Over Size L ตัวโชว์</v>
          </cell>
          <cell r="E2750">
            <v>0</v>
          </cell>
          <cell r="F2750">
            <v>790</v>
          </cell>
        </row>
        <row r="2751">
          <cell r="A2751" t="str">
            <v>JW0525-M</v>
          </cell>
          <cell r="B2751" t="str">
            <v>JW525</v>
          </cell>
          <cell r="C2751" t="str">
            <v>ซาติน แขนสั้นขาสั้น ดอกไม้มายา M ตัวโชว์</v>
          </cell>
          <cell r="E2751">
            <v>0</v>
          </cell>
          <cell r="F2751">
            <v>790</v>
          </cell>
        </row>
        <row r="2752">
          <cell r="A2752" t="str">
            <v>JW0558-M</v>
          </cell>
          <cell r="B2752" t="str">
            <v>JW558</v>
          </cell>
          <cell r="C2752" t="str">
            <v>ซาติน แขนสั้นขาสั้น มารูโกะ คิตตี้ พื้นเขียว Over Size M (กปก) ตัวโชว์</v>
          </cell>
          <cell r="E2752">
            <v>0</v>
          </cell>
          <cell r="F2752">
            <v>790</v>
          </cell>
        </row>
        <row r="2753">
          <cell r="A2753" t="str">
            <v>JW0559-M</v>
          </cell>
          <cell r="B2753" t="str">
            <v>JW559</v>
          </cell>
          <cell r="C2753" t="str">
            <v>ซาติน แขนสั้นขาสั้น มารูโกะ คิตตี้ พื้นชมพู Over Size M ตัวโชว์</v>
          </cell>
          <cell r="E2753">
            <v>0</v>
          </cell>
          <cell r="F2753">
            <v>790</v>
          </cell>
        </row>
        <row r="2754">
          <cell r="A2754" t="str">
            <v>JW0561-M</v>
          </cell>
          <cell r="B2754" t="str">
            <v>JW561</v>
          </cell>
          <cell r="C2754" t="str">
            <v>ซาติน แขนสั้นขาสั้น เจ้าหญิงหน้าสวย พื้นชมพู Over Size M ตัวโชว์</v>
          </cell>
          <cell r="E2754">
            <v>0</v>
          </cell>
          <cell r="F2754">
            <v>790</v>
          </cell>
        </row>
        <row r="2755">
          <cell r="A2755" t="str">
            <v>JW0600-M</v>
          </cell>
          <cell r="B2755" t="str">
            <v>JW600</v>
          </cell>
          <cell r="C2755" t="str">
            <v>ซาติน แขนสั้นขาสั้น คอกลม หมีอ้วง M ตัวโชว์</v>
          </cell>
          <cell r="E2755">
            <v>0</v>
          </cell>
          <cell r="F2755">
            <v>790</v>
          </cell>
        </row>
        <row r="2756">
          <cell r="A2756" t="str">
            <v>JW0601-M</v>
          </cell>
          <cell r="B2756" t="str">
            <v>JW601</v>
          </cell>
          <cell r="C2756" t="str">
            <v>ซาติน แขนสั้นขาสั้น คอกลม แมวอ้วง M ตัวโชว์</v>
          </cell>
          <cell r="E2756">
            <v>0</v>
          </cell>
          <cell r="F2756">
            <v>790</v>
          </cell>
        </row>
        <row r="2757">
          <cell r="A2757" t="str">
            <v>JW0653-M</v>
          </cell>
          <cell r="B2757" t="str">
            <v>JW653</v>
          </cell>
          <cell r="C2757" t="str">
            <v>ซาติน แขนสั้นขาสั้น คอกลม Aurora Bear M ตัวโชว์</v>
          </cell>
          <cell r="E2757">
            <v>0</v>
          </cell>
          <cell r="F2757">
            <v>790</v>
          </cell>
        </row>
        <row r="2758">
          <cell r="A2758" t="str">
            <v>JW0660-M</v>
          </cell>
          <cell r="B2758" t="str">
            <v>JW660</v>
          </cell>
          <cell r="C2758" t="str">
            <v>ซาติน แขนสั้นขาสั้น Pink Diamond Pastel M ตัวโชว์</v>
          </cell>
          <cell r="E2758">
            <v>0</v>
          </cell>
          <cell r="F2758">
            <v>790</v>
          </cell>
        </row>
        <row r="2759">
          <cell r="A2759" t="str">
            <v>JW0668-M</v>
          </cell>
          <cell r="B2759" t="str">
            <v>JW668</v>
          </cell>
          <cell r="C2759" t="str">
            <v>ซาติน แขนสั้นขาสั้น Gold Flower ขอบแดง M ตัวโชว์</v>
          </cell>
          <cell r="E2759">
            <v>0</v>
          </cell>
          <cell r="F2759">
            <v>790</v>
          </cell>
        </row>
        <row r="2760">
          <cell r="A2760" t="str">
            <v>JW0684-M</v>
          </cell>
          <cell r="B2760" t="str">
            <v>JW684</v>
          </cell>
          <cell r="C2760" t="str">
            <v>ซาติน แขนสั้นขาสั้น Cafe Milk M ตัวโชว์</v>
          </cell>
          <cell r="E2760">
            <v>0</v>
          </cell>
          <cell r="F2760">
            <v>790</v>
          </cell>
        </row>
        <row r="2761">
          <cell r="A2761" t="str">
            <v>JW0704-M</v>
          </cell>
          <cell r="B2761" t="str">
            <v>JW704</v>
          </cell>
          <cell r="C2761" t="str">
            <v>ซาติน แขนสั้นขาสั้น Pinky Clound M ตัวโชว์</v>
          </cell>
          <cell r="E2761">
            <v>0</v>
          </cell>
          <cell r="F2761">
            <v>790</v>
          </cell>
        </row>
        <row r="2762">
          <cell r="A2762" t="str">
            <v>JW0787-S</v>
          </cell>
          <cell r="B2762" t="str">
            <v>JW787</v>
          </cell>
          <cell r="C2762" t="str">
            <v>ซาติน แขนสั้นขาสั้น ดอกไม้จุดดำ ขอบเขียว Over Size S ตัวโชว์</v>
          </cell>
          <cell r="E2762">
            <v>0</v>
          </cell>
          <cell r="F2762">
            <v>790</v>
          </cell>
        </row>
        <row r="2763">
          <cell r="A2763" t="str">
            <v>JX0024-M</v>
          </cell>
          <cell r="B2763" t="str">
            <v>JX24</v>
          </cell>
          <cell r="C2763" t="str">
            <v>ซาติน เสื้อคลุม แขนสั้น สายเดี่ยว เสือขาว ลูกไม้ M ตัวโชว์</v>
          </cell>
          <cell r="E2763">
            <v>0</v>
          </cell>
          <cell r="F2763">
            <v>690</v>
          </cell>
        </row>
        <row r="2764">
          <cell r="A2764" t="str">
            <v>JX0025-M</v>
          </cell>
          <cell r="B2764" t="str">
            <v>JX25</v>
          </cell>
          <cell r="C2764" t="str">
            <v>ซาติน เสื้อคลุม แขนสั้น สายเดี่ยว เสือชมพู ลูกไม้ M ตัวโชว์</v>
          </cell>
          <cell r="E2764">
            <v>0</v>
          </cell>
          <cell r="F2764">
            <v>690</v>
          </cell>
        </row>
        <row r="2765">
          <cell r="A2765" t="str">
            <v>JY0024-M</v>
          </cell>
          <cell r="B2765" t="str">
            <v>JY24</v>
          </cell>
          <cell r="C2765" t="str">
            <v>เยื่อไผ่ แขนสั้นขายาว กรม ขอบขาว ผู้ชาย M ตัวโชว์</v>
          </cell>
          <cell r="E2765">
            <v>0</v>
          </cell>
          <cell r="F2765">
            <v>890</v>
          </cell>
        </row>
        <row r="2766">
          <cell r="A2766" t="str">
            <v>JY0039-M</v>
          </cell>
          <cell r="B2766" t="str">
            <v>JY39</v>
          </cell>
          <cell r="C2766" t="str">
            <v>ชาติน แขนสั้นขาสั้น ฟ้า ขอบขาว M ตัวโชว์</v>
          </cell>
          <cell r="E2766">
            <v>0</v>
          </cell>
          <cell r="F2766">
            <v>790</v>
          </cell>
        </row>
        <row r="2767">
          <cell r="A2767" t="str">
            <v>JY0062-L</v>
          </cell>
          <cell r="B2767" t="str">
            <v>JY62</v>
          </cell>
          <cell r="C2767" t="str">
            <v>ผู้ชาย ซาติน แขนสั้นขายาว ชิโนริ ฟ้า ขอบม่วง L ตัวโชว์</v>
          </cell>
          <cell r="E2767">
            <v>0</v>
          </cell>
          <cell r="F2767">
            <v>890</v>
          </cell>
        </row>
        <row r="2768">
          <cell r="A2768" t="str">
            <v>JY0070-L</v>
          </cell>
          <cell r="B2768" t="str">
            <v>JY70</v>
          </cell>
          <cell r="C2768" t="str">
            <v>ซาติน แขนสั้นขาสั้น ข้าวหลามตัด เทาอ่อน ผู้ชาย L ตัวโชว์</v>
          </cell>
          <cell r="E2768">
            <v>0</v>
          </cell>
          <cell r="F2768">
            <v>790</v>
          </cell>
        </row>
        <row r="2769">
          <cell r="A2769" t="str">
            <v>JY0074-L</v>
          </cell>
          <cell r="B2769" t="str">
            <v>JY74</v>
          </cell>
          <cell r="C2769" t="str">
            <v>ซาติน แขนสั้นขาสั้น ลายเสือ พื้นเทา L (กปก) ตัวโชว์</v>
          </cell>
          <cell r="E2769">
            <v>0</v>
          </cell>
          <cell r="F2769">
            <v>790</v>
          </cell>
        </row>
        <row r="2770">
          <cell r="A2770" t="str">
            <v>M0001-110</v>
          </cell>
          <cell r="B2770" t="str">
            <v>M1</v>
          </cell>
          <cell r="C2770" t="str">
            <v>ซาติน แขนยาวขายาว Totoro พื้นชมพู เด็ก 110</v>
          </cell>
          <cell r="E2770">
            <v>3</v>
          </cell>
          <cell r="F2770">
            <v>790</v>
          </cell>
        </row>
        <row r="2771">
          <cell r="A2771" t="str">
            <v>M0001-120</v>
          </cell>
          <cell r="B2771" t="str">
            <v>M1</v>
          </cell>
          <cell r="C2771" t="str">
            <v>ซาติน แขนยาวขายาว Totoro พื้นชมพู เด็ก 120</v>
          </cell>
          <cell r="E2771">
            <v>8</v>
          </cell>
          <cell r="F2771">
            <v>790</v>
          </cell>
        </row>
        <row r="2772">
          <cell r="A2772" t="str">
            <v>M0001-130</v>
          </cell>
          <cell r="B2772" t="str">
            <v>M1</v>
          </cell>
          <cell r="C2772" t="str">
            <v>ซาติน แขนยาวขายาว Totoro พื้นชมพู เด็ก 130</v>
          </cell>
          <cell r="E2772">
            <v>0</v>
          </cell>
          <cell r="F2772">
            <v>790</v>
          </cell>
        </row>
        <row r="2773">
          <cell r="A2773" t="str">
            <v>M0001-140</v>
          </cell>
          <cell r="B2773" t="str">
            <v>M1</v>
          </cell>
          <cell r="C2773" t="str">
            <v>ซาติน แขนยาวขายาว Totoro พื้นชมพู เด็ก 140</v>
          </cell>
          <cell r="E2773">
            <v>0</v>
          </cell>
          <cell r="F2773">
            <v>790</v>
          </cell>
        </row>
        <row r="2774">
          <cell r="A2774" t="str">
            <v>M0001-150</v>
          </cell>
          <cell r="B2774" t="str">
            <v>M1</v>
          </cell>
          <cell r="C2774" t="str">
            <v>ซาติน แขนยาวขายาว Totoro พื้นชมพู เด็ก 150</v>
          </cell>
          <cell r="E2774">
            <v>0</v>
          </cell>
          <cell r="F2774">
            <v>790</v>
          </cell>
        </row>
        <row r="2775">
          <cell r="A2775" t="str">
            <v>M0002-110</v>
          </cell>
          <cell r="B2775" t="str">
            <v>M2</v>
          </cell>
          <cell r="C2775" t="str">
            <v>ซาติน แขนยาวขายาว Totoro พื้นฟ้า เด็ก 110</v>
          </cell>
          <cell r="E2775">
            <v>0</v>
          </cell>
          <cell r="F2775">
            <v>790</v>
          </cell>
        </row>
        <row r="2776">
          <cell r="A2776" t="str">
            <v>M0002-120</v>
          </cell>
          <cell r="B2776" t="str">
            <v>M2</v>
          </cell>
          <cell r="C2776" t="str">
            <v>ซาติน แขนยาวขายาว Totoro พื้นฟ้า เด็ก 120</v>
          </cell>
          <cell r="E2776">
            <v>0</v>
          </cell>
          <cell r="F2776">
            <v>790</v>
          </cell>
        </row>
        <row r="2777">
          <cell r="A2777" t="str">
            <v>M0002-130</v>
          </cell>
          <cell r="B2777" t="str">
            <v>M2</v>
          </cell>
          <cell r="C2777" t="str">
            <v>ซาติน แขนยาวขายาว Totoro พื้นฟ้า เด็ก 130</v>
          </cell>
          <cell r="E2777">
            <v>0</v>
          </cell>
          <cell r="F2777">
            <v>790</v>
          </cell>
        </row>
        <row r="2778">
          <cell r="A2778" t="str">
            <v>M0002-140</v>
          </cell>
          <cell r="B2778" t="str">
            <v>M2</v>
          </cell>
          <cell r="C2778" t="str">
            <v>ซาติน แขนยาวขายาว Totoro พื้นฟ้า เด็ก 140</v>
          </cell>
          <cell r="E2778">
            <v>0</v>
          </cell>
          <cell r="F2778">
            <v>790</v>
          </cell>
        </row>
        <row r="2779">
          <cell r="A2779" t="str">
            <v>M0002-150</v>
          </cell>
          <cell r="B2779" t="str">
            <v>M2</v>
          </cell>
          <cell r="C2779" t="str">
            <v>ซาติน แขนยาวขายาว Totoro พื้นฟ้า เด็ก 150</v>
          </cell>
          <cell r="E2779">
            <v>0</v>
          </cell>
          <cell r="F2779">
            <v>790</v>
          </cell>
        </row>
        <row r="2780">
          <cell r="A2780" t="str">
            <v>M0003-L</v>
          </cell>
          <cell r="B2780" t="str">
            <v>M3</v>
          </cell>
          <cell r="C2780" t="str">
            <v>ซาติน แขนสั้นขาสั้น Coral Sea 130 L</v>
          </cell>
          <cell r="E2780">
            <v>0</v>
          </cell>
          <cell r="F2780">
            <v>690</v>
          </cell>
        </row>
        <row r="2781">
          <cell r="A2781" t="str">
            <v>M0003-M</v>
          </cell>
          <cell r="B2781" t="str">
            <v>M3</v>
          </cell>
          <cell r="C2781" t="str">
            <v>ซาติน แขนสั้นขาสั้น Coral Sea 120 M</v>
          </cell>
          <cell r="E2781">
            <v>0</v>
          </cell>
          <cell r="F2781">
            <v>690</v>
          </cell>
        </row>
        <row r="2782">
          <cell r="A2782" t="str">
            <v>M0003-S</v>
          </cell>
          <cell r="B2782" t="str">
            <v>M3</v>
          </cell>
          <cell r="C2782" t="str">
            <v>ซาติน แขนสั้นขาสั้น Coral Sea 110 S</v>
          </cell>
          <cell r="E2782">
            <v>0</v>
          </cell>
          <cell r="F2782">
            <v>690</v>
          </cell>
        </row>
        <row r="2783">
          <cell r="A2783" t="str">
            <v>M0004-L</v>
          </cell>
          <cell r="B2783" t="str">
            <v>M4</v>
          </cell>
          <cell r="C2783" t="str">
            <v>ซาติน แขนสั้นขาสั้น Royal Art เด็ก L</v>
          </cell>
          <cell r="E2783">
            <v>0</v>
          </cell>
          <cell r="F2783">
            <v>690</v>
          </cell>
        </row>
        <row r="2784">
          <cell r="A2784" t="str">
            <v>M0004-M</v>
          </cell>
          <cell r="B2784" t="str">
            <v>M4</v>
          </cell>
          <cell r="C2784" t="str">
            <v>ซาติน แขนสั้นขาสั้น Royal Art เด็ก M</v>
          </cell>
          <cell r="E2784">
            <v>0</v>
          </cell>
          <cell r="F2784">
            <v>690</v>
          </cell>
        </row>
        <row r="2785">
          <cell r="A2785" t="str">
            <v>M0004-S</v>
          </cell>
          <cell r="B2785" t="str">
            <v>M4</v>
          </cell>
          <cell r="C2785" t="str">
            <v>ซาติน แขนสั้นขาสั้น Royal Art เด็ก S</v>
          </cell>
          <cell r="E2785">
            <v>0</v>
          </cell>
          <cell r="F2785">
            <v>690</v>
          </cell>
        </row>
        <row r="2786">
          <cell r="A2786" t="str">
            <v>M0005-110</v>
          </cell>
          <cell r="B2786" t="str">
            <v>M5</v>
          </cell>
          <cell r="C2786" t="str">
            <v>ซาติน แขนสั้นขายาว Totoro พื้นฟ้า เด็ก 110</v>
          </cell>
          <cell r="E2786">
            <v>0</v>
          </cell>
          <cell r="F2786">
            <v>750</v>
          </cell>
        </row>
        <row r="2787">
          <cell r="A2787" t="str">
            <v>M0005-120</v>
          </cell>
          <cell r="B2787" t="str">
            <v>M5</v>
          </cell>
          <cell r="C2787" t="str">
            <v>ซาติน แขนสั้นขายาว Totoro พื้นฟ้า เด็ก 120</v>
          </cell>
          <cell r="E2787">
            <v>0</v>
          </cell>
          <cell r="F2787">
            <v>750</v>
          </cell>
        </row>
        <row r="2788">
          <cell r="A2788" t="str">
            <v>M0005-130</v>
          </cell>
          <cell r="B2788" t="str">
            <v>M5</v>
          </cell>
          <cell r="C2788" t="str">
            <v>ซาติน แขนสั้นขายาว Totoro พื้นฟ้า เด็ก 130</v>
          </cell>
          <cell r="E2788">
            <v>0</v>
          </cell>
          <cell r="F2788">
            <v>750</v>
          </cell>
        </row>
        <row r="2789">
          <cell r="A2789" t="str">
            <v>M0005-140</v>
          </cell>
          <cell r="B2789" t="str">
            <v>M5</v>
          </cell>
          <cell r="C2789" t="str">
            <v>ซาติน แขนสั้นขายาว Totoro พื้นฟ้า เด็ก 140</v>
          </cell>
          <cell r="E2789">
            <v>0</v>
          </cell>
          <cell r="F2789">
            <v>750</v>
          </cell>
        </row>
        <row r="2790">
          <cell r="A2790" t="str">
            <v>M0005-150</v>
          </cell>
          <cell r="B2790" t="str">
            <v>M5</v>
          </cell>
          <cell r="C2790" t="str">
            <v>ซาติน แขนสั้นขายาว Totoro พื้นฟ้า เด็ก 150</v>
          </cell>
          <cell r="E2790">
            <v>0</v>
          </cell>
          <cell r="F2790">
            <v>750</v>
          </cell>
        </row>
        <row r="2791">
          <cell r="A2791" t="str">
            <v>M0006-110</v>
          </cell>
          <cell r="B2791" t="str">
            <v>M6</v>
          </cell>
          <cell r="C2791" t="str">
            <v>ซาติน แขนสั้นขายาว Totoro พื้นชมพู เด็ก 110</v>
          </cell>
          <cell r="E2791">
            <v>8</v>
          </cell>
          <cell r="F2791">
            <v>750</v>
          </cell>
        </row>
        <row r="2792">
          <cell r="A2792" t="str">
            <v>M0006-120</v>
          </cell>
          <cell r="B2792" t="str">
            <v>M6</v>
          </cell>
          <cell r="C2792" t="str">
            <v>ซาติน แขนสั้นขายาว Totoro พื้นชมพู เด็ก 120</v>
          </cell>
          <cell r="E2792">
            <v>19</v>
          </cell>
          <cell r="F2792">
            <v>750</v>
          </cell>
        </row>
        <row r="2793">
          <cell r="A2793" t="str">
            <v>M0006-130</v>
          </cell>
          <cell r="B2793" t="str">
            <v>M6</v>
          </cell>
          <cell r="C2793" t="str">
            <v>ซาติน แขนสั้นขายาว Totoro พื้นชมพู เด็ก 130</v>
          </cell>
          <cell r="E2793">
            <v>2</v>
          </cell>
          <cell r="F2793">
            <v>750</v>
          </cell>
        </row>
        <row r="2794">
          <cell r="A2794" t="str">
            <v>M0006-140</v>
          </cell>
          <cell r="B2794" t="str">
            <v>M6</v>
          </cell>
          <cell r="C2794" t="str">
            <v>ซาติน แขนสั้นขายาว Totoro พื้นชมพู เด็ก 140</v>
          </cell>
          <cell r="E2794">
            <v>0</v>
          </cell>
          <cell r="F2794">
            <v>750</v>
          </cell>
        </row>
        <row r="2795">
          <cell r="A2795" t="str">
            <v>M0006-150</v>
          </cell>
          <cell r="B2795" t="str">
            <v>M6</v>
          </cell>
          <cell r="C2795" t="str">
            <v>ซาติน แขนสั้นขายาว Totoro พื้นชมพู เด็ก 150</v>
          </cell>
          <cell r="E2795">
            <v>0</v>
          </cell>
          <cell r="F2795">
            <v>750</v>
          </cell>
        </row>
        <row r="2796">
          <cell r="A2796" t="str">
            <v>M0007-2XL</v>
          </cell>
          <cell r="B2796" t="str">
            <v>M7</v>
          </cell>
          <cell r="C2796" t="str">
            <v>ซาติน แขนยาวขายาว ใบไม้เขียว พื้นชมพู เด็ก 2XL</v>
          </cell>
          <cell r="E2796">
            <v>0</v>
          </cell>
          <cell r="F2796">
            <v>790</v>
          </cell>
        </row>
        <row r="2797">
          <cell r="A2797" t="str">
            <v>M0007-L</v>
          </cell>
          <cell r="B2797" t="str">
            <v>M7</v>
          </cell>
          <cell r="C2797" t="str">
            <v>ซาติน แขนยาวขายาว ใบไม้เขียว พื้นชมพู เด็ก L</v>
          </cell>
          <cell r="E2797">
            <v>0</v>
          </cell>
          <cell r="F2797">
            <v>790</v>
          </cell>
        </row>
        <row r="2798">
          <cell r="A2798" t="str">
            <v>M0007-M</v>
          </cell>
          <cell r="B2798" t="str">
            <v>QM7</v>
          </cell>
          <cell r="C2798" t="str">
            <v>ซาติน แขนยาวขายาว ใบไม้เขียว พื้นชมพู เด็ก M QC</v>
          </cell>
          <cell r="E2798">
            <v>0</v>
          </cell>
          <cell r="F2798">
            <v>790</v>
          </cell>
        </row>
        <row r="2799">
          <cell r="A2799" t="str">
            <v>M0007-S</v>
          </cell>
          <cell r="B2799" t="str">
            <v>M7</v>
          </cell>
          <cell r="C2799" t="str">
            <v>ซาติน แขนยาวขายาว ใบไม้เขียว พื้นชมพู เด็ก S</v>
          </cell>
          <cell r="E2799">
            <v>0</v>
          </cell>
          <cell r="F2799">
            <v>790</v>
          </cell>
        </row>
        <row r="2800">
          <cell r="A2800" t="str">
            <v>M0007-XL</v>
          </cell>
          <cell r="B2800" t="str">
            <v>M7</v>
          </cell>
          <cell r="C2800" t="str">
            <v>ซาติน แขนยาวขายาว ใบไม้เขียว พื้นชมพู เด็ก XL</v>
          </cell>
          <cell r="E2800">
            <v>0</v>
          </cell>
          <cell r="F2800">
            <v>790</v>
          </cell>
        </row>
        <row r="2801">
          <cell r="A2801" t="str">
            <v>M0008-2XL</v>
          </cell>
          <cell r="B2801" t="str">
            <v>M8</v>
          </cell>
          <cell r="C2801" t="str">
            <v>ซาติน แขนยาวขายาว Coral Sea เด็ก 2XL</v>
          </cell>
          <cell r="E2801">
            <v>0</v>
          </cell>
          <cell r="F2801">
            <v>790</v>
          </cell>
        </row>
        <row r="2802">
          <cell r="A2802" t="str">
            <v>M0008-L</v>
          </cell>
          <cell r="B2802" t="str">
            <v>M8</v>
          </cell>
          <cell r="C2802" t="str">
            <v>ซาติน แขนยาวขายาว Coral Sea เด็ก L</v>
          </cell>
          <cell r="E2802">
            <v>0</v>
          </cell>
          <cell r="F2802">
            <v>790</v>
          </cell>
        </row>
        <row r="2803">
          <cell r="A2803" t="str">
            <v>M0008-M</v>
          </cell>
          <cell r="B2803" t="str">
            <v>QM8</v>
          </cell>
          <cell r="C2803" t="str">
            <v>ซาติน แขนยาวขายาว Coral Sea เด็ก M QC</v>
          </cell>
          <cell r="E2803">
            <v>0</v>
          </cell>
          <cell r="F2803">
            <v>790</v>
          </cell>
        </row>
        <row r="2804">
          <cell r="A2804" t="str">
            <v>M0008-S</v>
          </cell>
          <cell r="B2804" t="str">
            <v>M8</v>
          </cell>
          <cell r="C2804" t="str">
            <v>ซาติน แขนยาวขายาว Coral Sea เด็ก S</v>
          </cell>
          <cell r="E2804">
            <v>0</v>
          </cell>
          <cell r="F2804">
            <v>0</v>
          </cell>
        </row>
        <row r="2805">
          <cell r="A2805" t="str">
            <v>M0008-XL</v>
          </cell>
          <cell r="B2805" t="str">
            <v>M8</v>
          </cell>
          <cell r="C2805" t="str">
            <v>ซาติน แขนยาวขายาว Coral Sea เด็ก XL</v>
          </cell>
          <cell r="E2805">
            <v>0</v>
          </cell>
          <cell r="F2805">
            <v>790</v>
          </cell>
        </row>
        <row r="2806">
          <cell r="A2806" t="str">
            <v>M0009-2XL</v>
          </cell>
          <cell r="B2806" t="str">
            <v>M9</v>
          </cell>
          <cell r="C2806" t="str">
            <v>ซาติน แขนยาวขายาว Color FULL เด็ก 2XL</v>
          </cell>
          <cell r="E2806">
            <v>0</v>
          </cell>
          <cell r="F2806">
            <v>790</v>
          </cell>
        </row>
        <row r="2807">
          <cell r="A2807" t="str">
            <v>M0009-L</v>
          </cell>
          <cell r="B2807" t="str">
            <v>M9</v>
          </cell>
          <cell r="C2807" t="str">
            <v>ซาติน แขนยาวขายาว Color FULL เด็ก L</v>
          </cell>
          <cell r="E2807">
            <v>0</v>
          </cell>
          <cell r="F2807">
            <v>790</v>
          </cell>
        </row>
        <row r="2808">
          <cell r="A2808" t="str">
            <v>M0009-M</v>
          </cell>
          <cell r="B2808" t="str">
            <v>M9</v>
          </cell>
          <cell r="C2808" t="str">
            <v>ซาติน แขนยาวขายาว Color FULL เด็ก M</v>
          </cell>
          <cell r="E2808">
            <v>0</v>
          </cell>
          <cell r="F2808">
            <v>790</v>
          </cell>
        </row>
        <row r="2809">
          <cell r="A2809" t="str">
            <v>M0009-S</v>
          </cell>
          <cell r="B2809" t="str">
            <v>QM9</v>
          </cell>
          <cell r="C2809" t="str">
            <v>ซาติน แขนยาวขายาว Color FULL เด็ก S QC</v>
          </cell>
          <cell r="E2809">
            <v>0</v>
          </cell>
          <cell r="F2809">
            <v>790</v>
          </cell>
        </row>
        <row r="2810">
          <cell r="A2810" t="str">
            <v>M0009-XL</v>
          </cell>
          <cell r="B2810" t="str">
            <v>QM9</v>
          </cell>
          <cell r="C2810" t="str">
            <v>ซาติน แขนยาวขายาว Color FULL เด็ก XL QC</v>
          </cell>
          <cell r="E2810">
            <v>0</v>
          </cell>
          <cell r="F2810">
            <v>790</v>
          </cell>
        </row>
        <row r="2811">
          <cell r="A2811" t="str">
            <v>M0010-2XL</v>
          </cell>
          <cell r="B2811" t="str">
            <v>M10</v>
          </cell>
          <cell r="C2811" t="str">
            <v>ซาติน แขนสั้นขายาว ผักรวม พื้นชมพู เด็ก 2XL</v>
          </cell>
          <cell r="E2811">
            <v>0</v>
          </cell>
          <cell r="F2811">
            <v>750</v>
          </cell>
        </row>
        <row r="2812">
          <cell r="A2812" t="str">
            <v>M0010-L</v>
          </cell>
          <cell r="B2812" t="str">
            <v>M10</v>
          </cell>
          <cell r="C2812" t="str">
            <v>ซาติน แขนสั้นขายาว ผักรวม พื้นชมพู เด็ก L</v>
          </cell>
          <cell r="E2812">
            <v>0</v>
          </cell>
          <cell r="F2812">
            <v>750</v>
          </cell>
        </row>
        <row r="2813">
          <cell r="A2813" t="str">
            <v>M0010-M</v>
          </cell>
          <cell r="B2813" t="str">
            <v>M10</v>
          </cell>
          <cell r="C2813" t="str">
            <v>ซาติน แขนสั้นขายาว ผักรวม พื้นชมพู เด็ก M</v>
          </cell>
          <cell r="E2813">
            <v>0</v>
          </cell>
          <cell r="F2813">
            <v>750</v>
          </cell>
        </row>
        <row r="2814">
          <cell r="A2814" t="str">
            <v>M0010-S</v>
          </cell>
          <cell r="B2814" t="str">
            <v>M10</v>
          </cell>
          <cell r="C2814" t="str">
            <v>ซาติน แขนสั้นขายาว ผักรวม พื้นชมพู เด็ก S</v>
          </cell>
          <cell r="E2814">
            <v>0</v>
          </cell>
          <cell r="F2814">
            <v>750</v>
          </cell>
        </row>
        <row r="2815">
          <cell r="A2815" t="str">
            <v>M0010-XL</v>
          </cell>
          <cell r="B2815" t="str">
            <v>M10</v>
          </cell>
          <cell r="C2815" t="str">
            <v>ซาติน แขนสั้นขายาว ผักรวม พื้นชมพู เด็ก XL</v>
          </cell>
          <cell r="E2815">
            <v>0</v>
          </cell>
          <cell r="F2815">
            <v>750</v>
          </cell>
        </row>
        <row r="2816">
          <cell r="A2816" t="str">
            <v>M0011-2XL</v>
          </cell>
          <cell r="B2816" t="str">
            <v>M11</v>
          </cell>
          <cell r="C2816" t="str">
            <v>ซาติน แขนสั้นขายาว สุนัขรวม พื้นชมพู เด็ก 2XL</v>
          </cell>
          <cell r="E2816">
            <v>0</v>
          </cell>
          <cell r="F2816">
            <v>750</v>
          </cell>
        </row>
        <row r="2817">
          <cell r="A2817" t="str">
            <v>M0011-L</v>
          </cell>
          <cell r="B2817" t="str">
            <v>M11</v>
          </cell>
          <cell r="C2817" t="str">
            <v>ซาติน แขนสั้นขายาว สุนัขรวม พื้นชมพู เด็ก L</v>
          </cell>
          <cell r="E2817">
            <v>0</v>
          </cell>
          <cell r="F2817">
            <v>750</v>
          </cell>
        </row>
        <row r="2818">
          <cell r="A2818" t="str">
            <v>M0011-M</v>
          </cell>
          <cell r="B2818" t="str">
            <v>M11</v>
          </cell>
          <cell r="C2818" t="str">
            <v>ซาติน แขนสั้นขายาว สุนัขรวม พื้นชมพู เด็ก M</v>
          </cell>
          <cell r="E2818">
            <v>0</v>
          </cell>
          <cell r="F2818">
            <v>750</v>
          </cell>
        </row>
        <row r="2819">
          <cell r="A2819" t="str">
            <v>M0011-S</v>
          </cell>
          <cell r="B2819" t="str">
            <v>M11</v>
          </cell>
          <cell r="C2819" t="str">
            <v>ซาติน แขนสั้นขายาว สุนัขรวม พื้นชมพู เด็ก S</v>
          </cell>
          <cell r="E2819">
            <v>0</v>
          </cell>
          <cell r="F2819">
            <v>750</v>
          </cell>
        </row>
        <row r="2820">
          <cell r="A2820" t="str">
            <v>M0011-XL</v>
          </cell>
          <cell r="B2820" t="str">
            <v>M11</v>
          </cell>
          <cell r="C2820" t="str">
            <v>ซาติน แขนสั้นขายาว สุนัขรวม พื้นชมพู เด็ก XL</v>
          </cell>
          <cell r="E2820">
            <v>0</v>
          </cell>
          <cell r="F2820">
            <v>750</v>
          </cell>
        </row>
        <row r="2821">
          <cell r="A2821" t="str">
            <v>M0012-2XL</v>
          </cell>
          <cell r="B2821" t="str">
            <v>M12</v>
          </cell>
          <cell r="C2821" t="str">
            <v>ซาติน แขนสั้นขายาว แมวรวม พื้นฟ้า เด็ก 2XL</v>
          </cell>
          <cell r="E2821">
            <v>0</v>
          </cell>
          <cell r="F2821">
            <v>750</v>
          </cell>
        </row>
        <row r="2822">
          <cell r="A2822" t="str">
            <v>M0012-L</v>
          </cell>
          <cell r="B2822" t="str">
            <v>QM12</v>
          </cell>
          <cell r="C2822" t="str">
            <v>ซาติน แขนสั้นขายาว แมวรวม พื้นฟ้า เด็ก L QC</v>
          </cell>
          <cell r="E2822">
            <v>0</v>
          </cell>
          <cell r="F2822">
            <v>750</v>
          </cell>
        </row>
        <row r="2823">
          <cell r="A2823" t="str">
            <v>M0012-M</v>
          </cell>
          <cell r="B2823" t="str">
            <v>M12</v>
          </cell>
          <cell r="C2823" t="str">
            <v>ซาติน แขนสั้นขายาว แมวรวม พื้นฟ้า เด็ก M</v>
          </cell>
          <cell r="E2823">
            <v>0</v>
          </cell>
          <cell r="F2823">
            <v>750</v>
          </cell>
        </row>
        <row r="2824">
          <cell r="A2824" t="str">
            <v>M0012-S</v>
          </cell>
          <cell r="B2824" t="str">
            <v>M12</v>
          </cell>
          <cell r="C2824" t="str">
            <v>ซาติน แขนสั้นขายาว แมวรวม พื้นฟ้า เด็ก S</v>
          </cell>
          <cell r="E2824">
            <v>0</v>
          </cell>
          <cell r="F2824">
            <v>750</v>
          </cell>
        </row>
        <row r="2825">
          <cell r="A2825" t="str">
            <v>M0012-XL</v>
          </cell>
          <cell r="B2825" t="str">
            <v>M12</v>
          </cell>
          <cell r="C2825" t="str">
            <v>ซาติน แขนสั้นขายาว แมวรวม พื้นฟ้า เด็ก XL</v>
          </cell>
          <cell r="E2825">
            <v>0</v>
          </cell>
          <cell r="F2825">
            <v>750</v>
          </cell>
        </row>
        <row r="2826">
          <cell r="A2826" t="str">
            <v>M0013-2XL</v>
          </cell>
          <cell r="B2826" t="str">
            <v>M13</v>
          </cell>
          <cell r="C2826" t="str">
            <v>ซาติน แขนสั้นขายาว แพนกวินรวม พื้นเขียว เด็ก 2XL</v>
          </cell>
          <cell r="E2826">
            <v>0</v>
          </cell>
          <cell r="F2826">
            <v>750</v>
          </cell>
        </row>
        <row r="2827">
          <cell r="A2827" t="str">
            <v>M0013-L</v>
          </cell>
          <cell r="B2827" t="str">
            <v>M13</v>
          </cell>
          <cell r="C2827" t="str">
            <v>ซาติน แขนสั้นขายาว แพนกวินรวม พื้นเขียว เด็ก L</v>
          </cell>
          <cell r="E2827">
            <v>0</v>
          </cell>
          <cell r="F2827">
            <v>750</v>
          </cell>
        </row>
        <row r="2828">
          <cell r="A2828" t="str">
            <v>M0013-M</v>
          </cell>
          <cell r="B2828" t="str">
            <v>M13</v>
          </cell>
          <cell r="C2828" t="str">
            <v>ซาติน แขนสั้นขายาว แพนกวินรวม พื้นเขียว เด็ก M</v>
          </cell>
          <cell r="E2828">
            <v>0</v>
          </cell>
          <cell r="F2828">
            <v>750</v>
          </cell>
        </row>
        <row r="2829">
          <cell r="A2829" t="str">
            <v>M0013-S</v>
          </cell>
          <cell r="B2829" t="str">
            <v>QM13</v>
          </cell>
          <cell r="C2829" t="str">
            <v>ซาติน แขนสั้นขายาว แพนกวินรวม พื้นเขียว เด็ก S QC</v>
          </cell>
          <cell r="E2829">
            <v>0</v>
          </cell>
          <cell r="F2829">
            <v>750</v>
          </cell>
        </row>
        <row r="2830">
          <cell r="A2830" t="str">
            <v>M0013-XL</v>
          </cell>
          <cell r="B2830" t="str">
            <v>M13</v>
          </cell>
          <cell r="C2830" t="str">
            <v>ซาติน แขนสั้นขายาว แพนกวินรวม พื้นเขียว เด็ก XL</v>
          </cell>
          <cell r="E2830">
            <v>0</v>
          </cell>
          <cell r="F2830">
            <v>750</v>
          </cell>
        </row>
        <row r="2831">
          <cell r="A2831" t="str">
            <v>M0014-2XL</v>
          </cell>
          <cell r="B2831" t="str">
            <v>M14</v>
          </cell>
          <cell r="C2831" t="str">
            <v>ซาติน แขนสั้นขายาว แมวรวม พื้นดำ เด็ก 2XL</v>
          </cell>
          <cell r="E2831">
            <v>0</v>
          </cell>
          <cell r="F2831">
            <v>750</v>
          </cell>
        </row>
        <row r="2832">
          <cell r="A2832" t="str">
            <v>M0014-L</v>
          </cell>
          <cell r="B2832" t="str">
            <v>M14</v>
          </cell>
          <cell r="C2832" t="str">
            <v>ซาติน แขนสั้นขายาว แมวรวม พื้นดำ เด็ก L</v>
          </cell>
          <cell r="E2832">
            <v>0</v>
          </cell>
          <cell r="F2832">
            <v>750</v>
          </cell>
        </row>
        <row r="2833">
          <cell r="A2833" t="str">
            <v>M0014-M</v>
          </cell>
          <cell r="B2833" t="str">
            <v>M14</v>
          </cell>
          <cell r="C2833" t="str">
            <v>ซาติน แขนสั้นขายาว แมวรวม พื้นดำ เด็ก M</v>
          </cell>
          <cell r="E2833">
            <v>0</v>
          </cell>
          <cell r="F2833">
            <v>750</v>
          </cell>
        </row>
        <row r="2834">
          <cell r="A2834" t="str">
            <v>M0014-S</v>
          </cell>
          <cell r="B2834" t="str">
            <v>QM14</v>
          </cell>
          <cell r="C2834" t="str">
            <v>ซาติน แขนสั้นขายาว แมวรวม พื้นดำ เด็ก S QC</v>
          </cell>
          <cell r="E2834">
            <v>0</v>
          </cell>
          <cell r="F2834">
            <v>750</v>
          </cell>
        </row>
        <row r="2835">
          <cell r="A2835" t="str">
            <v>M0014-XL</v>
          </cell>
          <cell r="B2835" t="str">
            <v>M14</v>
          </cell>
          <cell r="C2835" t="str">
            <v>ซาติน แขนสั้นขายาว แมวรวม พื้นดำ เด็ก XL</v>
          </cell>
          <cell r="E2835">
            <v>0</v>
          </cell>
          <cell r="F2835">
            <v>750</v>
          </cell>
        </row>
        <row r="2836">
          <cell r="A2836" t="str">
            <v>M0015-2XL</v>
          </cell>
          <cell r="B2836" t="str">
            <v>M15</v>
          </cell>
          <cell r="C2836" t="str">
            <v>ซาติน แขนยาวขายาว สุนัขรวม พื้นชมพู เด็ก 2XL</v>
          </cell>
          <cell r="E2836">
            <v>0</v>
          </cell>
          <cell r="F2836">
            <v>790</v>
          </cell>
        </row>
        <row r="2837">
          <cell r="A2837" t="str">
            <v>M0015-L</v>
          </cell>
          <cell r="B2837" t="str">
            <v>M15</v>
          </cell>
          <cell r="C2837" t="str">
            <v>ซาติน แขนยาวขายาว สุนัขรวม พื้นชมพู เด็ก L</v>
          </cell>
          <cell r="E2837">
            <v>0</v>
          </cell>
          <cell r="F2837">
            <v>790</v>
          </cell>
        </row>
        <row r="2838">
          <cell r="A2838" t="str">
            <v>M0015-M</v>
          </cell>
          <cell r="B2838" t="str">
            <v>M15</v>
          </cell>
          <cell r="C2838" t="str">
            <v>ซาติน แขนยาวขายาว สุนัขรวม พื้นชมพู เด็ก M</v>
          </cell>
          <cell r="E2838">
            <v>0</v>
          </cell>
          <cell r="F2838">
            <v>790</v>
          </cell>
        </row>
        <row r="2839">
          <cell r="A2839" t="str">
            <v>M0015-S</v>
          </cell>
          <cell r="B2839" t="str">
            <v>M15</v>
          </cell>
          <cell r="C2839" t="str">
            <v>ซาติน แขนยาวขายาว สุนัขรวม พื้นชมพู เด็ก S</v>
          </cell>
          <cell r="E2839">
            <v>0</v>
          </cell>
          <cell r="F2839">
            <v>0</v>
          </cell>
        </row>
        <row r="2840">
          <cell r="A2840" t="str">
            <v>M0015-XL</v>
          </cell>
          <cell r="B2840" t="str">
            <v>M15</v>
          </cell>
          <cell r="C2840" t="str">
            <v>ซาติน แขนยาวขายาว สุนัขรวม พื้นชมพู เด็ก XL</v>
          </cell>
          <cell r="E2840">
            <v>0</v>
          </cell>
          <cell r="F2840">
            <v>790</v>
          </cell>
        </row>
        <row r="2841">
          <cell r="A2841" t="str">
            <v>M0016-2XL</v>
          </cell>
          <cell r="B2841" t="str">
            <v>M16</v>
          </cell>
          <cell r="C2841" t="str">
            <v>ซาติน แขนยาวขายาว แมวรวม พื้นฟ้า เด็ก 2XL</v>
          </cell>
          <cell r="E2841">
            <v>0</v>
          </cell>
          <cell r="F2841">
            <v>790</v>
          </cell>
        </row>
        <row r="2842">
          <cell r="A2842" t="str">
            <v>M0016-L</v>
          </cell>
          <cell r="B2842" t="str">
            <v>M16</v>
          </cell>
          <cell r="C2842" t="str">
            <v>ซาติน แขนยาวขายาว แมวรวม พื้นฟ้า เด็ก L</v>
          </cell>
          <cell r="E2842">
            <v>0</v>
          </cell>
          <cell r="F2842">
            <v>790</v>
          </cell>
        </row>
        <row r="2843">
          <cell r="A2843" t="str">
            <v>M0016-M</v>
          </cell>
          <cell r="B2843" t="str">
            <v>M16</v>
          </cell>
          <cell r="C2843" t="str">
            <v>ซาติน แขนยาวขายาว แมวรวม พื้นฟ้า เด็ก M</v>
          </cell>
          <cell r="E2843">
            <v>0</v>
          </cell>
          <cell r="F2843">
            <v>790</v>
          </cell>
        </row>
        <row r="2844">
          <cell r="A2844" t="str">
            <v>M0016-S</v>
          </cell>
          <cell r="B2844" t="str">
            <v>M16</v>
          </cell>
          <cell r="C2844" t="str">
            <v>ซาติน แขนยาวขายาว แมวรวม พื้นฟ้า เด็ก S</v>
          </cell>
          <cell r="E2844">
            <v>0</v>
          </cell>
          <cell r="F2844">
            <v>790</v>
          </cell>
        </row>
        <row r="2845">
          <cell r="A2845" t="str">
            <v>M0016-XL</v>
          </cell>
          <cell r="B2845" t="str">
            <v>M16</v>
          </cell>
          <cell r="C2845" t="str">
            <v>ซาติน แขนยาวขายาว แมวรวม พื้นฟ้า เด็ก XL</v>
          </cell>
          <cell r="E2845">
            <v>0</v>
          </cell>
          <cell r="F2845">
            <v>790</v>
          </cell>
        </row>
        <row r="2846">
          <cell r="A2846" t="str">
            <v>M0017-2XL</v>
          </cell>
          <cell r="B2846" t="str">
            <v>M17</v>
          </cell>
          <cell r="C2846" t="str">
            <v>ซาติน แขนยาวขายาว แพนกวินรวม พื้นเขียว เด็ก 2XL</v>
          </cell>
          <cell r="E2846">
            <v>0</v>
          </cell>
          <cell r="F2846">
            <v>790</v>
          </cell>
        </row>
        <row r="2847">
          <cell r="A2847" t="str">
            <v>M0017-L</v>
          </cell>
          <cell r="B2847" t="str">
            <v>M17</v>
          </cell>
          <cell r="C2847" t="str">
            <v>ซาติน แขนยาวขายาว แพนกวินรวม พื้นเขียว เด็ก L</v>
          </cell>
          <cell r="E2847">
            <v>0</v>
          </cell>
          <cell r="F2847">
            <v>790</v>
          </cell>
        </row>
        <row r="2848">
          <cell r="A2848" t="str">
            <v>M0017-M</v>
          </cell>
          <cell r="B2848" t="str">
            <v>QM17</v>
          </cell>
          <cell r="C2848" t="str">
            <v>ซาติน แขนยาวขายาว แพนกวินรวม พื้นเขียว เด็ก M QC</v>
          </cell>
          <cell r="E2848">
            <v>0</v>
          </cell>
          <cell r="F2848">
            <v>790</v>
          </cell>
        </row>
        <row r="2849">
          <cell r="A2849" t="str">
            <v>M0017-S</v>
          </cell>
          <cell r="B2849" t="str">
            <v>QM17</v>
          </cell>
          <cell r="C2849" t="str">
            <v>ซาติน แขนยาวขายาว แพนกวินรวม พื้นเขียว เด็ก S QC</v>
          </cell>
          <cell r="E2849">
            <v>0</v>
          </cell>
          <cell r="F2849">
            <v>790</v>
          </cell>
        </row>
        <row r="2850">
          <cell r="A2850" t="str">
            <v>M0017-XL</v>
          </cell>
          <cell r="B2850" t="str">
            <v>QM17</v>
          </cell>
          <cell r="C2850" t="str">
            <v>ซาติน แขนยาวขายาว แพนกวินรวม พื้นเขียว เด็ก XL QC</v>
          </cell>
          <cell r="E2850">
            <v>0</v>
          </cell>
          <cell r="F2850">
            <v>790</v>
          </cell>
        </row>
        <row r="2851">
          <cell r="A2851" t="str">
            <v>M0018-2XL</v>
          </cell>
          <cell r="B2851" t="str">
            <v>M18</v>
          </cell>
          <cell r="C2851" t="str">
            <v>ซาติน แขนยาวขายาว ผักรวม พื้นชมพู เด็ก 2XL</v>
          </cell>
          <cell r="E2851">
            <v>0</v>
          </cell>
          <cell r="F2851">
            <v>790</v>
          </cell>
        </row>
        <row r="2852">
          <cell r="A2852" t="str">
            <v>M0018-L</v>
          </cell>
          <cell r="B2852" t="str">
            <v>M18</v>
          </cell>
          <cell r="C2852" t="str">
            <v>ซาติน แขนยาวขายาว ผักรวม พื้นชมพู เด็ก L</v>
          </cell>
          <cell r="E2852">
            <v>0</v>
          </cell>
          <cell r="F2852">
            <v>790</v>
          </cell>
        </row>
        <row r="2853">
          <cell r="A2853" t="str">
            <v>M0018-M</v>
          </cell>
          <cell r="B2853" t="str">
            <v>QM18</v>
          </cell>
          <cell r="C2853" t="str">
            <v>ซาติน แขนยาวขายาว ผักรวม พื้นชมพู เด็ก M QC</v>
          </cell>
          <cell r="E2853">
            <v>0</v>
          </cell>
          <cell r="F2853">
            <v>790</v>
          </cell>
        </row>
        <row r="2854">
          <cell r="A2854" t="str">
            <v>M0018-S</v>
          </cell>
          <cell r="B2854" t="str">
            <v>QM18</v>
          </cell>
          <cell r="C2854" t="str">
            <v>ซาติน แขนยาวขายาว ผักรวม พื้นชมพู เด็ก S QC</v>
          </cell>
          <cell r="E2854">
            <v>0</v>
          </cell>
          <cell r="F2854">
            <v>790</v>
          </cell>
        </row>
        <row r="2855">
          <cell r="A2855" t="str">
            <v>M0018-XL</v>
          </cell>
          <cell r="B2855" t="str">
            <v>QM18</v>
          </cell>
          <cell r="C2855" t="str">
            <v>ซาติน แขนยาวขายาว ผักรวม พื้นชมพู เด็ก XL QC</v>
          </cell>
          <cell r="E2855">
            <v>0</v>
          </cell>
          <cell r="F2855">
            <v>790</v>
          </cell>
        </row>
        <row r="2856">
          <cell r="A2856" t="str">
            <v>M0019-2XL</v>
          </cell>
          <cell r="B2856" t="str">
            <v>M19</v>
          </cell>
          <cell r="C2856" t="str">
            <v>ซาติน แขนยาวขายาว แมวรวม พื้นดำ เด็ก 2XL</v>
          </cell>
          <cell r="E2856">
            <v>0</v>
          </cell>
          <cell r="F2856">
            <v>790</v>
          </cell>
        </row>
        <row r="2857">
          <cell r="A2857" t="str">
            <v>M0019-L</v>
          </cell>
          <cell r="B2857" t="str">
            <v>M19</v>
          </cell>
          <cell r="C2857" t="str">
            <v>ซาติน แขนยาวขายาว แมวรวม พื้นดำ เด็ก L</v>
          </cell>
          <cell r="E2857">
            <v>0</v>
          </cell>
          <cell r="F2857">
            <v>790</v>
          </cell>
        </row>
        <row r="2858">
          <cell r="A2858" t="str">
            <v>M0019-M</v>
          </cell>
          <cell r="B2858" t="str">
            <v>M19</v>
          </cell>
          <cell r="C2858" t="str">
            <v>ซาติน แขนยาวขายาว แมวรวม พื้นดำ เด็ก M</v>
          </cell>
          <cell r="E2858">
            <v>0</v>
          </cell>
          <cell r="F2858">
            <v>790</v>
          </cell>
        </row>
        <row r="2859">
          <cell r="A2859" t="str">
            <v>M0019-S</v>
          </cell>
          <cell r="B2859" t="str">
            <v>QM19</v>
          </cell>
          <cell r="C2859" t="str">
            <v>ซาติน แขนยาวขายาว แมวรวม พื้นดำ เด็ก S QC</v>
          </cell>
          <cell r="E2859">
            <v>0</v>
          </cell>
          <cell r="F2859">
            <v>790</v>
          </cell>
        </row>
        <row r="2860">
          <cell r="A2860" t="str">
            <v>M0019-XL</v>
          </cell>
          <cell r="B2860" t="str">
            <v>M19</v>
          </cell>
          <cell r="C2860" t="str">
            <v>ซาติน แขนยาวขายาว แมวรวม พื้นดำ เด็ก XL</v>
          </cell>
          <cell r="E2860">
            <v>0</v>
          </cell>
          <cell r="F2860">
            <v>790</v>
          </cell>
        </row>
        <row r="2861">
          <cell r="A2861" t="str">
            <v>M0020-L</v>
          </cell>
          <cell r="B2861" t="str">
            <v>M20</v>
          </cell>
          <cell r="C2861" t="str">
            <v>ซาติน แขนสั้นขาสั้น Pancake And Flowers เด็ก L</v>
          </cell>
          <cell r="E2861">
            <v>0</v>
          </cell>
          <cell r="F2861">
            <v>690</v>
          </cell>
        </row>
        <row r="2862">
          <cell r="A2862" t="str">
            <v>M0020-M</v>
          </cell>
          <cell r="B2862" t="str">
            <v>M20</v>
          </cell>
          <cell r="C2862" t="str">
            <v>ซาติน แขนสั้นขาสั้น Pancake And Flowers เด็ก M</v>
          </cell>
          <cell r="E2862">
            <v>0</v>
          </cell>
          <cell r="F2862">
            <v>690</v>
          </cell>
        </row>
        <row r="2863">
          <cell r="A2863" t="str">
            <v>M0020-S</v>
          </cell>
          <cell r="B2863" t="str">
            <v>M20</v>
          </cell>
          <cell r="C2863" t="str">
            <v>ซาติน แขนสั้นขาสั้น Pancake And Flowers เด็ก S</v>
          </cell>
          <cell r="E2863">
            <v>0</v>
          </cell>
          <cell r="F2863">
            <v>690</v>
          </cell>
        </row>
        <row r="2864">
          <cell r="A2864" t="str">
            <v>M0021-2XL</v>
          </cell>
          <cell r="B2864" t="str">
            <v>M21</v>
          </cell>
          <cell r="C2864" t="str">
            <v>สินค้าใหม่ 21 2XL</v>
          </cell>
          <cell r="E2864">
            <v>0</v>
          </cell>
          <cell r="F2864">
            <v>890</v>
          </cell>
        </row>
        <row r="2865">
          <cell r="A2865" t="str">
            <v>M0021-3XL</v>
          </cell>
          <cell r="B2865" t="str">
            <v>M21</v>
          </cell>
          <cell r="C2865" t="str">
            <v>สินค้าใหม่ 21 3XL</v>
          </cell>
          <cell r="E2865">
            <v>0</v>
          </cell>
          <cell r="F2865">
            <v>890</v>
          </cell>
        </row>
        <row r="2866">
          <cell r="A2866" t="str">
            <v>M0021-L</v>
          </cell>
          <cell r="B2866" t="str">
            <v>M21</v>
          </cell>
          <cell r="C2866" t="str">
            <v>ซาติน แขนสั้นขาสั้น ปีกัสโซ่ เด็ก L</v>
          </cell>
          <cell r="E2866">
            <v>0</v>
          </cell>
          <cell r="F2866">
            <v>690</v>
          </cell>
        </row>
        <row r="2867">
          <cell r="A2867" t="str">
            <v>M0021-M</v>
          </cell>
          <cell r="B2867" t="str">
            <v>M21</v>
          </cell>
          <cell r="C2867" t="str">
            <v>ซาติน แขนสั้นขาสั้น ปีกัสโซ่ เด็ก M</v>
          </cell>
          <cell r="E2867">
            <v>0</v>
          </cell>
          <cell r="F2867">
            <v>690</v>
          </cell>
        </row>
        <row r="2868">
          <cell r="A2868" t="str">
            <v>M0021-S</v>
          </cell>
          <cell r="B2868" t="str">
            <v>M21</v>
          </cell>
          <cell r="C2868" t="str">
            <v>ซาติน แขนสั้นขาสั้น ปีกัสโซ่ เด็ก S</v>
          </cell>
          <cell r="E2868">
            <v>0</v>
          </cell>
          <cell r="F2868">
            <v>690</v>
          </cell>
        </row>
        <row r="2869">
          <cell r="A2869" t="str">
            <v>M0021-XL</v>
          </cell>
          <cell r="B2869" t="str">
            <v>M21</v>
          </cell>
          <cell r="C2869" t="str">
            <v>สินค้าใหม่ 21 XL</v>
          </cell>
          <cell r="E2869">
            <v>0</v>
          </cell>
          <cell r="F2869">
            <v>890</v>
          </cell>
        </row>
        <row r="2870">
          <cell r="A2870" t="str">
            <v>M0022-2XL</v>
          </cell>
          <cell r="B2870" t="str">
            <v>M22</v>
          </cell>
          <cell r="C2870" t="str">
            <v>แขนสั้นขายาว little Ryan-little Muzi Blue Candy 2XL</v>
          </cell>
          <cell r="E2870">
            <v>0</v>
          </cell>
          <cell r="F2870">
            <v>890</v>
          </cell>
        </row>
        <row r="2871">
          <cell r="A2871" t="str">
            <v>M0022-3XL</v>
          </cell>
          <cell r="B2871" t="str">
            <v>M22</v>
          </cell>
          <cell r="C2871" t="str">
            <v>สินค้าใหม่ 22 3XL</v>
          </cell>
          <cell r="E2871">
            <v>0</v>
          </cell>
          <cell r="F2871">
            <v>890</v>
          </cell>
        </row>
        <row r="2872">
          <cell r="A2872" t="str">
            <v>M0022-L</v>
          </cell>
          <cell r="B2872" t="str">
            <v>M22</v>
          </cell>
          <cell r="C2872" t="str">
            <v>แขนสั้นขายาว little Ryan-little Muzi Blue Candy L</v>
          </cell>
          <cell r="E2872">
            <v>0</v>
          </cell>
          <cell r="F2872">
            <v>890</v>
          </cell>
        </row>
        <row r="2873">
          <cell r="A2873" t="str">
            <v>M0022-M</v>
          </cell>
          <cell r="B2873" t="str">
            <v>M22</v>
          </cell>
          <cell r="C2873" t="str">
            <v>แขนสั้นขายาว little Ryan-little Muzi Blue Candy M</v>
          </cell>
          <cell r="E2873">
            <v>0</v>
          </cell>
          <cell r="F2873">
            <v>890</v>
          </cell>
        </row>
        <row r="2874">
          <cell r="A2874" t="str">
            <v>M0022-S</v>
          </cell>
          <cell r="B2874" t="str">
            <v>M22</v>
          </cell>
          <cell r="C2874" t="str">
            <v>แขนสั้นขายาว little Ryan-little Muzi Blue Candy S</v>
          </cell>
          <cell r="E2874">
            <v>0</v>
          </cell>
          <cell r="F2874">
            <v>890</v>
          </cell>
        </row>
        <row r="2875">
          <cell r="A2875" t="str">
            <v>M0022-XL</v>
          </cell>
          <cell r="B2875" t="str">
            <v>M22</v>
          </cell>
          <cell r="C2875" t="str">
            <v>แขนสั้นขายาว little Ryan-little Muzi Blue Candy XL</v>
          </cell>
          <cell r="E2875">
            <v>0</v>
          </cell>
          <cell r="F2875">
            <v>890</v>
          </cell>
        </row>
        <row r="2876">
          <cell r="A2876" t="str">
            <v>M0023-2XL</v>
          </cell>
          <cell r="B2876" t="str">
            <v>M23</v>
          </cell>
          <cell r="C2876" t="str">
            <v>แขนยาวขายาว little Ryan-little Muzi Blue Candy 2XL</v>
          </cell>
          <cell r="E2876">
            <v>0</v>
          </cell>
          <cell r="F2876">
            <v>990</v>
          </cell>
        </row>
        <row r="2877">
          <cell r="A2877" t="str">
            <v>M0023-3XL</v>
          </cell>
          <cell r="B2877" t="str">
            <v>M23</v>
          </cell>
          <cell r="C2877" t="str">
            <v>สินค้าใหม่ 23 3XL</v>
          </cell>
          <cell r="E2877">
            <v>0</v>
          </cell>
          <cell r="F2877">
            <v>890</v>
          </cell>
        </row>
        <row r="2878">
          <cell r="A2878" t="str">
            <v>M0023-L</v>
          </cell>
          <cell r="B2878" t="str">
            <v>M23</v>
          </cell>
          <cell r="C2878" t="str">
            <v>แขนยาวขายาว little Ryan-little Muzi Blue Candy L</v>
          </cell>
          <cell r="E2878">
            <v>0</v>
          </cell>
          <cell r="F2878">
            <v>990</v>
          </cell>
        </row>
        <row r="2879">
          <cell r="A2879" t="str">
            <v>M0023-M</v>
          </cell>
          <cell r="B2879" t="str">
            <v>M23</v>
          </cell>
          <cell r="C2879" t="str">
            <v>แขนยาวขายาว little Ryan-little Muzi Blue Candy M</v>
          </cell>
          <cell r="E2879">
            <v>0</v>
          </cell>
          <cell r="F2879">
            <v>990</v>
          </cell>
        </row>
        <row r="2880">
          <cell r="A2880" t="str">
            <v>M0023-S</v>
          </cell>
          <cell r="B2880" t="str">
            <v>M23</v>
          </cell>
          <cell r="C2880" t="str">
            <v>แขนยาวขายาว little Ryan-little Muzi Blue Candy S</v>
          </cell>
          <cell r="E2880">
            <v>0</v>
          </cell>
          <cell r="F2880">
            <v>990</v>
          </cell>
        </row>
        <row r="2881">
          <cell r="A2881" t="str">
            <v>M0023-XL</v>
          </cell>
          <cell r="B2881" t="str">
            <v>M23</v>
          </cell>
          <cell r="C2881" t="str">
            <v>แขนยาวขายาว little Ryan-little Muzi Blue Candy XL</v>
          </cell>
          <cell r="E2881">
            <v>0</v>
          </cell>
          <cell r="F2881">
            <v>990</v>
          </cell>
        </row>
        <row r="2882">
          <cell r="A2882" t="str">
            <v>M0024-2XL</v>
          </cell>
          <cell r="B2882" t="str">
            <v>M24</v>
          </cell>
          <cell r="C2882" t="str">
            <v>แขนสั้นขายาว little Ryan-little Muzi Honey Yuzu 2XL</v>
          </cell>
          <cell r="E2882">
            <v>0</v>
          </cell>
          <cell r="F2882">
            <v>890</v>
          </cell>
        </row>
        <row r="2883">
          <cell r="A2883" t="str">
            <v>M0024-3XL</v>
          </cell>
          <cell r="B2883" t="str">
            <v>M24</v>
          </cell>
          <cell r="C2883" t="str">
            <v>สินค้าใหม่ 24 3XL</v>
          </cell>
          <cell r="E2883">
            <v>0</v>
          </cell>
          <cell r="F2883">
            <v>890</v>
          </cell>
        </row>
        <row r="2884">
          <cell r="A2884" t="str">
            <v>M0024-L</v>
          </cell>
          <cell r="B2884" t="str">
            <v>M24</v>
          </cell>
          <cell r="C2884" t="str">
            <v>แขนสั้นขายาว little Ryan-little Muzi Honey Yuzu L</v>
          </cell>
          <cell r="E2884">
            <v>0</v>
          </cell>
          <cell r="F2884">
            <v>890</v>
          </cell>
        </row>
        <row r="2885">
          <cell r="A2885" t="str">
            <v>M0024-M</v>
          </cell>
          <cell r="B2885" t="str">
            <v>M24</v>
          </cell>
          <cell r="C2885" t="str">
            <v>แขนสั้นขายาว little Ryan-little Muzi Honey Yuzu M</v>
          </cell>
          <cell r="E2885">
            <v>0</v>
          </cell>
          <cell r="F2885">
            <v>890</v>
          </cell>
        </row>
        <row r="2886">
          <cell r="A2886" t="str">
            <v>M0024-S</v>
          </cell>
          <cell r="B2886" t="str">
            <v>M24</v>
          </cell>
          <cell r="C2886" t="str">
            <v>แขนสั้นขายาว little Ryan-little Muzi Honey Yuzu S</v>
          </cell>
          <cell r="E2886">
            <v>0</v>
          </cell>
          <cell r="F2886">
            <v>890</v>
          </cell>
        </row>
        <row r="2887">
          <cell r="A2887" t="str">
            <v>M0024-XL</v>
          </cell>
          <cell r="B2887" t="str">
            <v>M24</v>
          </cell>
          <cell r="C2887" t="str">
            <v>แขนสั้นขายาว little Ryan-little Muzi Honey Yuzu XL</v>
          </cell>
          <cell r="E2887">
            <v>0</v>
          </cell>
          <cell r="F2887">
            <v>890</v>
          </cell>
        </row>
        <row r="2888">
          <cell r="A2888" t="str">
            <v>M0025-2XL</v>
          </cell>
          <cell r="B2888" t="str">
            <v>M25</v>
          </cell>
          <cell r="C2888" t="str">
            <v>แขนยาวขายาว little Ryan-little Muzi Honey Yuzu 2XL</v>
          </cell>
          <cell r="E2888">
            <v>0</v>
          </cell>
          <cell r="F2888">
            <v>990</v>
          </cell>
        </row>
        <row r="2889">
          <cell r="A2889" t="str">
            <v>M0025-3XL</v>
          </cell>
          <cell r="B2889" t="str">
            <v>M25</v>
          </cell>
          <cell r="C2889" t="str">
            <v>สินค้าใหม่ 25 3XL</v>
          </cell>
          <cell r="E2889">
            <v>0</v>
          </cell>
          <cell r="F2889">
            <v>890</v>
          </cell>
        </row>
        <row r="2890">
          <cell r="A2890" t="str">
            <v>M0025-L</v>
          </cell>
          <cell r="B2890" t="str">
            <v>M25</v>
          </cell>
          <cell r="C2890" t="str">
            <v>แขนยาวขายาว little Ryan-little Muzi Honey Yuzu L</v>
          </cell>
          <cell r="E2890">
            <v>0</v>
          </cell>
          <cell r="F2890">
            <v>990</v>
          </cell>
        </row>
        <row r="2891">
          <cell r="A2891" t="str">
            <v>M0025-M</v>
          </cell>
          <cell r="B2891" t="str">
            <v>M25</v>
          </cell>
          <cell r="C2891" t="str">
            <v>แขนยาวขายาว little Ryan-little Muzi Honey Yuzu M</v>
          </cell>
          <cell r="E2891">
            <v>0</v>
          </cell>
          <cell r="F2891">
            <v>990</v>
          </cell>
        </row>
        <row r="2892">
          <cell r="A2892" t="str">
            <v>M0025-S</v>
          </cell>
          <cell r="B2892" t="str">
            <v>M25</v>
          </cell>
          <cell r="C2892" t="str">
            <v>แขนยาวขายาว little Ryan-little Muzi Honey Yuzu S</v>
          </cell>
          <cell r="E2892">
            <v>0</v>
          </cell>
          <cell r="F2892">
            <v>990</v>
          </cell>
        </row>
        <row r="2893">
          <cell r="A2893" t="str">
            <v>M0025-XL</v>
          </cell>
          <cell r="B2893" t="str">
            <v>M25</v>
          </cell>
          <cell r="C2893" t="str">
            <v>แขนยาวขายาว little Ryan-little Muzi Honey Yuzu XL</v>
          </cell>
          <cell r="E2893">
            <v>0</v>
          </cell>
          <cell r="F2893">
            <v>990</v>
          </cell>
        </row>
        <row r="2894">
          <cell r="A2894" t="str">
            <v>M0026-2XL</v>
          </cell>
          <cell r="B2894" t="str">
            <v>M26</v>
          </cell>
          <cell r="C2894" t="str">
            <v>แขนสั้นขายาว little Ryan-little Apeach Pink Milk 2XL</v>
          </cell>
          <cell r="E2894">
            <v>0</v>
          </cell>
          <cell r="F2894">
            <v>890</v>
          </cell>
        </row>
        <row r="2895">
          <cell r="A2895" t="str">
            <v>M0026-3XL</v>
          </cell>
          <cell r="B2895" t="str">
            <v>M26</v>
          </cell>
          <cell r="C2895" t="str">
            <v>สินค้าใหม่ 26 3XL</v>
          </cell>
          <cell r="E2895">
            <v>0</v>
          </cell>
          <cell r="F2895">
            <v>890</v>
          </cell>
        </row>
        <row r="2896">
          <cell r="A2896" t="str">
            <v>M0026-L</v>
          </cell>
          <cell r="B2896" t="str">
            <v>M26</v>
          </cell>
          <cell r="C2896" t="str">
            <v>แขนสั้นขายาว little Ryan-little Apeach Pink Milk L</v>
          </cell>
          <cell r="E2896">
            <v>0</v>
          </cell>
          <cell r="F2896">
            <v>890</v>
          </cell>
        </row>
        <row r="2897">
          <cell r="A2897" t="str">
            <v>M0026-M</v>
          </cell>
          <cell r="B2897" t="str">
            <v>M26</v>
          </cell>
          <cell r="C2897" t="str">
            <v>แขนสั้นขายาว little Ryan-little Apeach Pink Milk M</v>
          </cell>
          <cell r="E2897">
            <v>0</v>
          </cell>
          <cell r="F2897">
            <v>890</v>
          </cell>
        </row>
        <row r="2898">
          <cell r="A2898" t="str">
            <v>M0026-S</v>
          </cell>
          <cell r="B2898" t="str">
            <v>M26</v>
          </cell>
          <cell r="C2898" t="str">
            <v>แขนสั้นขายาว little Ryan-little Apeach Pink Milk S</v>
          </cell>
          <cell r="E2898">
            <v>0</v>
          </cell>
          <cell r="F2898">
            <v>890</v>
          </cell>
        </row>
        <row r="2899">
          <cell r="A2899" t="str">
            <v>M0026-XL</v>
          </cell>
          <cell r="B2899" t="str">
            <v>M26</v>
          </cell>
          <cell r="C2899" t="str">
            <v>แขนสั้นขายาว little Ryan-little Apeach Pink Milk XL</v>
          </cell>
          <cell r="E2899">
            <v>0</v>
          </cell>
          <cell r="F2899">
            <v>890</v>
          </cell>
        </row>
        <row r="2900">
          <cell r="A2900" t="str">
            <v>M0027-2XL</v>
          </cell>
          <cell r="B2900" t="str">
            <v>M27</v>
          </cell>
          <cell r="C2900" t="str">
            <v>แขนยาวขายาว little Ryan-little Apeach Pink Milk 2XL</v>
          </cell>
          <cell r="E2900">
            <v>0</v>
          </cell>
          <cell r="F2900">
            <v>990</v>
          </cell>
        </row>
        <row r="2901">
          <cell r="A2901" t="str">
            <v>M0027-3XL</v>
          </cell>
          <cell r="B2901" t="str">
            <v>M27</v>
          </cell>
          <cell r="C2901" t="str">
            <v>สินค้าใหม่ 27 3XL</v>
          </cell>
          <cell r="E2901">
            <v>0</v>
          </cell>
          <cell r="F2901">
            <v>890</v>
          </cell>
        </row>
        <row r="2902">
          <cell r="A2902" t="str">
            <v>M0027-L</v>
          </cell>
          <cell r="B2902" t="str">
            <v>M27</v>
          </cell>
          <cell r="C2902" t="str">
            <v>แขนยาวขายาว little Ryan-little Apeach Pink Milk L</v>
          </cell>
          <cell r="E2902">
            <v>0</v>
          </cell>
          <cell r="F2902">
            <v>990</v>
          </cell>
        </row>
        <row r="2903">
          <cell r="A2903" t="str">
            <v>M0027-M</v>
          </cell>
          <cell r="B2903" t="str">
            <v>M27</v>
          </cell>
          <cell r="C2903" t="str">
            <v>แขนยาวขายาว little Ryan-little Apeach Pink Milk M</v>
          </cell>
          <cell r="E2903">
            <v>0</v>
          </cell>
          <cell r="F2903">
            <v>990</v>
          </cell>
        </row>
        <row r="2904">
          <cell r="A2904" t="str">
            <v>M0027-S</v>
          </cell>
          <cell r="B2904" t="str">
            <v>M27</v>
          </cell>
          <cell r="C2904" t="str">
            <v>แขนยาวขายาว little Ryan-little Apeach Pink Milk S</v>
          </cell>
          <cell r="E2904">
            <v>0</v>
          </cell>
          <cell r="F2904">
            <v>990</v>
          </cell>
        </row>
        <row r="2905">
          <cell r="A2905" t="str">
            <v>M0027-XL</v>
          </cell>
          <cell r="B2905" t="str">
            <v>M27</v>
          </cell>
          <cell r="C2905" t="str">
            <v>แขนยาวขายาว little Ryan-little Apeach Pink Milk XL</v>
          </cell>
          <cell r="E2905">
            <v>0</v>
          </cell>
          <cell r="F2905">
            <v>990</v>
          </cell>
        </row>
        <row r="2906">
          <cell r="A2906" t="str">
            <v>M0028-2XL</v>
          </cell>
          <cell r="B2906" t="str">
            <v>M28</v>
          </cell>
          <cell r="C2906" t="str">
            <v>แขนสั้นขายาว little Ryan-little Apeach Bubblegum 2XL</v>
          </cell>
          <cell r="E2906">
            <v>0</v>
          </cell>
          <cell r="F2906">
            <v>890</v>
          </cell>
        </row>
        <row r="2907">
          <cell r="A2907" t="str">
            <v>M0028-3XL</v>
          </cell>
          <cell r="B2907" t="str">
            <v>M28</v>
          </cell>
          <cell r="C2907" t="str">
            <v>สินค้าใหม่ 28 3XL</v>
          </cell>
          <cell r="E2907">
            <v>0</v>
          </cell>
          <cell r="F2907">
            <v>890</v>
          </cell>
        </row>
        <row r="2908">
          <cell r="A2908" t="str">
            <v>M0028-L</v>
          </cell>
          <cell r="B2908" t="str">
            <v>M28</v>
          </cell>
          <cell r="C2908" t="str">
            <v>แขนสั้นขายาว little Ryan-little Apeach Bubblegum L</v>
          </cell>
          <cell r="E2908">
            <v>0</v>
          </cell>
          <cell r="F2908">
            <v>890</v>
          </cell>
        </row>
        <row r="2909">
          <cell r="A2909" t="str">
            <v>M0028-M</v>
          </cell>
          <cell r="B2909" t="str">
            <v>M28</v>
          </cell>
          <cell r="C2909" t="str">
            <v>แขนสั้นขายาว little Ryan-little Apeach Bubblegum M</v>
          </cell>
          <cell r="E2909">
            <v>0</v>
          </cell>
          <cell r="F2909">
            <v>890</v>
          </cell>
        </row>
        <row r="2910">
          <cell r="A2910" t="str">
            <v>M0028-S</v>
          </cell>
          <cell r="B2910" t="str">
            <v>M28</v>
          </cell>
          <cell r="C2910" t="str">
            <v>แขนสั้นขายาว little Ryan-little Apeach Bubblegum S</v>
          </cell>
          <cell r="E2910">
            <v>0</v>
          </cell>
          <cell r="F2910">
            <v>890</v>
          </cell>
        </row>
        <row r="2911">
          <cell r="A2911" t="str">
            <v>M0028-XL</v>
          </cell>
          <cell r="B2911" t="str">
            <v>M28</v>
          </cell>
          <cell r="C2911" t="str">
            <v>แขนสั้นขายาว little Ryan-little Apeach Bubblegum XL</v>
          </cell>
          <cell r="E2911">
            <v>0</v>
          </cell>
          <cell r="F2911">
            <v>890</v>
          </cell>
        </row>
        <row r="2912">
          <cell r="A2912" t="str">
            <v>M0029-2XL</v>
          </cell>
          <cell r="B2912" t="str">
            <v>M29</v>
          </cell>
          <cell r="C2912" t="str">
            <v>แขนยาวขายาว little Ryan-little Apeach Bubblegum 2XL</v>
          </cell>
          <cell r="E2912">
            <v>0</v>
          </cell>
          <cell r="F2912">
            <v>990</v>
          </cell>
        </row>
        <row r="2913">
          <cell r="A2913" t="str">
            <v>M0029-L</v>
          </cell>
          <cell r="B2913" t="str">
            <v>M29</v>
          </cell>
          <cell r="C2913" t="str">
            <v>แขนยาวขายาว little Ryan-little Apeach Bubblegum L</v>
          </cell>
          <cell r="E2913">
            <v>0</v>
          </cell>
          <cell r="F2913">
            <v>990</v>
          </cell>
        </row>
        <row r="2914">
          <cell r="A2914" t="str">
            <v>M0029-M</v>
          </cell>
          <cell r="B2914" t="str">
            <v>M29</v>
          </cell>
          <cell r="C2914" t="str">
            <v>แขนยาวขายาว little Ryan-little Apeach Bubblegum M</v>
          </cell>
          <cell r="E2914">
            <v>0</v>
          </cell>
          <cell r="F2914">
            <v>990</v>
          </cell>
        </row>
        <row r="2915">
          <cell r="A2915" t="str">
            <v>M0029-S</v>
          </cell>
          <cell r="B2915" t="str">
            <v>M29</v>
          </cell>
          <cell r="C2915" t="str">
            <v>แขนยาวขายาว little Ryan-little Apeach Bubblegum S</v>
          </cell>
          <cell r="E2915">
            <v>0</v>
          </cell>
          <cell r="F2915">
            <v>990</v>
          </cell>
        </row>
        <row r="2916">
          <cell r="A2916" t="str">
            <v>M0029-XL</v>
          </cell>
          <cell r="B2916" t="str">
            <v>M29</v>
          </cell>
          <cell r="C2916" t="str">
            <v>แขนยาวขายาว little Ryan-little Apeach Bubblegum XL</v>
          </cell>
          <cell r="E2916">
            <v>0</v>
          </cell>
          <cell r="F2916">
            <v>990</v>
          </cell>
        </row>
        <row r="2917">
          <cell r="A2917" t="str">
            <v>M0030-2XL</v>
          </cell>
          <cell r="B2917" t="str">
            <v>M30</v>
          </cell>
          <cell r="C2917" t="str">
            <v>cotton silk แขนสั้นขายาว KID Shinchan Peach 2XL</v>
          </cell>
          <cell r="E2917">
            <v>0</v>
          </cell>
          <cell r="F2917">
            <v>590</v>
          </cell>
        </row>
        <row r="2918">
          <cell r="A2918" t="str">
            <v>M0030-L</v>
          </cell>
          <cell r="B2918" t="str">
            <v>M30</v>
          </cell>
          <cell r="C2918" t="str">
            <v>cotton silk แขนสั้นขายาว KID Shinchan Peach L</v>
          </cell>
          <cell r="E2918">
            <v>0</v>
          </cell>
          <cell r="F2918">
            <v>590</v>
          </cell>
        </row>
        <row r="2919">
          <cell r="A2919" t="str">
            <v>M0030-M</v>
          </cell>
          <cell r="B2919" t="str">
            <v>M30</v>
          </cell>
          <cell r="C2919" t="str">
            <v>cotton silk แขนสั้นขายาว KID Shinchan Peach M</v>
          </cell>
          <cell r="E2919">
            <v>0</v>
          </cell>
          <cell r="F2919">
            <v>590</v>
          </cell>
        </row>
        <row r="2920">
          <cell r="A2920" t="str">
            <v>M0030-S</v>
          </cell>
          <cell r="B2920" t="str">
            <v>M30</v>
          </cell>
          <cell r="C2920" t="str">
            <v>cotton silk แขนสั้นขายาว KID Shinchan Peach S</v>
          </cell>
          <cell r="E2920">
            <v>0</v>
          </cell>
          <cell r="F2920">
            <v>590</v>
          </cell>
        </row>
        <row r="2921">
          <cell r="A2921" t="str">
            <v>M0030-XL</v>
          </cell>
          <cell r="B2921" t="str">
            <v>M30</v>
          </cell>
          <cell r="C2921" t="str">
            <v>cotton silk แขนสั้นขายาว KID Shinchan Peach XL</v>
          </cell>
          <cell r="E2921">
            <v>0</v>
          </cell>
          <cell r="F2921">
            <v>590</v>
          </cell>
        </row>
        <row r="2922">
          <cell r="A2922" t="str">
            <v>M0031-2XL</v>
          </cell>
          <cell r="B2922" t="str">
            <v>M31</v>
          </cell>
          <cell r="C2922" t="str">
            <v>cotton silk แขนยาวขายาว KID Shinchan Peach 2XL</v>
          </cell>
          <cell r="E2922">
            <v>0</v>
          </cell>
          <cell r="F2922">
            <v>690</v>
          </cell>
        </row>
        <row r="2923">
          <cell r="A2923" t="str">
            <v>M0031-L</v>
          </cell>
          <cell r="B2923" t="str">
            <v>M31</v>
          </cell>
          <cell r="C2923" t="str">
            <v>cotton silk แขนยาวขายาว KID Shinchan Peach L</v>
          </cell>
          <cell r="E2923">
            <v>0</v>
          </cell>
          <cell r="F2923">
            <v>690</v>
          </cell>
        </row>
        <row r="2924">
          <cell r="A2924" t="str">
            <v>M0031-M</v>
          </cell>
          <cell r="B2924" t="str">
            <v>M31</v>
          </cell>
          <cell r="C2924" t="str">
            <v>cotton silk แขนยาวขายาว KID Shinchan Peach M</v>
          </cell>
          <cell r="E2924">
            <v>0</v>
          </cell>
          <cell r="F2924">
            <v>690</v>
          </cell>
        </row>
        <row r="2925">
          <cell r="A2925" t="str">
            <v>M0031-S</v>
          </cell>
          <cell r="B2925" t="str">
            <v>M31</v>
          </cell>
          <cell r="C2925" t="str">
            <v>cotton silk แขนยาวขายาว KID Shinchan Peach S</v>
          </cell>
          <cell r="E2925">
            <v>0</v>
          </cell>
          <cell r="F2925">
            <v>690</v>
          </cell>
        </row>
        <row r="2926">
          <cell r="A2926" t="str">
            <v>M0031-XL</v>
          </cell>
          <cell r="B2926" t="str">
            <v>M31</v>
          </cell>
          <cell r="C2926" t="str">
            <v>cotton silk แขนยาวขายาว KID Shinchan Peach XL</v>
          </cell>
          <cell r="E2926">
            <v>0</v>
          </cell>
          <cell r="F2926">
            <v>690</v>
          </cell>
        </row>
        <row r="2927">
          <cell r="A2927" t="str">
            <v>M0032-2XL</v>
          </cell>
          <cell r="B2927" t="str">
            <v>M32</v>
          </cell>
          <cell r="C2927" t="str">
            <v>cotton silk แขนสั้นขายาว KID Shinchan Blurberry 2XL</v>
          </cell>
          <cell r="E2927">
            <v>0</v>
          </cell>
          <cell r="F2927">
            <v>590</v>
          </cell>
        </row>
        <row r="2928">
          <cell r="A2928" t="str">
            <v>M0032-L</v>
          </cell>
          <cell r="B2928" t="str">
            <v>M32</v>
          </cell>
          <cell r="C2928" t="str">
            <v>cotton silk แขนสั้นขายาว KID Shinchan Blurberry L</v>
          </cell>
          <cell r="E2928">
            <v>0</v>
          </cell>
          <cell r="F2928">
            <v>590</v>
          </cell>
        </row>
        <row r="2929">
          <cell r="A2929" t="str">
            <v>M0032-M</v>
          </cell>
          <cell r="B2929" t="str">
            <v>M32</v>
          </cell>
          <cell r="C2929" t="str">
            <v>cotton silk แขนสั้นขายาว KID Shinchan Blurberry M</v>
          </cell>
          <cell r="E2929">
            <v>0</v>
          </cell>
          <cell r="F2929">
            <v>590</v>
          </cell>
        </row>
        <row r="2930">
          <cell r="A2930" t="str">
            <v>M0032-S</v>
          </cell>
          <cell r="B2930" t="str">
            <v>M32</v>
          </cell>
          <cell r="C2930" t="str">
            <v>cotton silk แขนสั้นขายาว KID Shinchan Blurberry S</v>
          </cell>
          <cell r="E2930">
            <v>0</v>
          </cell>
          <cell r="F2930">
            <v>590</v>
          </cell>
        </row>
        <row r="2931">
          <cell r="A2931" t="str">
            <v>M0032-XL</v>
          </cell>
          <cell r="B2931" t="str">
            <v>M32</v>
          </cell>
          <cell r="C2931" t="str">
            <v>cotton silk แขนสั้นขายาว KID Shinchan Blurberry XL</v>
          </cell>
          <cell r="E2931">
            <v>0</v>
          </cell>
          <cell r="F2931">
            <v>590</v>
          </cell>
        </row>
        <row r="2932">
          <cell r="A2932" t="str">
            <v>M0033-2XL</v>
          </cell>
          <cell r="B2932" t="str">
            <v>M33</v>
          </cell>
          <cell r="C2932" t="str">
            <v>cotton silk แขนยาวขายาว KID Shinchan Blurberry 2XL</v>
          </cell>
          <cell r="E2932">
            <v>0</v>
          </cell>
          <cell r="F2932">
            <v>690</v>
          </cell>
        </row>
        <row r="2933">
          <cell r="A2933" t="str">
            <v>M0033-L</v>
          </cell>
          <cell r="B2933" t="str">
            <v>M33</v>
          </cell>
          <cell r="C2933" t="str">
            <v>cotton silk แขนยาวขายาว KID Shinchan Blurberry L</v>
          </cell>
          <cell r="E2933">
            <v>0</v>
          </cell>
          <cell r="F2933">
            <v>690</v>
          </cell>
        </row>
        <row r="2934">
          <cell r="A2934" t="str">
            <v>M0033-M</v>
          </cell>
          <cell r="B2934" t="str">
            <v>M33</v>
          </cell>
          <cell r="C2934" t="str">
            <v>cotton silk แขนยาวขายาว KID Shinchan Blurberry M</v>
          </cell>
          <cell r="E2934">
            <v>0</v>
          </cell>
          <cell r="F2934">
            <v>690</v>
          </cell>
        </row>
        <row r="2935">
          <cell r="A2935" t="str">
            <v>M0033-S</v>
          </cell>
          <cell r="B2935" t="str">
            <v>M33</v>
          </cell>
          <cell r="C2935" t="str">
            <v>cotton silk แขนยาวขายาว KID Shinchan Blurberry S</v>
          </cell>
          <cell r="E2935">
            <v>0</v>
          </cell>
          <cell r="F2935">
            <v>690</v>
          </cell>
        </row>
        <row r="2936">
          <cell r="A2936" t="str">
            <v>M0033-XL</v>
          </cell>
          <cell r="B2936" t="str">
            <v>M33</v>
          </cell>
          <cell r="C2936" t="str">
            <v>cotton silk แขนยาวขายาว KID Shinchan Blurberry XL</v>
          </cell>
          <cell r="E2936">
            <v>0</v>
          </cell>
          <cell r="F2936">
            <v>690</v>
          </cell>
        </row>
        <row r="2937">
          <cell r="A2937" t="str">
            <v>M0034-2XL</v>
          </cell>
          <cell r="B2937" t="str">
            <v>M34</v>
          </cell>
          <cell r="C2937" t="str">
            <v>cotton silk แขนสั้นขายาว KID Shinchan Grape 2XL</v>
          </cell>
          <cell r="E2937">
            <v>0</v>
          </cell>
          <cell r="F2937">
            <v>590</v>
          </cell>
        </row>
        <row r="2938">
          <cell r="A2938" t="str">
            <v>M0034-L</v>
          </cell>
          <cell r="B2938" t="str">
            <v>M34</v>
          </cell>
          <cell r="C2938" t="str">
            <v>cotton silk แขนสั้นขายาว KID Shinchan Grape L</v>
          </cell>
          <cell r="E2938">
            <v>0</v>
          </cell>
          <cell r="F2938">
            <v>590</v>
          </cell>
        </row>
        <row r="2939">
          <cell r="A2939" t="str">
            <v>M0034-M</v>
          </cell>
          <cell r="B2939" t="str">
            <v>M34</v>
          </cell>
          <cell r="C2939" t="str">
            <v>cotton silk แขนสั้นขายาว KID Shinchan Grape M</v>
          </cell>
          <cell r="E2939">
            <v>0</v>
          </cell>
          <cell r="F2939">
            <v>590</v>
          </cell>
        </row>
        <row r="2940">
          <cell r="A2940" t="str">
            <v>M0034-S</v>
          </cell>
          <cell r="B2940" t="str">
            <v>M34</v>
          </cell>
          <cell r="C2940" t="str">
            <v>cotton silk แขนสั้นขายาว KID Shinchan Grape S</v>
          </cell>
          <cell r="E2940">
            <v>0</v>
          </cell>
          <cell r="F2940">
            <v>590</v>
          </cell>
        </row>
        <row r="2941">
          <cell r="A2941" t="str">
            <v>M0034-XL</v>
          </cell>
          <cell r="B2941" t="str">
            <v>M34</v>
          </cell>
          <cell r="C2941" t="str">
            <v>cotton silk แขนสั้นขายาว KID Shinchan Grape XL</v>
          </cell>
          <cell r="E2941">
            <v>0</v>
          </cell>
          <cell r="F2941">
            <v>590</v>
          </cell>
        </row>
        <row r="2942">
          <cell r="A2942" t="str">
            <v>M0035-2XL</v>
          </cell>
          <cell r="B2942" t="str">
            <v>M35</v>
          </cell>
          <cell r="C2942" t="str">
            <v>cotton silk แขนยาวขายาว KID Shinchan Grape 2XL</v>
          </cell>
          <cell r="E2942">
            <v>0</v>
          </cell>
          <cell r="F2942">
            <v>690</v>
          </cell>
        </row>
        <row r="2943">
          <cell r="A2943" t="str">
            <v>M0035-L</v>
          </cell>
          <cell r="B2943" t="str">
            <v>M35</v>
          </cell>
          <cell r="C2943" t="str">
            <v>cotton silk แขนยาวขายาว KID Shinchan Grape L</v>
          </cell>
          <cell r="E2943">
            <v>0</v>
          </cell>
          <cell r="F2943">
            <v>690</v>
          </cell>
        </row>
        <row r="2944">
          <cell r="A2944" t="str">
            <v>M0035-M</v>
          </cell>
          <cell r="B2944" t="str">
            <v>M35</v>
          </cell>
          <cell r="C2944" t="str">
            <v>cotton silk แขนยาวขายาว KID Shinchan Grape M</v>
          </cell>
          <cell r="E2944">
            <v>0</v>
          </cell>
          <cell r="F2944">
            <v>690</v>
          </cell>
        </row>
        <row r="2945">
          <cell r="A2945" t="str">
            <v>M0035-S</v>
          </cell>
          <cell r="B2945" t="str">
            <v>M35</v>
          </cell>
          <cell r="C2945" t="str">
            <v>cotton silk แขนยาวขายาว KID Shinchan Grape S</v>
          </cell>
          <cell r="E2945">
            <v>0</v>
          </cell>
          <cell r="F2945">
            <v>690</v>
          </cell>
        </row>
        <row r="2946">
          <cell r="A2946" t="str">
            <v>M0035-XL</v>
          </cell>
          <cell r="B2946" t="str">
            <v>M35</v>
          </cell>
          <cell r="C2946" t="str">
            <v>cotton silk แขนยาวขายาว KID Shinchan Grape XL</v>
          </cell>
          <cell r="E2946">
            <v>0</v>
          </cell>
          <cell r="F2946">
            <v>690</v>
          </cell>
        </row>
        <row r="2947">
          <cell r="A2947" t="str">
            <v>MA0017-M</v>
          </cell>
          <cell r="B2947" t="str">
            <v>MA17</v>
          </cell>
          <cell r="C2947" t="str">
            <v>เยื่อไผ่ สั้นสั้น ใบไม้ขาว พื้นกรม M QC</v>
          </cell>
          <cell r="E2947">
            <v>0</v>
          </cell>
          <cell r="F2947">
            <v>490</v>
          </cell>
        </row>
        <row r="2948">
          <cell r="A2948" t="str">
            <v>MA0031-M</v>
          </cell>
          <cell r="B2948" t="str">
            <v>MA31</v>
          </cell>
          <cell r="C2948" t="str">
            <v>เยื่อไผ่ สั้นสั้น ชบาขาว พื้นม่วง M หลุด QC</v>
          </cell>
          <cell r="E2948">
            <v>0</v>
          </cell>
          <cell r="F2948">
            <v>490</v>
          </cell>
        </row>
        <row r="2949">
          <cell r="A2949" t="str">
            <v>MA0031-XL</v>
          </cell>
          <cell r="B2949" t="str">
            <v>MA31</v>
          </cell>
          <cell r="C2949" t="str">
            <v>เยื่อไผ่ สั้นสั้น ชบาขาว พื้นม่วง XL</v>
          </cell>
          <cell r="E2949">
            <v>0</v>
          </cell>
          <cell r="F2949">
            <v>490</v>
          </cell>
        </row>
        <row r="2950">
          <cell r="A2950" t="str">
            <v>MA0040-L</v>
          </cell>
          <cell r="B2950" t="str">
            <v>MA40</v>
          </cell>
          <cell r="C2950" t="str">
            <v>เยื่อไผ่ สั้นสั้น ดอกไม้เหลือง พื้นดำ L</v>
          </cell>
          <cell r="E2950">
            <v>0</v>
          </cell>
          <cell r="F2950">
            <v>490</v>
          </cell>
        </row>
        <row r="2951">
          <cell r="A2951" t="str">
            <v>MA0063-L</v>
          </cell>
          <cell r="B2951" t="str">
            <v>MA63</v>
          </cell>
          <cell r="C2951" t="str">
            <v>เยื่อไผ่ สั้นสั้น ชบาขาว พื้นเขียว L หลุด QC</v>
          </cell>
          <cell r="E2951">
            <v>0</v>
          </cell>
          <cell r="F2951">
            <v>999</v>
          </cell>
        </row>
        <row r="2952">
          <cell r="A2952" t="str">
            <v>MA0104-M</v>
          </cell>
          <cell r="B2952" t="str">
            <v>MA104</v>
          </cell>
          <cell r="C2952" t="str">
            <v>เยื่อไผ่ สั้นสั้น สตอเบอร์เล็ก พื้นชมพู M หลุด QC</v>
          </cell>
          <cell r="E2952">
            <v>0</v>
          </cell>
          <cell r="F2952">
            <v>390</v>
          </cell>
        </row>
        <row r="2953">
          <cell r="A2953" t="str">
            <v>MA0119-M</v>
          </cell>
          <cell r="B2953" t="str">
            <v>ก17</v>
          </cell>
          <cell r="C2953" t="str">
            <v>เยื่อไผ่ สั้นสั้น กระรอก ใบไม้ พื้นกรม M</v>
          </cell>
          <cell r="E2953">
            <v>0</v>
          </cell>
          <cell r="F2953">
            <v>390</v>
          </cell>
        </row>
        <row r="2954">
          <cell r="A2954" t="str">
            <v>MA0129-L</v>
          </cell>
          <cell r="B2954" t="str">
            <v>ป2</v>
          </cell>
          <cell r="C2954" t="str">
            <v>เยื่อไผ่ สั้นสั้น คอวี ใบไม้น้ำตาลเข้ม L</v>
          </cell>
          <cell r="E2954">
            <v>0</v>
          </cell>
          <cell r="F2954">
            <v>390</v>
          </cell>
        </row>
        <row r="2955">
          <cell r="A2955" t="str">
            <v>MA0129-M</v>
          </cell>
          <cell r="B2955" t="str">
            <v>ป3</v>
          </cell>
          <cell r="C2955" t="str">
            <v>เยื่อไผ่ สั้นสั้น คอวี ใบไม้น้ำตาลเข้ม M</v>
          </cell>
          <cell r="E2955">
            <v>0</v>
          </cell>
          <cell r="F2955">
            <v>390</v>
          </cell>
        </row>
        <row r="2956">
          <cell r="A2956" t="str">
            <v>MA0130-L</v>
          </cell>
          <cell r="B2956" t="str">
            <v>ป4</v>
          </cell>
          <cell r="C2956" t="str">
            <v>เยื่อไผ่ สั้นสั้น คอวี ใบไม้เขียว L</v>
          </cell>
          <cell r="E2956">
            <v>0</v>
          </cell>
          <cell r="F2956">
            <v>390</v>
          </cell>
        </row>
        <row r="2957">
          <cell r="A2957" t="str">
            <v>MA0136-XL</v>
          </cell>
          <cell r="B2957" t="str">
            <v>MA136</v>
          </cell>
          <cell r="C2957" t="str">
            <v>เยื่อไผ่ สั้นสั้น หัวใจเทา พื้นโอรส XL</v>
          </cell>
          <cell r="E2957">
            <v>0</v>
          </cell>
          <cell r="F2957">
            <v>0</v>
          </cell>
        </row>
        <row r="2958">
          <cell r="A2958" t="str">
            <v>MA0165-5XL</v>
          </cell>
          <cell r="B2958" t="str">
            <v>MA165</v>
          </cell>
          <cell r="C2958" t="str">
            <v>เยื่อไผ่ สั้นสั้น PineApple พื้นฟ้า 5XL หลุด QC</v>
          </cell>
          <cell r="E2958">
            <v>0</v>
          </cell>
          <cell r="F2958">
            <v>999</v>
          </cell>
        </row>
        <row r="2959">
          <cell r="A2959" t="str">
            <v>MA0176-L</v>
          </cell>
          <cell r="B2959" t="str">
            <v>MA176</v>
          </cell>
          <cell r="C2959" t="str">
            <v>ซาติน สั้นสั้น พื้นครีม หัวใจ ขอบชมพู L</v>
          </cell>
          <cell r="E2959">
            <v>0</v>
          </cell>
          <cell r="F2959">
            <v>590</v>
          </cell>
        </row>
        <row r="2960">
          <cell r="A2960" t="str">
            <v>MA0176-XL</v>
          </cell>
          <cell r="B2960" t="str">
            <v>MA176</v>
          </cell>
          <cell r="C2960" t="str">
            <v>ซาติน สั้นสั้น พื้นครีม หัวใจ ขอบชมพู XL หลุด QC</v>
          </cell>
          <cell r="E2960">
            <v>0</v>
          </cell>
          <cell r="F2960">
            <v>590</v>
          </cell>
        </row>
        <row r="2961">
          <cell r="A2961" t="str">
            <v>MA0181-M</v>
          </cell>
          <cell r="B2961" t="str">
            <v>MA181</v>
          </cell>
          <cell r="C2961" t="str">
            <v>เยื่อไผ่ สั้นสั้น ใบไม้หลาก เขียว ชมพู M QC</v>
          </cell>
          <cell r="E2961">
            <v>0</v>
          </cell>
          <cell r="F2961">
            <v>390</v>
          </cell>
        </row>
        <row r="2962">
          <cell r="A2962" t="str">
            <v>MA0182-M</v>
          </cell>
          <cell r="B2962" t="str">
            <v>MA182</v>
          </cell>
          <cell r="C2962" t="str">
            <v>เยื่อไผ่ สั้นสั้น ดอกไม้ Tropical ทานตะวัน พื้นเหลืองอ่อน M</v>
          </cell>
          <cell r="E2962">
            <v>0</v>
          </cell>
          <cell r="F2962">
            <v>0</v>
          </cell>
        </row>
        <row r="2963">
          <cell r="A2963" t="str">
            <v>MA0182-XL</v>
          </cell>
          <cell r="B2963" t="str">
            <v>MA182</v>
          </cell>
          <cell r="C2963" t="str">
            <v>เยื่อไผ่ สั้นสั้น ดอกไม้ Tropical ทานตะวัน พื้นเหลืองอ่อน XL</v>
          </cell>
          <cell r="E2963">
            <v>0</v>
          </cell>
          <cell r="F2963">
            <v>0</v>
          </cell>
        </row>
        <row r="2964">
          <cell r="A2964" t="str">
            <v>MA0191-XL</v>
          </cell>
          <cell r="B2964" t="str">
            <v>MA191</v>
          </cell>
          <cell r="C2964" t="str">
            <v>เยื่อไผ่ สั้นสั้น พื้นเหลือง ดอกไม้ขาวเหลือง XL หลุด QC</v>
          </cell>
          <cell r="E2964">
            <v>0</v>
          </cell>
          <cell r="F2964">
            <v>0</v>
          </cell>
        </row>
        <row r="2965">
          <cell r="A2965" t="str">
            <v>MA0193-M</v>
          </cell>
          <cell r="B2965" t="str">
            <v>MA193</v>
          </cell>
          <cell r="C2965" t="str">
            <v>เยื่อไผ่ สั้นสั้น สตรอว์เบอร์รี่ พื้นกรม M หลุด QC</v>
          </cell>
          <cell r="E2965">
            <v>0</v>
          </cell>
          <cell r="F2965">
            <v>390</v>
          </cell>
        </row>
        <row r="2966">
          <cell r="A2966" t="str">
            <v>MA0193-XL</v>
          </cell>
          <cell r="B2966" t="str">
            <v>MA193</v>
          </cell>
          <cell r="C2966" t="str">
            <v>เยื่อไผ่ สั้นสั้น สตรอว์เบอร์รี่ พื้นกรม XL หลุด QC</v>
          </cell>
          <cell r="E2966">
            <v>0</v>
          </cell>
          <cell r="F2966">
            <v>999</v>
          </cell>
        </row>
        <row r="2967">
          <cell r="A2967" t="str">
            <v>MA0194-L</v>
          </cell>
          <cell r="B2967" t="str">
            <v>MA194</v>
          </cell>
          <cell r="C2967" t="str">
            <v>เยื่อไผ่ สั้นสั้น พื้นขาวเลม่อนเหลือง L</v>
          </cell>
          <cell r="E2967">
            <v>0</v>
          </cell>
          <cell r="F2967">
            <v>0</v>
          </cell>
        </row>
        <row r="2968">
          <cell r="A2968" t="str">
            <v>MA0194-M</v>
          </cell>
          <cell r="B2968" t="str">
            <v>MA194</v>
          </cell>
          <cell r="C2968" t="str">
            <v>เยื่อไผ่ สั้นสั้น พื้นขาวเลม่อนเหลือง M หลุด QC</v>
          </cell>
          <cell r="E2968">
            <v>0</v>
          </cell>
          <cell r="F2968">
            <v>999</v>
          </cell>
        </row>
        <row r="2969">
          <cell r="A2969" t="str">
            <v>MA0196-L</v>
          </cell>
          <cell r="B2969" t="str">
            <v>MA196</v>
          </cell>
          <cell r="C2969" t="str">
            <v>เยื่อไผ่ สั้นสั้น พื้นนู้ด ดอกไม้น้ำเงิน L หลุด QC</v>
          </cell>
          <cell r="E2969">
            <v>0</v>
          </cell>
          <cell r="F2969">
            <v>0</v>
          </cell>
        </row>
        <row r="2970">
          <cell r="A2970" t="str">
            <v>MA0196-M</v>
          </cell>
          <cell r="B2970" t="str">
            <v>MA196</v>
          </cell>
          <cell r="C2970" t="str">
            <v>เยื่อไผ่ สั้นสั้น พื้นนู้ด ดอกไม้น้ำเงิน M หลุด QC</v>
          </cell>
          <cell r="E2970">
            <v>0</v>
          </cell>
          <cell r="F2970">
            <v>0</v>
          </cell>
        </row>
        <row r="2971">
          <cell r="A2971" t="str">
            <v>MA0196-XL</v>
          </cell>
          <cell r="B2971" t="str">
            <v>MA196</v>
          </cell>
          <cell r="C2971" t="str">
            <v>เยื่อไผ่ สั้นสั้น พื้นนู้ด ดอกไม้น้ำเงิน XL หลุด QC</v>
          </cell>
          <cell r="E2971">
            <v>0</v>
          </cell>
          <cell r="F2971">
            <v>0</v>
          </cell>
        </row>
        <row r="2972">
          <cell r="A2972" t="str">
            <v>MA0202-L</v>
          </cell>
          <cell r="B2972" t="str">
            <v>MA202</v>
          </cell>
          <cell r="C2972" t="str">
            <v>เยื่อไผ่ สั้นสั้น ตุ๊กตาหมี พื้นดำ L หลุด QC</v>
          </cell>
          <cell r="E2972">
            <v>0</v>
          </cell>
          <cell r="F2972">
            <v>999</v>
          </cell>
        </row>
        <row r="2973">
          <cell r="A2973" t="str">
            <v>MA0203-XL</v>
          </cell>
          <cell r="B2973" t="str">
            <v>MA203</v>
          </cell>
          <cell r="C2973" t="str">
            <v>เยื่อไผ่ สั้นสั้น พื้นชมพู ลูกพีช XL หลุด QC</v>
          </cell>
          <cell r="E2973">
            <v>0</v>
          </cell>
          <cell r="F2973">
            <v>999</v>
          </cell>
        </row>
        <row r="2974">
          <cell r="A2974" t="str">
            <v>MA0204-2XL</v>
          </cell>
          <cell r="B2974" t="str">
            <v>MA204</v>
          </cell>
          <cell r="C2974" t="str">
            <v>เยื่อไผ่ สั้นสั้น สัปปะรด พื้นชมพู 2XL หลุด QC</v>
          </cell>
          <cell r="E2974">
            <v>0</v>
          </cell>
          <cell r="F2974">
            <v>999</v>
          </cell>
        </row>
        <row r="2975">
          <cell r="A2975" t="str">
            <v>MA0205-XL</v>
          </cell>
          <cell r="B2975" t="str">
            <v>MA205</v>
          </cell>
          <cell r="C2975" t="str">
            <v>เยื่อไผ่ สั้นสั้น Musical พื้นชมพู XL หลุด QC</v>
          </cell>
          <cell r="E2975">
            <v>0</v>
          </cell>
          <cell r="F2975">
            <v>999</v>
          </cell>
        </row>
        <row r="2976">
          <cell r="A2976" t="str">
            <v>MA0212-2XL</v>
          </cell>
          <cell r="B2976" t="str">
            <v>MA212</v>
          </cell>
          <cell r="C2976" t="str">
            <v>เยื่อไผ่ สั้นสั้น Little Cow พิ้นเหลือง 2XL หลุด QC</v>
          </cell>
          <cell r="E2976">
            <v>0</v>
          </cell>
          <cell r="F2976">
            <v>999</v>
          </cell>
        </row>
        <row r="2977">
          <cell r="A2977" t="str">
            <v>MA0218-2XL</v>
          </cell>
          <cell r="B2977" t="str">
            <v>MA218</v>
          </cell>
          <cell r="C2977" t="str">
            <v>ซาติน สั้นสั้น พื้นเทา ซากุระขาว 2XL หลุด QC</v>
          </cell>
          <cell r="E2977">
            <v>0</v>
          </cell>
          <cell r="F2977">
            <v>999</v>
          </cell>
        </row>
        <row r="2978">
          <cell r="A2978" t="str">
            <v>MA0253-XL</v>
          </cell>
          <cell r="B2978" t="str">
            <v>MA253</v>
          </cell>
          <cell r="C2978" t="str">
            <v>เยื่อไผ่ สั้นสั้น สนูปปี้บอย พื้นกรม XL QC</v>
          </cell>
          <cell r="E2978">
            <v>0</v>
          </cell>
          <cell r="F2978">
            <v>0</v>
          </cell>
        </row>
        <row r="2979">
          <cell r="A2979" t="str">
            <v>MA0279-M</v>
          </cell>
          <cell r="B2979" t="str">
            <v>MA279</v>
          </cell>
          <cell r="C2979" t="str">
            <v>เยื่อไผ่ สั้นสั้น หัวใจม่วง ขอบขาว พื้นชมพู M หลุด QC</v>
          </cell>
          <cell r="E2979">
            <v>0</v>
          </cell>
          <cell r="F2979">
            <v>999</v>
          </cell>
        </row>
        <row r="2980">
          <cell r="A2980" t="str">
            <v>MA0282-L</v>
          </cell>
          <cell r="B2980" t="str">
            <v>MA282</v>
          </cell>
          <cell r="C2980" t="str">
            <v>เยื่อไผ่ สั้นสั้น บัวชมพู สี่กลีบ พื้นฟ้า L หลุด QC</v>
          </cell>
          <cell r="E2980">
            <v>0</v>
          </cell>
          <cell r="F2980">
            <v>999</v>
          </cell>
        </row>
        <row r="2981">
          <cell r="A2981" t="str">
            <v>MA0320-L</v>
          </cell>
          <cell r="B2981" t="str">
            <v>MA320</v>
          </cell>
          <cell r="C2981" t="str">
            <v>เยื่อไผ่ สั้นสั้น ดอกชม พื้นม่วง L QC</v>
          </cell>
          <cell r="E2981">
            <v>0</v>
          </cell>
          <cell r="F2981">
            <v>390</v>
          </cell>
        </row>
        <row r="2982">
          <cell r="A2982" t="str">
            <v>MA0322-XL</v>
          </cell>
          <cell r="B2982" t="str">
            <v>MA322</v>
          </cell>
          <cell r="C2982" t="str">
            <v>เยื่อไผ่ สั้นสั้น ดอกไม้หลากสี พื้นดำ XL QC</v>
          </cell>
          <cell r="E2982">
            <v>0</v>
          </cell>
          <cell r="F2982">
            <v>390</v>
          </cell>
        </row>
        <row r="2983">
          <cell r="A2983" t="str">
            <v>MA0323-M</v>
          </cell>
          <cell r="B2983" t="str">
            <v>ก10</v>
          </cell>
          <cell r="C2983" t="str">
            <v>เยื่อไผ่ สั้นสั้น ลูกพีช พื้นฟ้า M</v>
          </cell>
          <cell r="E2983">
            <v>0</v>
          </cell>
          <cell r="F2983">
            <v>390</v>
          </cell>
        </row>
        <row r="2984">
          <cell r="A2984" t="str">
            <v>MA0330-2XL</v>
          </cell>
          <cell r="B2984" t="str">
            <v>MA330</v>
          </cell>
          <cell r="C2984" t="str">
            <v>เยื่อไผ่ สั้นสั้น ลูกพีช พื้นเขียวทะเล 2XL QC</v>
          </cell>
          <cell r="E2984">
            <v>0</v>
          </cell>
          <cell r="F2984">
            <v>390</v>
          </cell>
        </row>
        <row r="2985">
          <cell r="A2985" t="str">
            <v>MA0339-M</v>
          </cell>
          <cell r="B2985" t="str">
            <v>MA339</v>
          </cell>
          <cell r="C2985" t="str">
            <v>เยื่อไผ่ สั้นสั้น หน้ากระต่ายขาว พื้นชมพู M QC</v>
          </cell>
          <cell r="E2985">
            <v>0</v>
          </cell>
          <cell r="F2985">
            <v>390</v>
          </cell>
        </row>
        <row r="2986">
          <cell r="A2986" t="str">
            <v>MA0341-XL</v>
          </cell>
          <cell r="B2986" t="str">
            <v>MA341</v>
          </cell>
          <cell r="C2986" t="str">
            <v>เยื่อไผ่ สั้นสั้น แมวแฟชั่น พื้นเทา XL QC</v>
          </cell>
          <cell r="E2986">
            <v>0</v>
          </cell>
          <cell r="F2986">
            <v>390</v>
          </cell>
        </row>
        <row r="2987">
          <cell r="A2987" t="str">
            <v>MA0342-M</v>
          </cell>
          <cell r="B2987" t="str">
            <v>MA342</v>
          </cell>
          <cell r="C2987" t="str">
            <v>เยื่อไผ่ สั้นสั้น แมวแฟชั่น พื้นชมพู M QC</v>
          </cell>
          <cell r="E2987">
            <v>0</v>
          </cell>
          <cell r="F2987">
            <v>390</v>
          </cell>
        </row>
        <row r="2988">
          <cell r="A2988" t="str">
            <v>MA0345-L</v>
          </cell>
          <cell r="B2988" t="str">
            <v>MA345</v>
          </cell>
          <cell r="C2988" t="str">
            <v>เยื่อไผ่ สั้นสั้น หมีพื้นเทา L QC</v>
          </cell>
          <cell r="E2988">
            <v>0</v>
          </cell>
          <cell r="F2988">
            <v>390</v>
          </cell>
        </row>
        <row r="2989">
          <cell r="A2989" t="str">
            <v>MA0347-M</v>
          </cell>
          <cell r="B2989" t="str">
            <v>MA347</v>
          </cell>
          <cell r="C2989" t="str">
            <v>เยื่อไผ่ สั้นสั้น ดอกท้อ พื้นเทา M QC</v>
          </cell>
          <cell r="E2989">
            <v>0</v>
          </cell>
          <cell r="F2989">
            <v>0</v>
          </cell>
        </row>
        <row r="2990">
          <cell r="A2990" t="str">
            <v>MA0350-XL</v>
          </cell>
          <cell r="B2990" t="str">
            <v>MA350</v>
          </cell>
          <cell r="C2990" t="str">
            <v>เยื่อไผ่ สั้นสั้น ทิวลิปม่วง XL</v>
          </cell>
          <cell r="E2990">
            <v>0</v>
          </cell>
          <cell r="F2990">
            <v>0</v>
          </cell>
        </row>
        <row r="2991">
          <cell r="A2991" t="str">
            <v>MA0356-L</v>
          </cell>
          <cell r="B2991" t="str">
            <v>MA356</v>
          </cell>
          <cell r="C2991" t="str">
            <v>เยื่อไผ่ สั้นสั้น ลูกพีช พื้นเขียวมินท์ L</v>
          </cell>
          <cell r="E2991">
            <v>0</v>
          </cell>
          <cell r="F2991">
            <v>0</v>
          </cell>
        </row>
        <row r="2992">
          <cell r="A2992" t="str">
            <v>MA0358-XL</v>
          </cell>
          <cell r="B2992" t="str">
            <v>MA358</v>
          </cell>
          <cell r="C2992" t="str">
            <v>เยื่อไผ่ สั้นสั้น ใบตองม่วง พื้นเขียว XL</v>
          </cell>
          <cell r="E2992">
            <v>0</v>
          </cell>
          <cell r="F2992">
            <v>0</v>
          </cell>
        </row>
        <row r="2993">
          <cell r="A2993" t="str">
            <v>MA0363-L</v>
          </cell>
          <cell r="B2993" t="str">
            <v>MA363</v>
          </cell>
          <cell r="C2993" t="str">
            <v>เยื่อไผ่ สั้นสั้น Rabbit 4 สหาย พื้นฟ้า L QC</v>
          </cell>
          <cell r="E2993">
            <v>0</v>
          </cell>
          <cell r="F2993">
            <v>390</v>
          </cell>
        </row>
        <row r="2994">
          <cell r="A2994" t="str">
            <v>MA0385-2XL</v>
          </cell>
          <cell r="B2994" t="str">
            <v>MA385</v>
          </cell>
          <cell r="C2994" t="str">
            <v>เยื่อไผ่ แขนสั้นขาสั้น รวมสุนัข พื้นครีม 2XL</v>
          </cell>
          <cell r="E2994">
            <v>0</v>
          </cell>
          <cell r="F2994">
            <v>0</v>
          </cell>
        </row>
        <row r="2995">
          <cell r="A2995" t="str">
            <v>MA0385-L</v>
          </cell>
          <cell r="B2995" t="str">
            <v>MA385</v>
          </cell>
          <cell r="C2995" t="str">
            <v>เยื่อไผ่ แขนสั้นขาสั้น รวมสุนัข พื้นครีม L QC</v>
          </cell>
          <cell r="E2995">
            <v>0</v>
          </cell>
          <cell r="F2995">
            <v>390</v>
          </cell>
        </row>
        <row r="2996">
          <cell r="A2996" t="str">
            <v>MA0386-L</v>
          </cell>
          <cell r="B2996" t="str">
            <v>MA386</v>
          </cell>
          <cell r="C2996" t="str">
            <v>เยื่อไผ่ สั้นสั้ัน กระต่ายหัวใจ พื้นฟ้าอ่อน L QC</v>
          </cell>
          <cell r="E2996">
            <v>0</v>
          </cell>
          <cell r="F2996">
            <v>0</v>
          </cell>
        </row>
        <row r="2997">
          <cell r="A2997" t="str">
            <v>MA0386-XL</v>
          </cell>
          <cell r="B2997" t="str">
            <v>MA386</v>
          </cell>
          <cell r="C2997" t="str">
            <v>เยื่อไผ่ สั้นสั้ัน กระต่ายหัวใจ พื้นฟ้าอ่อน XL QC</v>
          </cell>
          <cell r="E2997">
            <v>0</v>
          </cell>
          <cell r="F2997">
            <v>390</v>
          </cell>
        </row>
        <row r="2998">
          <cell r="A2998" t="str">
            <v>MA0390-XL</v>
          </cell>
          <cell r="B2998" t="str">
            <v>MA390</v>
          </cell>
          <cell r="C2998" t="str">
            <v>เยื่อไผ่ แขนสั้นขาสั้น ทิวลิป พื้นขาว ขอบเขียว XL QC</v>
          </cell>
          <cell r="E2998">
            <v>0</v>
          </cell>
          <cell r="F2998">
            <v>390</v>
          </cell>
        </row>
        <row r="2999">
          <cell r="A2999" t="str">
            <v>MA0391-L</v>
          </cell>
          <cell r="B2999" t="str">
            <v>MA391</v>
          </cell>
          <cell r="C2999" t="str">
            <v>เยื่อไผ่ แขนสั้นขาสั้น จุดน้ำเงิน พื้นชมพู L QC</v>
          </cell>
          <cell r="E2999">
            <v>0</v>
          </cell>
          <cell r="F2999">
            <v>0</v>
          </cell>
        </row>
        <row r="3000">
          <cell r="A3000" t="str">
            <v>MA0391-XL</v>
          </cell>
          <cell r="B3000" t="str">
            <v>MA391</v>
          </cell>
          <cell r="C3000" t="str">
            <v>เยื่อไผ่ แขนสั้นขาสั้น จุดน้ำเงิน พื้นชมพู XL</v>
          </cell>
          <cell r="E3000">
            <v>0</v>
          </cell>
          <cell r="F3000">
            <v>0</v>
          </cell>
        </row>
        <row r="3001">
          <cell r="A3001" t="str">
            <v>MA0392-XL</v>
          </cell>
          <cell r="B3001" t="str">
            <v>MA392</v>
          </cell>
          <cell r="C3001" t="str">
            <v>เยื่อไผ่ แขนสั้นขาสั้น ส้ม พื้นเหลือง XL</v>
          </cell>
          <cell r="E3001">
            <v>0</v>
          </cell>
          <cell r="F3001">
            <v>0</v>
          </cell>
        </row>
        <row r="3002">
          <cell r="A3002" t="str">
            <v>MA0396-L</v>
          </cell>
          <cell r="B3002" t="str">
            <v>MA396</v>
          </cell>
          <cell r="C3002" t="str">
            <v>เยื่อไผ่ แขนสั้นขาสั้น รวมเห็ด พื้นฟ้า L</v>
          </cell>
          <cell r="E3002">
            <v>0</v>
          </cell>
          <cell r="F3002">
            <v>0</v>
          </cell>
        </row>
        <row r="3003">
          <cell r="A3003" t="str">
            <v>MA0408-D</v>
          </cell>
          <cell r="B3003" t="str">
            <v>ก9</v>
          </cell>
          <cell r="C3003" t="str">
            <v>เยื่อไผ่ สั้นสั้น หัวใจดำ พื้นขาว D</v>
          </cell>
          <cell r="E3003">
            <v>0</v>
          </cell>
          <cell r="F3003">
            <v>390</v>
          </cell>
        </row>
        <row r="3004">
          <cell r="A3004" t="str">
            <v>MA0448-L</v>
          </cell>
          <cell r="B3004" t="str">
            <v>MA448</v>
          </cell>
          <cell r="C3004" t="str">
            <v>เยื่อไผ่ แขนสั้นขาสั้น หัวใจกรมเข้ม พื้นขาว L</v>
          </cell>
          <cell r="E3004">
            <v>0</v>
          </cell>
          <cell r="F3004">
            <v>0</v>
          </cell>
        </row>
        <row r="3005">
          <cell r="A3005" t="str">
            <v>MA0449-L</v>
          </cell>
          <cell r="B3005" t="str">
            <v>MA449</v>
          </cell>
          <cell r="C3005" t="str">
            <v>เยื่อไผ่ แขนสั้นขาสั้น สวนดอกไม้ พื้นขาว L</v>
          </cell>
          <cell r="E3005">
            <v>0</v>
          </cell>
          <cell r="F3005">
            <v>0</v>
          </cell>
        </row>
        <row r="3006">
          <cell r="A3006" t="str">
            <v>MA0450-M</v>
          </cell>
          <cell r="B3006" t="str">
            <v>ก16</v>
          </cell>
          <cell r="C3006" t="str">
            <v>เยื่อไผ่ แขนสั้นขาสั้น การ์ตูน พื้นน้ำเงิน M</v>
          </cell>
          <cell r="E3006">
            <v>3</v>
          </cell>
          <cell r="F3006">
            <v>390</v>
          </cell>
        </row>
        <row r="3007">
          <cell r="A3007" t="str">
            <v>MA0452-3XL</v>
          </cell>
          <cell r="B3007" t="str">
            <v>MA452</v>
          </cell>
          <cell r="C3007" t="str">
            <v>เยื่อไผ่ แขนสั้นขาสั้น ดอกหน้าวัว พื้นฟ้า 3XL</v>
          </cell>
          <cell r="E3007">
            <v>0</v>
          </cell>
          <cell r="F3007">
            <v>0</v>
          </cell>
        </row>
        <row r="3008">
          <cell r="A3008" t="str">
            <v>MA0456-3XL</v>
          </cell>
          <cell r="B3008" t="str">
            <v>MA456</v>
          </cell>
          <cell r="C3008" t="str">
            <v>เยื่อไผ่ แขนสั้นขาสั้น ลูกจันทร์ พื้นฟ้าเทา 3XL</v>
          </cell>
          <cell r="E3008">
            <v>0</v>
          </cell>
          <cell r="F3008">
            <v>0</v>
          </cell>
        </row>
        <row r="3009">
          <cell r="A3009" t="str">
            <v>MA0464-2XL</v>
          </cell>
          <cell r="B3009" t="str">
            <v>ก18</v>
          </cell>
          <cell r="C3009" t="str">
            <v>เยื่อไผ่ แขนสั้นขาสั้น ดอกชบาแดง พื้นชมพู 2XL</v>
          </cell>
          <cell r="E3009">
            <v>0</v>
          </cell>
          <cell r="F3009">
            <v>390</v>
          </cell>
        </row>
        <row r="3010">
          <cell r="A3010" t="str">
            <v>MA0464-3XL</v>
          </cell>
          <cell r="B3010" t="str">
            <v>ก18</v>
          </cell>
          <cell r="C3010" t="str">
            <v>เยื่อไผ่ แขนสั้นขาสั้น ดอกชบาแดง พื้นชมพู 3XL</v>
          </cell>
          <cell r="E3010">
            <v>0</v>
          </cell>
          <cell r="F3010">
            <v>390</v>
          </cell>
        </row>
        <row r="3011">
          <cell r="A3011" t="str">
            <v>MA0486-D</v>
          </cell>
          <cell r="B3011" t="str">
            <v>MA486</v>
          </cell>
          <cell r="C3011" t="str">
            <v>เยื่อไผ่ แขนสั้นขาสั้น ดอกไม้เขียวแดง พื้นขาว D QC</v>
          </cell>
          <cell r="E3011">
            <v>0</v>
          </cell>
          <cell r="F3011">
            <v>0</v>
          </cell>
        </row>
        <row r="3012">
          <cell r="A3012" t="str">
            <v>MB0024-XL</v>
          </cell>
          <cell r="B3012" t="str">
            <v>MB24</v>
          </cell>
          <cell r="C3012" t="str">
            <v>เยื่อไผ่ สั้นยาว โบตั๋นฟ้า XL</v>
          </cell>
          <cell r="E3012">
            <v>0</v>
          </cell>
          <cell r="F3012">
            <v>520</v>
          </cell>
        </row>
        <row r="3013">
          <cell r="A3013" t="str">
            <v>MB0025-L</v>
          </cell>
          <cell r="B3013" t="str">
            <v>MB25</v>
          </cell>
          <cell r="C3013" t="str">
            <v>เยื่อไผ่ สั้นยาว โบตั๋นชมพู L</v>
          </cell>
          <cell r="E3013">
            <v>0</v>
          </cell>
          <cell r="F3013">
            <v>520</v>
          </cell>
        </row>
        <row r="3014">
          <cell r="A3014" t="str">
            <v>MB0025-XL</v>
          </cell>
          <cell r="B3014" t="str">
            <v>MB25</v>
          </cell>
          <cell r="C3014" t="str">
            <v>เยื่อไผ่ สั้นยาว โบตั๋นชมพู XL</v>
          </cell>
          <cell r="E3014">
            <v>0</v>
          </cell>
          <cell r="F3014">
            <v>520</v>
          </cell>
        </row>
        <row r="3015">
          <cell r="A3015" t="str">
            <v>MB0026-XL</v>
          </cell>
          <cell r="B3015" t="str">
            <v>MB26</v>
          </cell>
          <cell r="C3015" t="str">
            <v>เยื่อไผ่ สั้นยาว โบตั๋นเขียวมิ้น XL</v>
          </cell>
          <cell r="E3015">
            <v>0</v>
          </cell>
          <cell r="F3015">
            <v>520</v>
          </cell>
        </row>
        <row r="3016">
          <cell r="A3016" t="str">
            <v>MB0041-M</v>
          </cell>
          <cell r="B3016" t="str">
            <v>MB41</v>
          </cell>
          <cell r="C3016" t="str">
            <v>เยื่อไผ่ สั้นยาว ดอกไม้ชมพูใหญ่ พื้นกรม M หลุด QC</v>
          </cell>
          <cell r="E3016">
            <v>0</v>
          </cell>
          <cell r="F3016">
            <v>390</v>
          </cell>
        </row>
        <row r="3017">
          <cell r="A3017" t="str">
            <v>MB0045-M</v>
          </cell>
          <cell r="B3017" t="str">
            <v>MB45</v>
          </cell>
          <cell r="C3017" t="str">
            <v>เยื่อไผ่ สั้นยาว ดอกไม้ส้ม พื้นชมพู M</v>
          </cell>
          <cell r="E3017">
            <v>0</v>
          </cell>
          <cell r="F3017">
            <v>520</v>
          </cell>
        </row>
        <row r="3018">
          <cell r="A3018" t="str">
            <v>MB0113-XL</v>
          </cell>
          <cell r="B3018" t="str">
            <v>MB113</v>
          </cell>
          <cell r="C3018" t="str">
            <v>เยื่อไผ่ สั้นยาว คอวี ดอกไม้เหลือง พื้นครีม XL หลุด QC</v>
          </cell>
          <cell r="E3018">
            <v>0</v>
          </cell>
          <cell r="F3018">
            <v>390</v>
          </cell>
        </row>
        <row r="3019">
          <cell r="A3019" t="str">
            <v>MB0158-L</v>
          </cell>
          <cell r="B3019" t="str">
            <v>MB158</v>
          </cell>
          <cell r="C3019" t="str">
            <v>เยื่อไผ่ สั้นยาว พื้นโอรส ขอบขาว L หลุด QC</v>
          </cell>
          <cell r="E3019">
            <v>0</v>
          </cell>
          <cell r="F3019">
            <v>999</v>
          </cell>
        </row>
        <row r="3020">
          <cell r="A3020" t="str">
            <v>MB0158-M</v>
          </cell>
          <cell r="B3020" t="str">
            <v>MB158</v>
          </cell>
          <cell r="C3020" t="str">
            <v>เยื่อไผ่ สั้นยาว พื้นโอรส ขอบขาว M หลุด QC</v>
          </cell>
          <cell r="E3020">
            <v>0</v>
          </cell>
          <cell r="F3020">
            <v>999</v>
          </cell>
        </row>
        <row r="3021">
          <cell r="A3021" t="str">
            <v>MB0180-L</v>
          </cell>
          <cell r="B3021" t="str">
            <v>ก1</v>
          </cell>
          <cell r="C3021" t="str">
            <v>เยื่อไผ่ สั้นยาว ดอกไม้ส้ม พื้นชมพู ใบไม้เขียว L</v>
          </cell>
          <cell r="E3021">
            <v>1</v>
          </cell>
          <cell r="F3021">
            <v>390</v>
          </cell>
        </row>
        <row r="3022">
          <cell r="A3022" t="str">
            <v>MB0180-M</v>
          </cell>
          <cell r="B3022" t="str">
            <v>ก1</v>
          </cell>
          <cell r="C3022" t="str">
            <v>เยื่อไผ่ สั้นยาว ดอกไม้ส้ม พื้นชมพู ใบไม้เขียว M</v>
          </cell>
          <cell r="E3022">
            <v>0</v>
          </cell>
          <cell r="F3022">
            <v>390</v>
          </cell>
        </row>
        <row r="3023">
          <cell r="A3023" t="str">
            <v>MB0180-XL</v>
          </cell>
          <cell r="B3023" t="str">
            <v>ก1</v>
          </cell>
          <cell r="C3023" t="str">
            <v>เยื่อไผ่ สั้นยาว ดอกไม้ส้ม พื้นชมพู ใบไม้เขียว XL</v>
          </cell>
          <cell r="E3023">
            <v>0</v>
          </cell>
          <cell r="F3023">
            <v>390</v>
          </cell>
        </row>
        <row r="3024">
          <cell r="A3024" t="str">
            <v>MB0181-L</v>
          </cell>
          <cell r="B3024" t="str">
            <v>ก2</v>
          </cell>
          <cell r="C3024" t="str">
            <v>เยื่อไผ่ สั้นยาว ใบไม้หลาก เขียว ชมพู L</v>
          </cell>
          <cell r="E3024">
            <v>0</v>
          </cell>
          <cell r="F3024">
            <v>390</v>
          </cell>
        </row>
        <row r="3025">
          <cell r="A3025" t="str">
            <v>MB0181-M</v>
          </cell>
          <cell r="B3025" t="str">
            <v>ก2</v>
          </cell>
          <cell r="C3025" t="str">
            <v>เยื่อไผ่ สั้นยาว ใบไม้หลาก เขียว ชมพู M</v>
          </cell>
          <cell r="E3025">
            <v>1</v>
          </cell>
          <cell r="F3025">
            <v>390</v>
          </cell>
        </row>
        <row r="3026">
          <cell r="A3026" t="str">
            <v>MB0181-XL</v>
          </cell>
          <cell r="B3026" t="str">
            <v>ก2</v>
          </cell>
          <cell r="C3026" t="str">
            <v>เยื่อไผ่ สั้นยาว ใบไม้หลาก เขียว ชมพู XL</v>
          </cell>
          <cell r="E3026">
            <v>2</v>
          </cell>
          <cell r="F3026">
            <v>390</v>
          </cell>
        </row>
        <row r="3027">
          <cell r="A3027" t="str">
            <v>MB0182-L</v>
          </cell>
          <cell r="B3027" t="str">
            <v>ก3</v>
          </cell>
          <cell r="C3027" t="str">
            <v>เยื่อไผ่ สั้นยาว ดอกไม้ Tropical ทานตะวัน พื้นเหลืองอ่อน L</v>
          </cell>
          <cell r="E3027">
            <v>2</v>
          </cell>
          <cell r="F3027">
            <v>390</v>
          </cell>
        </row>
        <row r="3028">
          <cell r="A3028" t="str">
            <v>MB0182-M</v>
          </cell>
          <cell r="B3028" t="str">
            <v>ก3</v>
          </cell>
          <cell r="C3028" t="str">
            <v>เยื่อไผ่ สั้นยาว ดอกไม้ Tropical ทานตะวัน พื้นเหลืองอ่อน M</v>
          </cell>
          <cell r="E3028">
            <v>0</v>
          </cell>
          <cell r="F3028">
            <v>390</v>
          </cell>
        </row>
        <row r="3029">
          <cell r="A3029" t="str">
            <v>MB0182-XL</v>
          </cell>
          <cell r="B3029" t="str">
            <v>ก3</v>
          </cell>
          <cell r="C3029" t="str">
            <v>เยื่อไผ่ สั้นยาว ดอกไม้ Tropical ทานตะวัน พื้นเหลืองอ่อน XL</v>
          </cell>
          <cell r="E3029">
            <v>0</v>
          </cell>
          <cell r="F3029">
            <v>390</v>
          </cell>
        </row>
        <row r="3030">
          <cell r="A3030" t="str">
            <v>MB0183-L</v>
          </cell>
          <cell r="B3030" t="str">
            <v>ก4</v>
          </cell>
          <cell r="C3030" t="str">
            <v>เยื่อไผ่ สั้นยาว ใบไม้ สีน้ำ พื้นขาว L</v>
          </cell>
          <cell r="E3030">
            <v>1</v>
          </cell>
          <cell r="F3030">
            <v>390</v>
          </cell>
        </row>
        <row r="3031">
          <cell r="A3031" t="str">
            <v>MB0183-M</v>
          </cell>
          <cell r="B3031" t="str">
            <v>ก4</v>
          </cell>
          <cell r="C3031" t="str">
            <v>เยื่อไผ่ สั้นยาว ใบไม้ สีน้ำ พื้นขาว M</v>
          </cell>
          <cell r="E3031">
            <v>1</v>
          </cell>
          <cell r="F3031">
            <v>390</v>
          </cell>
        </row>
        <row r="3032">
          <cell r="A3032" t="str">
            <v>MB0183-XL</v>
          </cell>
          <cell r="B3032" t="str">
            <v>ก4</v>
          </cell>
          <cell r="C3032" t="str">
            <v>เยื่อไผ่ สั้นยาว ใบไม้ สีน้ำ พื้นขาว XL</v>
          </cell>
          <cell r="E3032">
            <v>1</v>
          </cell>
          <cell r="F3032">
            <v>390</v>
          </cell>
        </row>
        <row r="3033">
          <cell r="A3033" t="str">
            <v>MB0184-L</v>
          </cell>
          <cell r="B3033" t="str">
            <v>ก5</v>
          </cell>
          <cell r="C3033" t="str">
            <v>เยื่อไผ่ สั้นยาว ดอกไม้เทา ชมพู พื้นเหลือง L</v>
          </cell>
          <cell r="E3033">
            <v>0</v>
          </cell>
          <cell r="F3033">
            <v>390</v>
          </cell>
        </row>
        <row r="3034">
          <cell r="A3034" t="str">
            <v>MB0184-M</v>
          </cell>
          <cell r="B3034" t="str">
            <v>ก5</v>
          </cell>
          <cell r="C3034" t="str">
            <v>เยื่อไผ่ สั้นยาว ดอกไม้เทา ชมพู พื้นเหลือง M</v>
          </cell>
          <cell r="E3034">
            <v>0</v>
          </cell>
          <cell r="F3034">
            <v>390</v>
          </cell>
        </row>
        <row r="3035">
          <cell r="A3035" t="str">
            <v>MB0184-XL</v>
          </cell>
          <cell r="B3035" t="str">
            <v>ก5</v>
          </cell>
          <cell r="C3035" t="str">
            <v>เยื่อไผ่ สั้นยาว ดอกไม้เทา ชมพู พื้นเหลือง XL</v>
          </cell>
          <cell r="E3035">
            <v>0</v>
          </cell>
          <cell r="F3035">
            <v>390</v>
          </cell>
        </row>
        <row r="3036">
          <cell r="A3036" t="str">
            <v>MB0223-L</v>
          </cell>
          <cell r="B3036" t="str">
            <v>MB223</v>
          </cell>
          <cell r="C3036" t="str">
            <v>เยื่อไผ่ สั้นยาว ใบไม้น้ำเงิน พื้นชมพู L หลุด QC</v>
          </cell>
          <cell r="E3036">
            <v>0</v>
          </cell>
          <cell r="F3036">
            <v>999</v>
          </cell>
        </row>
        <row r="3037">
          <cell r="A3037" t="str">
            <v>MB0228-XL</v>
          </cell>
          <cell r="B3037" t="str">
            <v>MB228</v>
          </cell>
          <cell r="C3037" t="str">
            <v>เยื่อไผ่ สั้นยาว Pineapple พื้นเทา XL หลุด QC</v>
          </cell>
          <cell r="E3037">
            <v>0</v>
          </cell>
          <cell r="F3037">
            <v>999</v>
          </cell>
        </row>
        <row r="3038">
          <cell r="A3038" t="str">
            <v>MB0229-2XL</v>
          </cell>
          <cell r="B3038" t="str">
            <v>MB229</v>
          </cell>
          <cell r="C3038" t="str">
            <v>เยื่อไผ่ สั้นยาว อายเดซี่สีขาว พื้นสีพีช 2XL หลุด QC</v>
          </cell>
          <cell r="E3038">
            <v>0</v>
          </cell>
          <cell r="F3038">
            <v>999</v>
          </cell>
        </row>
        <row r="3039">
          <cell r="A3039" t="str">
            <v>MB0229-XL</v>
          </cell>
          <cell r="B3039" t="str">
            <v>MB229</v>
          </cell>
          <cell r="C3039" t="str">
            <v>เยื่อไผ่ สั้นยาว อายเดซี่สีขาว พื้นสีพีช XL หลุด QC</v>
          </cell>
          <cell r="E3039">
            <v>0</v>
          </cell>
          <cell r="F3039">
            <v>999</v>
          </cell>
        </row>
        <row r="3040">
          <cell r="A3040" t="str">
            <v>MB0230-XL</v>
          </cell>
          <cell r="B3040" t="str">
            <v>MB230</v>
          </cell>
          <cell r="C3040" t="str">
            <v>เยื่อไผ่ สั้นยาว หัวใจตารางขาวดำ YOU! พื้นชมพู XL</v>
          </cell>
          <cell r="E3040">
            <v>0</v>
          </cell>
          <cell r="F3040">
            <v>0</v>
          </cell>
        </row>
        <row r="3041">
          <cell r="A3041" t="str">
            <v>MB0237-2XL</v>
          </cell>
          <cell r="B3041" t="str">
            <v>MB237</v>
          </cell>
          <cell r="C3041" t="str">
            <v>เยื่อไผ่ สั้นยาว Clover ตุ่มแดง พื้นขาว 2XL หลุด QC</v>
          </cell>
          <cell r="E3041">
            <v>0</v>
          </cell>
          <cell r="F3041">
            <v>999</v>
          </cell>
        </row>
        <row r="3042">
          <cell r="A3042" t="str">
            <v>MB0241-2XL</v>
          </cell>
          <cell r="B3042" t="str">
            <v>MB241</v>
          </cell>
          <cell r="C3042" t="str">
            <v>เยื่อไผ่ สั้นยาว เบอรี่สีพีช ใบไม้เขียวแก่ พื้นฟ้า 2XL หลุด QC</v>
          </cell>
          <cell r="E3042">
            <v>0</v>
          </cell>
          <cell r="F3042">
            <v>999</v>
          </cell>
        </row>
        <row r="3043">
          <cell r="A3043" t="str">
            <v>MB0243-2XL</v>
          </cell>
          <cell r="B3043" t="str">
            <v>MB243</v>
          </cell>
          <cell r="C3043" t="str">
            <v>เยื่อไผ่ สั้นยาว Baby Duck ก้อนลายจุดดำ พื้นฟ้า 2XL หลุด QC</v>
          </cell>
          <cell r="E3043">
            <v>0</v>
          </cell>
          <cell r="F3043">
            <v>999</v>
          </cell>
        </row>
        <row r="3044">
          <cell r="A3044" t="str">
            <v>MB0244-2XL</v>
          </cell>
          <cell r="B3044" t="str">
            <v>MB244</v>
          </cell>
          <cell r="C3044" t="str">
            <v>เยื่อไผ่ สั้นยาว หัวใจเทาขอบขาว สายใยขาว พื้นชมพู 2XL</v>
          </cell>
          <cell r="E3044">
            <v>0</v>
          </cell>
          <cell r="F3044">
            <v>0</v>
          </cell>
        </row>
        <row r="3045">
          <cell r="A3045" t="str">
            <v>MB0246-L</v>
          </cell>
          <cell r="B3045" t="str">
            <v>MB246</v>
          </cell>
          <cell r="C3045" t="str">
            <v>เยื่อไผ่ สั้นยาว ดอกไม้ขาวแซมน้ำตาล พื้นฟ้า L หลุด QC</v>
          </cell>
          <cell r="E3045">
            <v>0</v>
          </cell>
          <cell r="F3045">
            <v>999</v>
          </cell>
        </row>
        <row r="3046">
          <cell r="A3046" t="str">
            <v>MB0249-L</v>
          </cell>
          <cell r="B3046" t="str">
            <v>MB249</v>
          </cell>
          <cell r="C3046" t="str">
            <v>เยื่อไผ่ สั้นยาว Cute Teddy Bear พื้นเขียว L หลุด QC</v>
          </cell>
          <cell r="E3046">
            <v>0</v>
          </cell>
          <cell r="F3046">
            <v>999</v>
          </cell>
        </row>
        <row r="3047">
          <cell r="A3047" t="str">
            <v>MB0251-2XL</v>
          </cell>
          <cell r="B3047" t="str">
            <v>MB251</v>
          </cell>
          <cell r="C3047" t="str">
            <v>เยื่อไผ่ สั้นยาว เท็ดดี้สเวตเตอร์ฟ้า พื้นส้ม 2XL หลุด QC</v>
          </cell>
          <cell r="E3047">
            <v>0</v>
          </cell>
          <cell r="F3047">
            <v>999</v>
          </cell>
        </row>
        <row r="3048">
          <cell r="A3048" t="str">
            <v>MB0251-L</v>
          </cell>
          <cell r="B3048" t="str">
            <v>MB251</v>
          </cell>
          <cell r="C3048" t="str">
            <v>เยื่อไผ่ สั้นยาว เท็ดดี้สเวตเตอร์ฟ้า พื้นส้ม L หลุด QC</v>
          </cell>
          <cell r="E3048">
            <v>0</v>
          </cell>
          <cell r="F3048">
            <v>0</v>
          </cell>
        </row>
        <row r="3049">
          <cell r="A3049" t="str">
            <v>MB0253-2XL</v>
          </cell>
          <cell r="B3049" t="str">
            <v>MB253</v>
          </cell>
          <cell r="C3049" t="str">
            <v>เยื่อไผ่ สั้นยาว สนูปปี้บอย พื้นกรม 2XL หลุด QC</v>
          </cell>
          <cell r="E3049">
            <v>0</v>
          </cell>
          <cell r="F3049">
            <v>999</v>
          </cell>
        </row>
        <row r="3050">
          <cell r="A3050" t="str">
            <v>MB0254-2XL</v>
          </cell>
          <cell r="B3050" t="str">
            <v>MB254</v>
          </cell>
          <cell r="C3050" t="str">
            <v>เยื่อไผ่ สั้นยาว หมีครีม จมูกบาน พื้นฟ้า 2XL หลุด QC</v>
          </cell>
          <cell r="E3050">
            <v>0</v>
          </cell>
          <cell r="F3050">
            <v>0</v>
          </cell>
        </row>
        <row r="3051">
          <cell r="A3051" t="str">
            <v>MB0256-L</v>
          </cell>
          <cell r="B3051" t="str">
            <v>MB256</v>
          </cell>
          <cell r="C3051" t="str">
            <v>เยื่อไผ่ สั้นยาว Pinky Sunflower พื้นฟ้า L หลุด QC</v>
          </cell>
          <cell r="E3051">
            <v>0</v>
          </cell>
          <cell r="F3051">
            <v>999</v>
          </cell>
        </row>
        <row r="3052">
          <cell r="A3052" t="str">
            <v>MB0256-XL</v>
          </cell>
          <cell r="B3052" t="str">
            <v>MB256</v>
          </cell>
          <cell r="C3052" t="str">
            <v>เยื่อไผ่ สั้นยาว Pinky Sunflower พื้นฟ้า XL หลุด QC</v>
          </cell>
          <cell r="E3052">
            <v>0</v>
          </cell>
          <cell r="F3052">
            <v>999</v>
          </cell>
        </row>
        <row r="3053">
          <cell r="A3053" t="str">
            <v>MB0259-XL</v>
          </cell>
          <cell r="B3053" t="str">
            <v>MB259</v>
          </cell>
          <cell r="C3053" t="str">
            <v>เยื่อไผ่ สั้นยาว สนูปปี้บอย พื้นเหลือง XL</v>
          </cell>
          <cell r="E3053">
            <v>0</v>
          </cell>
          <cell r="F3053">
            <v>0</v>
          </cell>
        </row>
        <row r="3054">
          <cell r="A3054" t="str">
            <v>MB0261-XL</v>
          </cell>
          <cell r="B3054" t="str">
            <v>MB261</v>
          </cell>
          <cell r="C3054" t="str">
            <v>เยื่อไผ่ สั้นยาว Clover หลากสี พื้นฟ้า XL หลุด QC</v>
          </cell>
          <cell r="E3054">
            <v>0</v>
          </cell>
          <cell r="F3054">
            <v>999</v>
          </cell>
        </row>
        <row r="3055">
          <cell r="A3055" t="str">
            <v>MB0262-2XL</v>
          </cell>
          <cell r="B3055" t="str">
            <v>MB262</v>
          </cell>
          <cell r="C3055" t="str">
            <v>เยื่อไผ่ สั้นยาว Curve พื้นเขียว 2XL หลุด QC</v>
          </cell>
          <cell r="E3055">
            <v>0</v>
          </cell>
          <cell r="F3055">
            <v>999</v>
          </cell>
        </row>
        <row r="3056">
          <cell r="A3056" t="str">
            <v>MB0264-2XL</v>
          </cell>
          <cell r="B3056" t="str">
            <v>MB264</v>
          </cell>
          <cell r="C3056" t="str">
            <v>เยื่อไผ่ สั้นยาว เกสรเหลือง พื้นชมพู 2XL หลุด QC</v>
          </cell>
          <cell r="E3056">
            <v>0</v>
          </cell>
          <cell r="F3056">
            <v>999</v>
          </cell>
        </row>
        <row r="3057">
          <cell r="A3057" t="str">
            <v>MB0265-XL</v>
          </cell>
          <cell r="B3057" t="str">
            <v>MB265</v>
          </cell>
          <cell r="C3057" t="str">
            <v>เยื่อไผ่ สั้นยาว Baby Duck ก้อนลายจุดดำ พื้นชมพู XL หลุด QC</v>
          </cell>
          <cell r="E3057">
            <v>0</v>
          </cell>
          <cell r="F3057">
            <v>999</v>
          </cell>
        </row>
        <row r="3058">
          <cell r="A3058" t="str">
            <v>MB0268-2XL</v>
          </cell>
          <cell r="B3058" t="str">
            <v>MB268</v>
          </cell>
          <cell r="C3058" t="str">
            <v>เยื่อไผ่ สั้นยาว sticker ดอกไม้ พื้นเหลือง 2XL หลุด QC</v>
          </cell>
          <cell r="E3058">
            <v>0</v>
          </cell>
          <cell r="F3058">
            <v>999</v>
          </cell>
        </row>
        <row r="3059">
          <cell r="A3059" t="str">
            <v>MB0271-XL</v>
          </cell>
          <cell r="B3059" t="str">
            <v>MB271</v>
          </cell>
          <cell r="C3059" t="str">
            <v>เยื่อไผ่ สั้นยาว ออมสินหมีอ้วน พื้นชมพูอ่อน XL</v>
          </cell>
          <cell r="E3059">
            <v>0</v>
          </cell>
          <cell r="F3059">
            <v>0</v>
          </cell>
        </row>
        <row r="3060">
          <cell r="A3060" t="str">
            <v>MB0273-2XL</v>
          </cell>
          <cell r="B3060" t="str">
            <v>MB273</v>
          </cell>
          <cell r="C3060" t="str">
            <v>เยื่อไผ่ สั้นยาว Pinky Sunflower พื้นชมพู 2XL หลุด QC</v>
          </cell>
          <cell r="E3060">
            <v>0</v>
          </cell>
          <cell r="F3060">
            <v>999</v>
          </cell>
        </row>
        <row r="3061">
          <cell r="A3061" t="str">
            <v>MB0274-XL</v>
          </cell>
          <cell r="B3061" t="str">
            <v>MB274</v>
          </cell>
          <cell r="C3061" t="str">
            <v>เยื่อไผ่ สั้นยาว ก้อนหินหลากสี พื้นขาว XL หลุด QC</v>
          </cell>
          <cell r="E3061">
            <v>0</v>
          </cell>
          <cell r="F3061">
            <v>999</v>
          </cell>
        </row>
        <row r="3062">
          <cell r="A3062" t="str">
            <v>MB0285-M</v>
          </cell>
          <cell r="B3062" t="str">
            <v>MB285</v>
          </cell>
          <cell r="C3062" t="str">
            <v>ซาติน สั้นยาว ปกเขียว วงกลมเสี้ยว ขาวเขียว M หลุด QC</v>
          </cell>
          <cell r="E3062">
            <v>0</v>
          </cell>
          <cell r="F3062">
            <v>999</v>
          </cell>
        </row>
        <row r="3063">
          <cell r="A3063" t="str">
            <v>MB0286-L</v>
          </cell>
          <cell r="B3063" t="str">
            <v>MB286</v>
          </cell>
          <cell r="C3063" t="str">
            <v>ซาติน สั้นยาว ปกชมพู ดอกกุหลาบ L หลุด QC</v>
          </cell>
          <cell r="E3063">
            <v>0</v>
          </cell>
          <cell r="F3063">
            <v>390</v>
          </cell>
        </row>
        <row r="3064">
          <cell r="A3064" t="str">
            <v>MB0334-2XL</v>
          </cell>
          <cell r="B3064" t="str">
            <v>MB334</v>
          </cell>
          <cell r="C3064" t="str">
            <v>เยื่อไผ่ สั้นยาว ดอกชมพู พื้นชมพู 2XL QC</v>
          </cell>
          <cell r="E3064">
            <v>0</v>
          </cell>
          <cell r="F3064">
            <v>390</v>
          </cell>
        </row>
        <row r="3065">
          <cell r="A3065" t="str">
            <v>MB0364-XL</v>
          </cell>
          <cell r="B3065" t="str">
            <v>MB364</v>
          </cell>
          <cell r="C3065" t="str">
            <v>เยื่อไผ่ สั้นยาว ชมพู ขอบขาว XL</v>
          </cell>
          <cell r="E3065">
            <v>0</v>
          </cell>
          <cell r="F3065">
            <v>0</v>
          </cell>
        </row>
        <row r="3066">
          <cell r="A3066" t="str">
            <v>MB0365-L</v>
          </cell>
          <cell r="B3066" t="str">
            <v>MB365</v>
          </cell>
          <cell r="C3066" t="str">
            <v>เยื่อไผ่ สั้นยาว โอโรส ขอบขาว L QC</v>
          </cell>
          <cell r="E3066">
            <v>0</v>
          </cell>
          <cell r="F3066">
            <v>0</v>
          </cell>
        </row>
        <row r="3067">
          <cell r="A3067" t="str">
            <v>MB0365-M</v>
          </cell>
          <cell r="B3067" t="str">
            <v>MB365</v>
          </cell>
          <cell r="C3067" t="str">
            <v>เยื่อไผ่ สั้นยาว โอโรส ขอบขาว M</v>
          </cell>
          <cell r="E3067">
            <v>0</v>
          </cell>
          <cell r="F3067">
            <v>0</v>
          </cell>
        </row>
        <row r="3068">
          <cell r="A3068" t="str">
            <v>MB0383-C</v>
          </cell>
          <cell r="B3068" t="str">
            <v>B383</v>
          </cell>
          <cell r="C3068" t="str">
            <v>เยื่อไผ่ สั้นยาว หัวใจดำพื้นขาว C</v>
          </cell>
          <cell r="E3068">
            <v>0</v>
          </cell>
          <cell r="F3068">
            <v>890</v>
          </cell>
        </row>
        <row r="3069">
          <cell r="A3069" t="str">
            <v>MB0400-F</v>
          </cell>
          <cell r="B3069" t="str">
            <v>MB400</v>
          </cell>
          <cell r="C3069" t="str">
            <v>เยื่อไผ่ แขนสั้นขายาว ดอกไม้ชมพู จุดดำ F</v>
          </cell>
          <cell r="E3069">
            <v>0</v>
          </cell>
          <cell r="F3069">
            <v>0</v>
          </cell>
        </row>
        <row r="3070">
          <cell r="A3070" t="str">
            <v>MB0402-F</v>
          </cell>
          <cell r="B3070" t="str">
            <v>MB402</v>
          </cell>
          <cell r="C3070" t="str">
            <v>เยื่อไผ่ แขนสั้นขายาว มิกกี้เม้า พื้นชมพู F QC</v>
          </cell>
          <cell r="E3070">
            <v>0</v>
          </cell>
          <cell r="F3070">
            <v>390</v>
          </cell>
        </row>
        <row r="3071">
          <cell r="A3071" t="str">
            <v>MB0403-F</v>
          </cell>
          <cell r="B3071" t="str">
            <v>MB403</v>
          </cell>
          <cell r="C3071" t="str">
            <v>เยื่อไผ่ แขนสั้นขายาว รวมเห็ด พื้นฟ้า F QC</v>
          </cell>
          <cell r="E3071">
            <v>0</v>
          </cell>
          <cell r="F3071">
            <v>390</v>
          </cell>
        </row>
        <row r="3072">
          <cell r="A3072" t="str">
            <v>MB0405-D</v>
          </cell>
          <cell r="B3072" t="str">
            <v>MB405</v>
          </cell>
          <cell r="C3072" t="str">
            <v>เยื่อไผ่ แขนสั้นขายาว หัวใจ พื้นชมพู D QC</v>
          </cell>
          <cell r="E3072">
            <v>0</v>
          </cell>
          <cell r="F3072">
            <v>390</v>
          </cell>
        </row>
        <row r="3073">
          <cell r="A3073" t="str">
            <v>MB0410-D</v>
          </cell>
          <cell r="B3073" t="str">
            <v>MB410</v>
          </cell>
          <cell r="C3073" t="str">
            <v>เยื่อไผ่ สั้นยาว ดอกไม้หัวใจม่วง พื้นขาว D</v>
          </cell>
          <cell r="E3073">
            <v>0</v>
          </cell>
          <cell r="F3073">
            <v>0</v>
          </cell>
        </row>
        <row r="3074">
          <cell r="A3074" t="str">
            <v>MB0412-F</v>
          </cell>
          <cell r="B3074" t="str">
            <v>MB412</v>
          </cell>
          <cell r="C3074" t="str">
            <v>เยื่อไผ่ สั้นยาว หมีพาสเทล F</v>
          </cell>
          <cell r="E3074">
            <v>0</v>
          </cell>
          <cell r="F3074">
            <v>0</v>
          </cell>
        </row>
        <row r="3075">
          <cell r="A3075" t="str">
            <v>MB0448-M</v>
          </cell>
          <cell r="B3075" t="str">
            <v>MB448</v>
          </cell>
          <cell r="C3075" t="str">
            <v>เยื่อไผ่ แขนสั้นขายาว หัวใจกรมเข้ม พื้นขาว M QC</v>
          </cell>
          <cell r="E3075">
            <v>0</v>
          </cell>
          <cell r="F3075">
            <v>0</v>
          </cell>
        </row>
        <row r="3076">
          <cell r="A3076" t="str">
            <v>MB0451-3XL</v>
          </cell>
          <cell r="B3076" t="str">
            <v>MB451</v>
          </cell>
          <cell r="C3076" t="str">
            <v>เยื่อไผ่ แขนสั้นขายาว ดอกหน้าวัว พื้นกรม 3XL QC</v>
          </cell>
          <cell r="E3076">
            <v>0</v>
          </cell>
          <cell r="F3076">
            <v>0</v>
          </cell>
        </row>
        <row r="3077">
          <cell r="A3077" t="str">
            <v>MB0451-M</v>
          </cell>
          <cell r="B3077" t="str">
            <v>MB451</v>
          </cell>
          <cell r="C3077" t="str">
            <v>เยื่อไผ่ แขนสั้นขายาว ดอกหน้าวัว พื้นกรม M</v>
          </cell>
          <cell r="E3077">
            <v>0</v>
          </cell>
          <cell r="F3077">
            <v>0</v>
          </cell>
        </row>
        <row r="3078">
          <cell r="A3078" t="str">
            <v>MB0452-2XL</v>
          </cell>
          <cell r="B3078" t="str">
            <v>MB452</v>
          </cell>
          <cell r="C3078" t="str">
            <v>เยื่อไผ่ แขนสั้นขายาว ดอกหน้าวัว พื้นฟ้า 2XL QC</v>
          </cell>
          <cell r="E3078">
            <v>0</v>
          </cell>
          <cell r="F3078">
            <v>0</v>
          </cell>
        </row>
        <row r="3079">
          <cell r="A3079" t="str">
            <v>MB0452-3XL</v>
          </cell>
          <cell r="B3079" t="str">
            <v>MB452</v>
          </cell>
          <cell r="C3079" t="str">
            <v>เยื่อไผ่ แขนสั้นขายาว ดอกหน้าวัว พื้นฟ้า 3XL</v>
          </cell>
          <cell r="E3079">
            <v>0</v>
          </cell>
          <cell r="F3079">
            <v>0</v>
          </cell>
        </row>
        <row r="3080">
          <cell r="A3080" t="str">
            <v>MB0452-XL</v>
          </cell>
          <cell r="B3080" t="str">
            <v>MB452</v>
          </cell>
          <cell r="C3080" t="str">
            <v>เยื่อไผ่ แขนสั้นขายาว ดอกหน้าวัว พื้นฟ้า XL QC</v>
          </cell>
          <cell r="E3080">
            <v>0</v>
          </cell>
          <cell r="F3080">
            <v>0</v>
          </cell>
        </row>
        <row r="3081">
          <cell r="A3081" t="str">
            <v>MB0456-2XL</v>
          </cell>
          <cell r="B3081" t="str">
            <v>MB456</v>
          </cell>
          <cell r="C3081" t="str">
            <v>เยื่อไผ่ แขนสั้นขายาว ลูกจันทร์ พื้นฟ้าเทา 2XL QC</v>
          </cell>
          <cell r="E3081">
            <v>0</v>
          </cell>
          <cell r="F3081">
            <v>0</v>
          </cell>
        </row>
        <row r="3082">
          <cell r="A3082" t="str">
            <v>MB0460-2XL</v>
          </cell>
          <cell r="B3082" t="str">
            <v>MB460</v>
          </cell>
          <cell r="C3082" t="str">
            <v>เยื่อไผ่ แขนสั้นขายาว ดอกชบาแดง พื้นฟ้า 2XL QC</v>
          </cell>
          <cell r="E3082">
            <v>0</v>
          </cell>
          <cell r="F3082">
            <v>0</v>
          </cell>
        </row>
        <row r="3083">
          <cell r="A3083" t="str">
            <v>MB0461-3XL</v>
          </cell>
          <cell r="B3083" t="str">
            <v>MB461</v>
          </cell>
          <cell r="C3083" t="str">
            <v>เยื่อไผ่ แขนสั้นขายาว สวนกุหลาบชมพู พื้นชมพู 3XL QC</v>
          </cell>
          <cell r="E3083">
            <v>0</v>
          </cell>
          <cell r="F3083">
            <v>0</v>
          </cell>
        </row>
        <row r="3084">
          <cell r="A3084" t="str">
            <v>MB0461-M</v>
          </cell>
          <cell r="B3084" t="str">
            <v>MB461</v>
          </cell>
          <cell r="C3084" t="str">
            <v>เยื่อไผ่ แขนสั้นขายาว สวนกุหลาบชมพู พื้นชมพู M QC</v>
          </cell>
          <cell r="E3084">
            <v>0</v>
          </cell>
          <cell r="F3084">
            <v>0</v>
          </cell>
        </row>
        <row r="3085">
          <cell r="A3085" t="str">
            <v>MB0497-XL</v>
          </cell>
          <cell r="B3085" t="str">
            <v>MB497</v>
          </cell>
          <cell r="C3085" t="str">
            <v>เยื่อไผ่ สั้นยาว Green Forest&amp;nbsp;XL QC</v>
          </cell>
          <cell r="E3085">
            <v>0</v>
          </cell>
          <cell r="F3085">
            <v>0</v>
          </cell>
        </row>
        <row r="3086">
          <cell r="A3086" t="str">
            <v>MB0506-XL</v>
          </cell>
          <cell r="B3086" t="str">
            <v>MB506</v>
          </cell>
          <cell r="C3086" t="str">
            <v>เยื่อไผ่ แขนสั้นขายาว Color Bear Green Milk XL QC</v>
          </cell>
          <cell r="E3086">
            <v>0</v>
          </cell>
          <cell r="F3086">
            <v>0</v>
          </cell>
        </row>
        <row r="3087">
          <cell r="A3087" t="str">
            <v>MB0507-L</v>
          </cell>
          <cell r="B3087" t="str">
            <v>MB507</v>
          </cell>
          <cell r="C3087" t="str">
            <v>เยื่อไผ่ แขนสั้นขายาว Color Bear Lovely Pink L QC</v>
          </cell>
          <cell r="E3087">
            <v>0</v>
          </cell>
          <cell r="F3087">
            <v>0</v>
          </cell>
        </row>
        <row r="3088">
          <cell r="A3088" t="str">
            <v>MB0508-L</v>
          </cell>
          <cell r="B3088" t="str">
            <v>MB508</v>
          </cell>
          <cell r="C3088" t="str">
            <v>เยื่อไผ่ แขนสั้นขายาว Color Bear Vanilla L QC</v>
          </cell>
          <cell r="E3088">
            <v>0</v>
          </cell>
          <cell r="F3088">
            <v>0</v>
          </cell>
        </row>
        <row r="3089">
          <cell r="A3089" t="str">
            <v>MB0510-XL</v>
          </cell>
          <cell r="B3089" t="str">
            <v>MB510</v>
          </cell>
          <cell r="C3089" t="str">
            <v>ซาติน แขนสั้นขายาว Mini Cute XL QC</v>
          </cell>
          <cell r="E3089">
            <v>0</v>
          </cell>
          <cell r="F3089">
            <v>0</v>
          </cell>
        </row>
        <row r="3090">
          <cell r="A3090" t="str">
            <v>MB0512-2XL</v>
          </cell>
          <cell r="B3090" t="str">
            <v>ก8</v>
          </cell>
          <cell r="C3090" t="str">
            <v>เยื่อไผ่ แขนสั้นขายาว ซากุระขาว พื้นน้ำตาล 2XL</v>
          </cell>
          <cell r="E3090">
            <v>0</v>
          </cell>
          <cell r="F3090">
            <v>390</v>
          </cell>
        </row>
        <row r="3091">
          <cell r="A3091" t="str">
            <v>MB0512-L</v>
          </cell>
          <cell r="B3091" t="str">
            <v>ก8</v>
          </cell>
          <cell r="C3091" t="str">
            <v>เยื่อไผ่ แขนสั้นขายาว ซากุระขาว พื้นน้ำตาล L</v>
          </cell>
          <cell r="E3091">
            <v>0</v>
          </cell>
          <cell r="F3091">
            <v>390</v>
          </cell>
        </row>
        <row r="3092">
          <cell r="A3092" t="str">
            <v>MB0512-XL</v>
          </cell>
          <cell r="B3092" t="str">
            <v>ก8</v>
          </cell>
          <cell r="C3092" t="str">
            <v>เยื่อไผ่ แขนสั้นขายาว ซากุระขาว พื้นน้ำตาล XL</v>
          </cell>
          <cell r="E3092">
            <v>0</v>
          </cell>
          <cell r="F3092">
            <v>390</v>
          </cell>
        </row>
        <row r="3093">
          <cell r="A3093" t="str">
            <v>MB0514-2XL</v>
          </cell>
          <cell r="B3093" t="str">
            <v>ก7</v>
          </cell>
          <cell r="C3093" t="str">
            <v>ซาติน แขนสั้นขายาว Flower Black 2XL</v>
          </cell>
          <cell r="E3093">
            <v>0</v>
          </cell>
          <cell r="F3093">
            <v>390</v>
          </cell>
        </row>
        <row r="3094">
          <cell r="A3094" t="str">
            <v>MB0514-L</v>
          </cell>
          <cell r="B3094" t="str">
            <v>ก7</v>
          </cell>
          <cell r="C3094" t="str">
            <v>เยื่อไผ่ แขนสั้นขายาว Flower Black L</v>
          </cell>
          <cell r="E3094">
            <v>0</v>
          </cell>
          <cell r="F3094">
            <v>390</v>
          </cell>
        </row>
        <row r="3095">
          <cell r="A3095" t="str">
            <v>MB0514-XL</v>
          </cell>
          <cell r="B3095" t="str">
            <v>ก7</v>
          </cell>
          <cell r="C3095" t="str">
            <v>เยื่อไผ่ แขนสั้นขายาว Flower Black XL</v>
          </cell>
          <cell r="E3095">
            <v>0</v>
          </cell>
          <cell r="F3095">
            <v>390</v>
          </cell>
        </row>
        <row r="3096">
          <cell r="A3096" t="str">
            <v>MB0999-M</v>
          </cell>
          <cell r="B3096" t="str">
            <v>ป1</v>
          </cell>
          <cell r="C3096" t="str">
            <v>เยื่อไผ่ แขนสั้นขายาว ตารางเขียว M</v>
          </cell>
          <cell r="E3096">
            <v>0</v>
          </cell>
          <cell r="F3096">
            <v>390</v>
          </cell>
        </row>
        <row r="3097">
          <cell r="A3097" t="str">
            <v>MC0002-M</v>
          </cell>
          <cell r="B3097" t="str">
            <v>MC2</v>
          </cell>
          <cell r="C3097" t="str">
            <v>เยื่อไผ่ ยาวยาว กวาง พื้นกรม M QC</v>
          </cell>
          <cell r="E3097">
            <v>0</v>
          </cell>
          <cell r="F3097">
            <v>390</v>
          </cell>
        </row>
        <row r="3098">
          <cell r="A3098" t="str">
            <v>MC0003-XL</v>
          </cell>
          <cell r="B3098" t="str">
            <v>MC3</v>
          </cell>
          <cell r="C3098" t="str">
            <v>เยื่อไผ่ ยาวยาว กวาง พื้นชมพู XL หลุด QC</v>
          </cell>
          <cell r="E3098">
            <v>0</v>
          </cell>
          <cell r="F3098">
            <v>390</v>
          </cell>
        </row>
        <row r="3099">
          <cell r="A3099" t="str">
            <v>MC0016-L</v>
          </cell>
          <cell r="B3099" t="str">
            <v>ก11</v>
          </cell>
          <cell r="C3099" t="str">
            <v>เยื่อไผ่ ยาวยาว นกบราว L</v>
          </cell>
          <cell r="E3099">
            <v>4</v>
          </cell>
          <cell r="F3099">
            <v>390</v>
          </cell>
        </row>
        <row r="3100">
          <cell r="A3100" t="str">
            <v>MC0016-M</v>
          </cell>
          <cell r="B3100" t="str">
            <v>ก11</v>
          </cell>
          <cell r="C3100" t="str">
            <v>เยื่อไผ่ ยาวยาว นกบราว M</v>
          </cell>
          <cell r="E3100">
            <v>3</v>
          </cell>
          <cell r="F3100">
            <v>390</v>
          </cell>
        </row>
        <row r="3101">
          <cell r="A3101" t="str">
            <v>MC0016-XL</v>
          </cell>
          <cell r="B3101" t="str">
            <v>ก11</v>
          </cell>
          <cell r="C3101" t="str">
            <v>เยื่อไผ่ ยาวยาว นกบราว XL</v>
          </cell>
          <cell r="E3101">
            <v>1</v>
          </cell>
          <cell r="F3101">
            <v>390</v>
          </cell>
        </row>
        <row r="3102">
          <cell r="A3102" t="str">
            <v>MC0017-L</v>
          </cell>
          <cell r="B3102" t="str">
            <v>ก6</v>
          </cell>
          <cell r="C3102" t="str">
            <v>เยื่อไผ่ ยาวยาว ใบไม้ขาว พื้นกรม L</v>
          </cell>
          <cell r="E3102">
            <v>0</v>
          </cell>
          <cell r="F3102">
            <v>390</v>
          </cell>
        </row>
        <row r="3103">
          <cell r="A3103" t="str">
            <v>MC0017-M</v>
          </cell>
          <cell r="B3103" t="str">
            <v>ก6</v>
          </cell>
          <cell r="C3103" t="str">
            <v>เยื่อไผ่ ยาวยาว ใบไม้ขาว พื้นกรม M</v>
          </cell>
          <cell r="E3103">
            <v>0</v>
          </cell>
          <cell r="F3103">
            <v>390</v>
          </cell>
        </row>
        <row r="3104">
          <cell r="A3104" t="str">
            <v>MC0017-XL</v>
          </cell>
          <cell r="B3104" t="str">
            <v>ก6</v>
          </cell>
          <cell r="C3104" t="str">
            <v>เยื่อไผ่ ยาวยาว ใบไม้ขาว พื้นกรม XL</v>
          </cell>
          <cell r="E3104">
            <v>0</v>
          </cell>
          <cell r="F3104">
            <v>390</v>
          </cell>
        </row>
        <row r="3105">
          <cell r="A3105" t="str">
            <v>MC0018-L</v>
          </cell>
          <cell r="B3105" t="str">
            <v>ก8</v>
          </cell>
          <cell r="C3105" t="str">
            <v>เยื่อไผ่ ยาวยาว ใบไม้ชมพู L</v>
          </cell>
          <cell r="E3105">
            <v>4</v>
          </cell>
          <cell r="F3105">
            <v>390</v>
          </cell>
        </row>
        <row r="3106">
          <cell r="A3106" t="str">
            <v>MC0018-M</v>
          </cell>
          <cell r="B3106" t="str">
            <v>ก8</v>
          </cell>
          <cell r="C3106" t="str">
            <v>เยื่อไผ่ ยาวยาว ใบไม้ชมพู M</v>
          </cell>
          <cell r="E3106">
            <v>5</v>
          </cell>
          <cell r="F3106">
            <v>390</v>
          </cell>
        </row>
        <row r="3107">
          <cell r="A3107" t="str">
            <v>MC0018-XL</v>
          </cell>
          <cell r="B3107" t="str">
            <v>ก8</v>
          </cell>
          <cell r="C3107" t="str">
            <v>เยื่อไผ่ ยาวยาว ใบไม้ชมพู XL</v>
          </cell>
          <cell r="E3107">
            <v>2</v>
          </cell>
          <cell r="F3107">
            <v>390</v>
          </cell>
        </row>
        <row r="3108">
          <cell r="A3108" t="str">
            <v>MC0020-XL</v>
          </cell>
          <cell r="B3108" t="str">
            <v>MC20</v>
          </cell>
          <cell r="C3108" t="str">
            <v>เยื่อไผ่ ยาวยาว ใบไม้เขียว พื้นเขียว XL หลุด QC</v>
          </cell>
          <cell r="E3108">
            <v>0</v>
          </cell>
          <cell r="F3108">
            <v>999</v>
          </cell>
        </row>
        <row r="3109">
          <cell r="A3109" t="str">
            <v>MC0032-M</v>
          </cell>
          <cell r="B3109" t="str">
            <v>MC32</v>
          </cell>
          <cell r="C3109" t="str">
            <v>เยื่อไผ่ ยาวยาว ดอกไม้ขาว พื้นกรม M</v>
          </cell>
          <cell r="E3109">
            <v>0</v>
          </cell>
          <cell r="F3109">
            <v>520</v>
          </cell>
        </row>
        <row r="3110">
          <cell r="A3110" t="str">
            <v>MC0032-XL</v>
          </cell>
          <cell r="B3110" t="str">
            <v>MC32</v>
          </cell>
          <cell r="C3110" t="str">
            <v>เยื่อไผ่ ยาวยาว ดอกไม้ขาว พื้นกรม XL QC</v>
          </cell>
          <cell r="E3110">
            <v>0</v>
          </cell>
          <cell r="F3110">
            <v>520</v>
          </cell>
        </row>
        <row r="3111">
          <cell r="A3111" t="str">
            <v>MC0038-XL</v>
          </cell>
          <cell r="B3111" t="str">
            <v>MC38</v>
          </cell>
          <cell r="C3111" t="str">
            <v>เยื่อไผ่ ยาวยาว ดอกไม้ขาว พื้นชมพู XL หลุด QC</v>
          </cell>
          <cell r="E3111">
            <v>0</v>
          </cell>
          <cell r="F3111">
            <v>999</v>
          </cell>
        </row>
        <row r="3112">
          <cell r="A3112" t="str">
            <v>MC0039-L</v>
          </cell>
          <cell r="B3112" t="str">
            <v>ก9</v>
          </cell>
          <cell r="C3112" t="str">
            <v>เยื่อไผ่ ยาวยาว ใบไม้น้ำตาลเข้ม L</v>
          </cell>
          <cell r="E3112">
            <v>0</v>
          </cell>
          <cell r="F3112">
            <v>390</v>
          </cell>
        </row>
        <row r="3113">
          <cell r="A3113" t="str">
            <v>MC0039-M</v>
          </cell>
          <cell r="B3113" t="str">
            <v>ก9</v>
          </cell>
          <cell r="C3113" t="str">
            <v>เยื่อไผ่ ยาวยาว ใบไม้น้ำตาลเข้ม M</v>
          </cell>
          <cell r="E3113">
            <v>3</v>
          </cell>
          <cell r="F3113">
            <v>390</v>
          </cell>
        </row>
        <row r="3114">
          <cell r="A3114" t="str">
            <v>MC0039-XL</v>
          </cell>
          <cell r="B3114" t="str">
            <v>ก9</v>
          </cell>
          <cell r="C3114" t="str">
            <v>เยื่อไผ่ ยาวยาว ใบไม้น้ำตาลเข้ม XL</v>
          </cell>
          <cell r="E3114">
            <v>0</v>
          </cell>
          <cell r="F3114">
            <v>390</v>
          </cell>
        </row>
        <row r="3115">
          <cell r="A3115" t="str">
            <v>MC0041-L</v>
          </cell>
          <cell r="B3115" t="str">
            <v>ก10</v>
          </cell>
          <cell r="C3115" t="str">
            <v>เยื่อไผ่ ยาวยาว ดอกไม้ชมพูใหญ่ พื้นกรม L</v>
          </cell>
          <cell r="E3115">
            <v>10</v>
          </cell>
          <cell r="F3115">
            <v>390</v>
          </cell>
        </row>
        <row r="3116">
          <cell r="A3116" t="str">
            <v>MC0041-M</v>
          </cell>
          <cell r="B3116" t="str">
            <v>ก10</v>
          </cell>
          <cell r="C3116" t="str">
            <v>เยื่อไผ่ ยาวยาว ดอกไม้ชมพูใหญ่ พื้นกรม M</v>
          </cell>
          <cell r="E3116">
            <v>2</v>
          </cell>
          <cell r="F3116">
            <v>390</v>
          </cell>
        </row>
        <row r="3117">
          <cell r="A3117" t="str">
            <v>MC0062-M</v>
          </cell>
          <cell r="B3117" t="str">
            <v>MC62</v>
          </cell>
          <cell r="C3117" t="str">
            <v>เยื่อไผ่ ยาวยาว ดอกไม้น้ำตาล พื้นขาว M หลุด QC</v>
          </cell>
          <cell r="E3117">
            <v>0</v>
          </cell>
          <cell r="F3117">
            <v>999</v>
          </cell>
        </row>
        <row r="3118">
          <cell r="A3118" t="str">
            <v>MC0077-M</v>
          </cell>
          <cell r="B3118" t="str">
            <v>MC77</v>
          </cell>
          <cell r="C3118" t="str">
            <v>เยื่อไผ่ ยาวยาว หัวใจ พื้นชมพู M</v>
          </cell>
          <cell r="E3118">
            <v>0</v>
          </cell>
          <cell r="F3118">
            <v>520</v>
          </cell>
        </row>
        <row r="3119">
          <cell r="A3119" t="str">
            <v>MC0077-XL</v>
          </cell>
          <cell r="B3119" t="str">
            <v>MC77</v>
          </cell>
          <cell r="C3119" t="str">
            <v>เยื่อไผ่ ยาวยาว หัวใจ พื้นชมพู XL QC</v>
          </cell>
          <cell r="E3119">
            <v>0</v>
          </cell>
          <cell r="F3119">
            <v>390</v>
          </cell>
        </row>
        <row r="3120">
          <cell r="A3120" t="str">
            <v>MC0093-XL</v>
          </cell>
          <cell r="B3120" t="str">
            <v>MC93</v>
          </cell>
          <cell r="C3120" t="str">
            <v>เยื่อไผ่ ยาวยาว ดอกไม้เหลือง พื้นครีม XL</v>
          </cell>
          <cell r="E3120">
            <v>0</v>
          </cell>
          <cell r="F3120">
            <v>520</v>
          </cell>
        </row>
        <row r="3121">
          <cell r="A3121" t="str">
            <v>MC0118-M</v>
          </cell>
          <cell r="B3121" t="str">
            <v>MC118</v>
          </cell>
          <cell r="C3121" t="str">
            <v>เยื่อไผ่ ยาวยาว คอวี ดอกไม้ขาว พื้นเทาอ่อน M หลุด QC</v>
          </cell>
          <cell r="E3121">
            <v>0</v>
          </cell>
          <cell r="F3121">
            <v>999</v>
          </cell>
        </row>
        <row r="3122">
          <cell r="A3122" t="str">
            <v>MC0125-L</v>
          </cell>
          <cell r="B3122" t="str">
            <v>MC125</v>
          </cell>
          <cell r="C3122" t="str">
            <v>เยื่อไผ่ ยาวยาว Line friend พื้นชมพู L หลุด QC</v>
          </cell>
          <cell r="E3122">
            <v>0</v>
          </cell>
          <cell r="F3122">
            <v>999</v>
          </cell>
        </row>
        <row r="3123">
          <cell r="A3123" t="str">
            <v>MC0133-L</v>
          </cell>
          <cell r="B3123" t="str">
            <v>MC133</v>
          </cell>
          <cell r="C3123" t="str">
            <v>เยื้อไผ่ ยาวยาว ดอกไม้ส้ม พื้นกรม L QC</v>
          </cell>
          <cell r="E3123">
            <v>0</v>
          </cell>
          <cell r="F3123">
            <v>520</v>
          </cell>
        </row>
        <row r="3124">
          <cell r="A3124" t="str">
            <v>MC0134-L</v>
          </cell>
          <cell r="B3124" t="str">
            <v>ก1</v>
          </cell>
          <cell r="C3124" t="str">
            <v>เยื้อไผ่ ยาวยาว กระต่ายดำ พื้นชมพู L</v>
          </cell>
          <cell r="E3124">
            <v>0</v>
          </cell>
          <cell r="F3124">
            <v>390</v>
          </cell>
        </row>
        <row r="3125">
          <cell r="A3125" t="str">
            <v>MC0134-M</v>
          </cell>
          <cell r="B3125" t="str">
            <v>ก1</v>
          </cell>
          <cell r="C3125" t="str">
            <v>เยื้อไผ่ ยาวยาว กระต่ายดำ พื้นชมพู M</v>
          </cell>
          <cell r="E3125">
            <v>0</v>
          </cell>
          <cell r="F3125">
            <v>390</v>
          </cell>
        </row>
        <row r="3126">
          <cell r="A3126" t="str">
            <v>MC0134-XL</v>
          </cell>
          <cell r="B3126" t="str">
            <v>ก1</v>
          </cell>
          <cell r="C3126" t="str">
            <v>เยื้อไผ่ ยาวยาว กระต่ายดำ พื้นชมพู XL</v>
          </cell>
          <cell r="E3126">
            <v>0</v>
          </cell>
          <cell r="F3126">
            <v>390</v>
          </cell>
        </row>
        <row r="3127">
          <cell r="A3127" t="str">
            <v>MC0143-M</v>
          </cell>
          <cell r="B3127" t="str">
            <v>MC143</v>
          </cell>
          <cell r="C3127" t="str">
            <v>เยื่อไผ่ ยาวยาว ดอกไม้ขาวใหญ่ พื้นเขียวมิ้น M หลุด QC</v>
          </cell>
          <cell r="E3127">
            <v>0</v>
          </cell>
          <cell r="F3127">
            <v>999</v>
          </cell>
        </row>
        <row r="3128">
          <cell r="A3128" t="str">
            <v>MC0145-L</v>
          </cell>
          <cell r="B3128" t="str">
            <v>MC145</v>
          </cell>
          <cell r="C3128" t="str">
            <v>เยื่อไผ่ ยาวยาว ดอกไม้ดำ พื้นเขียวอ่อน L QC</v>
          </cell>
          <cell r="E3128">
            <v>0</v>
          </cell>
          <cell r="F3128">
            <v>390</v>
          </cell>
        </row>
        <row r="3129">
          <cell r="A3129" t="str">
            <v>MC0146-M</v>
          </cell>
          <cell r="B3129" t="str">
            <v>MC146</v>
          </cell>
          <cell r="C3129" t="str">
            <v>เยื่อไผ่ ยาวยาว ดอกไม้เหลือง เกสรแดง พื้นชมพู M</v>
          </cell>
          <cell r="E3129">
            <v>0</v>
          </cell>
          <cell r="F3129">
            <v>520</v>
          </cell>
        </row>
        <row r="3130">
          <cell r="A3130" t="str">
            <v>MC0175-M</v>
          </cell>
          <cell r="B3130" t="str">
            <v>MC175</v>
          </cell>
          <cell r="C3130" t="str">
            <v>เยื่อไผ่ ยาวยาว ดาว พื้นฟ้า M หลุด QC</v>
          </cell>
          <cell r="E3130">
            <v>0</v>
          </cell>
          <cell r="F3130">
            <v>999</v>
          </cell>
        </row>
        <row r="3131">
          <cell r="A3131" t="str">
            <v>MC0179-XL</v>
          </cell>
          <cell r="B3131" t="str">
            <v>MC179</v>
          </cell>
          <cell r="C3131" t="str">
            <v>เยื่อไผ่ ยาวยาว นก พื้นครีม XL</v>
          </cell>
          <cell r="E3131">
            <v>0</v>
          </cell>
          <cell r="F3131">
            <v>0</v>
          </cell>
        </row>
        <row r="3132">
          <cell r="A3132" t="str">
            <v>MC0180-XL</v>
          </cell>
          <cell r="B3132" t="str">
            <v>MC180</v>
          </cell>
          <cell r="C3132" t="str">
            <v>เยื่อไผ่ ยาวยาว ดอกไม้ส้ม พื้นชมพู ใบไม้เขียว XL QC</v>
          </cell>
          <cell r="E3132">
            <v>0</v>
          </cell>
          <cell r="F3132">
            <v>390</v>
          </cell>
        </row>
        <row r="3133">
          <cell r="A3133" t="str">
            <v>MC0181-XL</v>
          </cell>
          <cell r="B3133" t="str">
            <v>MC181</v>
          </cell>
          <cell r="C3133" t="str">
            <v>เยื่อไผ่ ยาวยาว ใบไม้หลาก เขียว ชมพู XL QC</v>
          </cell>
          <cell r="E3133">
            <v>0</v>
          </cell>
          <cell r="F3133">
            <v>0</v>
          </cell>
        </row>
        <row r="3134">
          <cell r="A3134" t="str">
            <v>MC0183-M</v>
          </cell>
          <cell r="B3134" t="str">
            <v>MC183</v>
          </cell>
          <cell r="C3134" t="str">
            <v>เยื่อไผ่ ยาวยาว ใบไม้ สีน้ำ พื้นขาว M QC</v>
          </cell>
          <cell r="E3134">
            <v>0</v>
          </cell>
          <cell r="F3134">
            <v>0</v>
          </cell>
        </row>
        <row r="3135">
          <cell r="A3135" t="str">
            <v>MC0183-XL</v>
          </cell>
          <cell r="B3135" t="str">
            <v>MC183</v>
          </cell>
          <cell r="C3135" t="str">
            <v>เยื่อไผ่ ยาวยาว ใบไม้ สีน้ำ พื้นขาว XL QC</v>
          </cell>
          <cell r="E3135">
            <v>0</v>
          </cell>
          <cell r="F3135">
            <v>0</v>
          </cell>
        </row>
        <row r="3136">
          <cell r="A3136" t="str">
            <v>MC0184-M</v>
          </cell>
          <cell r="B3136" t="str">
            <v>MC184</v>
          </cell>
          <cell r="C3136" t="str">
            <v>เยื่อไผ่ ยาวยาว ดอกไม้เทา ชมพู พื้นเหลือง M QC</v>
          </cell>
          <cell r="E3136">
            <v>0</v>
          </cell>
          <cell r="F3136">
            <v>0</v>
          </cell>
        </row>
        <row r="3137">
          <cell r="A3137" t="str">
            <v>MC0207-M</v>
          </cell>
          <cell r="B3137" t="str">
            <v>MC207</v>
          </cell>
          <cell r="C3137" t="str">
            <v>เยื่อไผ่ ยาวยาว Black Pink Mini Heart M หลุด QC</v>
          </cell>
          <cell r="E3137">
            <v>0</v>
          </cell>
          <cell r="F3137">
            <v>0</v>
          </cell>
        </row>
        <row r="3138">
          <cell r="A3138" t="str">
            <v>MC0211-L</v>
          </cell>
          <cell r="B3138" t="str">
            <v>MC211</v>
          </cell>
          <cell r="C3138" t="str">
            <v>เยื่อไผ่ ยาวยาว Little Cow พิ้นขาว L QC</v>
          </cell>
          <cell r="E3138">
            <v>0</v>
          </cell>
          <cell r="F3138">
            <v>0</v>
          </cell>
        </row>
        <row r="3139">
          <cell r="A3139" t="str">
            <v>MC0215-2XL</v>
          </cell>
          <cell r="B3139" t="str">
            <v>MC215</v>
          </cell>
          <cell r="C3139" t="str">
            <v>เยื่อไผ่ ยาวยาว ตุ๊กตา หมีน้อย พื้นชมพู 2XL หลุด QC</v>
          </cell>
          <cell r="E3139">
            <v>0</v>
          </cell>
          <cell r="F3139">
            <v>999</v>
          </cell>
        </row>
        <row r="3140">
          <cell r="A3140" t="str">
            <v>MC0221-L</v>
          </cell>
          <cell r="B3140" t="str">
            <v>MC221</v>
          </cell>
          <cell r="C3140" t="str">
            <v>ซาติน ยาวยาว พื้นขาว ดอกเข็มแดง L หลุด QC</v>
          </cell>
          <cell r="E3140">
            <v>0</v>
          </cell>
          <cell r="F3140">
            <v>999</v>
          </cell>
        </row>
        <row r="3141">
          <cell r="A3141" t="str">
            <v>MC0276-L</v>
          </cell>
          <cell r="B3141" t="str">
            <v>MC276</v>
          </cell>
          <cell r="C3141" t="str">
            <v>เยื่อไผ่ ยาวยาว พื้นฟ้าอ่อน ดอกไม้เขียว L หลุด QC</v>
          </cell>
          <cell r="E3141">
            <v>0</v>
          </cell>
          <cell r="F3141">
            <v>999</v>
          </cell>
        </row>
        <row r="3142">
          <cell r="A3142" t="str">
            <v>MC0290-L</v>
          </cell>
          <cell r="B3142" t="str">
            <v>MC290</v>
          </cell>
          <cell r="C3142" t="str">
            <v>ซาติน แขนยาวขายาว Gray Lotus พื้นชมพู L QC</v>
          </cell>
          <cell r="E3142">
            <v>0</v>
          </cell>
          <cell r="F3142">
            <v>390</v>
          </cell>
        </row>
        <row r="3143">
          <cell r="A3143" t="str">
            <v>MC0308-L</v>
          </cell>
          <cell r="B3143" t="str">
            <v>ก3</v>
          </cell>
          <cell r="C3143" t="str">
            <v>เยื่อไผ่ ยาวยาว ดอกไม้เหลือง พื้นครีม ขอบเขียว L</v>
          </cell>
          <cell r="E3143">
            <v>0</v>
          </cell>
          <cell r="F3143">
            <v>390</v>
          </cell>
        </row>
        <row r="3144">
          <cell r="A3144" t="str">
            <v>MC0308-M</v>
          </cell>
          <cell r="B3144" t="str">
            <v>ก3</v>
          </cell>
          <cell r="C3144" t="str">
            <v>เยื่อไผ่ ยาวยาว ดอกไม้เหลือง พื้นครีม ขอบเขียว M</v>
          </cell>
          <cell r="E3144">
            <v>0</v>
          </cell>
          <cell r="F3144">
            <v>390</v>
          </cell>
        </row>
        <row r="3145">
          <cell r="A3145" t="str">
            <v>MC0308-XL</v>
          </cell>
          <cell r="B3145" t="str">
            <v>ก3</v>
          </cell>
          <cell r="C3145" t="str">
            <v>เยื่อไผ่ ยาวยาว ดอกไม้เหลือง พื้นครีม ขอบเขียว XL</v>
          </cell>
          <cell r="E3145">
            <v>0</v>
          </cell>
          <cell r="F3145">
            <v>390</v>
          </cell>
        </row>
        <row r="3146">
          <cell r="A3146" t="str">
            <v>MC0309-L</v>
          </cell>
          <cell r="B3146" t="str">
            <v>ก15</v>
          </cell>
          <cell r="C3146" t="str">
            <v>เยื่อไผ่ ยาวยาว ใบไม้เหลือง พื้นกรม ขอบแดง L</v>
          </cell>
          <cell r="E3146">
            <v>0</v>
          </cell>
          <cell r="F3146">
            <v>390</v>
          </cell>
        </row>
        <row r="3147">
          <cell r="A3147" t="str">
            <v>MC0309-M</v>
          </cell>
          <cell r="B3147" t="str">
            <v>ก15</v>
          </cell>
          <cell r="C3147" t="str">
            <v>เยื่อไผ่ ยาวยาว ใบไม้เหลือง พื้นกรม ขอบแดง M</v>
          </cell>
          <cell r="E3147">
            <v>1</v>
          </cell>
          <cell r="F3147">
            <v>390</v>
          </cell>
        </row>
        <row r="3148">
          <cell r="A3148" t="str">
            <v>MC0309-XL</v>
          </cell>
          <cell r="B3148" t="str">
            <v>ก15</v>
          </cell>
          <cell r="C3148" t="str">
            <v>เยื่อไผ่ ยาวยาว ใบไม้เหลือง พื้นกรม ขอบแดง XL</v>
          </cell>
          <cell r="E3148">
            <v>0</v>
          </cell>
          <cell r="F3148">
            <v>390</v>
          </cell>
        </row>
        <row r="3149">
          <cell r="A3149" t="str">
            <v>MC0314-M</v>
          </cell>
          <cell r="B3149" t="str">
            <v>MC314</v>
          </cell>
          <cell r="C3149" t="str">
            <v>ซาติน ยาวยาว พื้นเขียว หัวใจดำ M QC</v>
          </cell>
          <cell r="E3149">
            <v>0</v>
          </cell>
          <cell r="F3149">
            <v>0</v>
          </cell>
        </row>
        <row r="3150">
          <cell r="A3150" t="str">
            <v>MC0314-XL</v>
          </cell>
          <cell r="B3150" t="str">
            <v>MC314</v>
          </cell>
          <cell r="C3150" t="str">
            <v>ซาติน ยาวยาว พื้นเขียว หัวใจดำ XL</v>
          </cell>
          <cell r="E3150">
            <v>0</v>
          </cell>
          <cell r="F3150">
            <v>0</v>
          </cell>
        </row>
        <row r="3151">
          <cell r="A3151" t="str">
            <v>MC0352-L</v>
          </cell>
          <cell r="B3151" t="str">
            <v>MC352</v>
          </cell>
          <cell r="C3151" t="str">
            <v>เยื่อไผ่ ยาวยาว Blue Sky L</v>
          </cell>
          <cell r="E3151">
            <v>0</v>
          </cell>
          <cell r="F3151">
            <v>0</v>
          </cell>
        </row>
        <row r="3152">
          <cell r="A3152" t="str">
            <v>MC0352-XL</v>
          </cell>
          <cell r="B3152" t="str">
            <v>MC352</v>
          </cell>
          <cell r="C3152" t="str">
            <v>เยื่อไผ่ ยาวยาว Blue Sky XL QC</v>
          </cell>
          <cell r="E3152">
            <v>0</v>
          </cell>
          <cell r="F3152">
            <v>0</v>
          </cell>
        </row>
        <row r="3153">
          <cell r="A3153" t="str">
            <v>MC0353-XL</v>
          </cell>
          <cell r="B3153" t="str">
            <v>MC353</v>
          </cell>
          <cell r="C3153" t="str">
            <v>เยื่อไผ่ ยาวยาว ดอกท้อ พื้นเทา XL QC</v>
          </cell>
          <cell r="E3153">
            <v>0</v>
          </cell>
          <cell r="F3153">
            <v>0</v>
          </cell>
        </row>
        <row r="3154">
          <cell r="A3154" t="str">
            <v>MC0354-XL</v>
          </cell>
          <cell r="B3154" t="str">
            <v>MC354</v>
          </cell>
          <cell r="C3154" t="str">
            <v>เยื่อไผ่ ยาวยาว ดอกส้ม พื้นเหลือง XL QC</v>
          </cell>
          <cell r="E3154">
            <v>0</v>
          </cell>
          <cell r="F3154">
            <v>0</v>
          </cell>
        </row>
        <row r="3155">
          <cell r="A3155" t="str">
            <v>MC0488-L</v>
          </cell>
          <cell r="B3155" t="str">
            <v>MC488</v>
          </cell>
          <cell r="C3155" t="str">
            <v>เยื่อไผ่ ยาวยาว Flower Pinky-White&amp;nbsp;L QC</v>
          </cell>
          <cell r="E3155">
            <v>0</v>
          </cell>
          <cell r="F3155">
            <v>0</v>
          </cell>
        </row>
        <row r="3156">
          <cell r="A3156" t="str">
            <v>MC0492-XL</v>
          </cell>
          <cell r="B3156" t="str">
            <v>MC492</v>
          </cell>
          <cell r="C3156" t="str">
            <v>เยื่อไผ่ ยาวยาว MiniBear Myfriend&amp;nbsp;XL QC</v>
          </cell>
          <cell r="E3156">
            <v>0</v>
          </cell>
          <cell r="F3156">
            <v>0</v>
          </cell>
        </row>
        <row r="3157">
          <cell r="A3157" t="str">
            <v>MC0515-L</v>
          </cell>
          <cell r="B3157" t="str">
            <v>ก7</v>
          </cell>
          <cell r="C3157" t="str">
            <v>เยื่อไผ่ ยาวยาว กุหลาบชมพู พื้นโอรส L</v>
          </cell>
          <cell r="E3157">
            <v>1</v>
          </cell>
          <cell r="F3157">
            <v>390</v>
          </cell>
        </row>
        <row r="3158">
          <cell r="A3158" t="str">
            <v>MC0515-M</v>
          </cell>
          <cell r="B3158" t="str">
            <v>ก7</v>
          </cell>
          <cell r="C3158" t="str">
            <v>เยื่อไผ่ ยาวยาว กุหลาบชมพู พื้นโอรส M</v>
          </cell>
          <cell r="E3158">
            <v>4</v>
          </cell>
          <cell r="F3158">
            <v>390</v>
          </cell>
        </row>
        <row r="3159">
          <cell r="A3159" t="str">
            <v>MC0515-XL</v>
          </cell>
          <cell r="B3159" t="str">
            <v>ก7</v>
          </cell>
          <cell r="C3159" t="str">
            <v>เยื่อไผ่ ยาวยาว กุหลาบชมพู พื้นโอรส XL</v>
          </cell>
          <cell r="E3159">
            <v>3</v>
          </cell>
          <cell r="F3159">
            <v>390</v>
          </cell>
        </row>
        <row r="3160">
          <cell r="A3160" t="str">
            <v>MC0520-L</v>
          </cell>
          <cell r="B3160" t="str">
            <v>ก6</v>
          </cell>
          <cell r="C3160" t="str">
            <v>เยื่อไผ่ ยาวยาว ดอกชมพู พื้นเทาอมม่วง L</v>
          </cell>
          <cell r="E3160">
            <v>2</v>
          </cell>
          <cell r="F3160">
            <v>390</v>
          </cell>
        </row>
        <row r="3161">
          <cell r="A3161" t="str">
            <v>MC0520-M</v>
          </cell>
          <cell r="B3161" t="str">
            <v>ก6</v>
          </cell>
          <cell r="C3161" t="str">
            <v>เยื่อไผ่ ยาวยาว ดอกชมพู พื้นเทาอมม่วง M</v>
          </cell>
          <cell r="E3161">
            <v>4</v>
          </cell>
          <cell r="F3161">
            <v>390</v>
          </cell>
        </row>
        <row r="3162">
          <cell r="A3162" t="str">
            <v>MC0520-XL</v>
          </cell>
          <cell r="B3162" t="str">
            <v>ก6</v>
          </cell>
          <cell r="C3162" t="str">
            <v>เยื่อไผ่ ยาวยาว ดอกชมพู พื้นเทาอมม่วง XL</v>
          </cell>
          <cell r="E3162">
            <v>1</v>
          </cell>
          <cell r="F3162">
            <v>390</v>
          </cell>
        </row>
        <row r="3163">
          <cell r="A3163" t="str">
            <v>MC27</v>
          </cell>
          <cell r="B3163" t="str">
            <v>MC0027-XL</v>
          </cell>
          <cell r="C3163" t="str">
            <v>เยื่อไผ่ ยาวยาว คอวี โบตั๋นชมพู XL</v>
          </cell>
          <cell r="E3163">
            <v>0</v>
          </cell>
          <cell r="F3163">
            <v>390</v>
          </cell>
        </row>
        <row r="3164">
          <cell r="A3164" t="str">
            <v>MD0081-L</v>
          </cell>
          <cell r="B3164" t="str">
            <v>MD81</v>
          </cell>
          <cell r="C3164" t="str">
            <v>เยื่อไผ่ เดรส พื้นเหลือง ต้น Strawberry L หลุด QC</v>
          </cell>
          <cell r="E3164">
            <v>0</v>
          </cell>
          <cell r="F3164">
            <v>999</v>
          </cell>
        </row>
        <row r="3165">
          <cell r="A3165" t="str">
            <v>MD0082-L</v>
          </cell>
          <cell r="B3165" t="str">
            <v>MD82</v>
          </cell>
          <cell r="C3165" t="str">
            <v>เยื่อไผ่ เดรส พื้นดำ ดอกไม้ภาพวาด ส้ม L หลุด QC</v>
          </cell>
          <cell r="E3165">
            <v>0</v>
          </cell>
          <cell r="F3165">
            <v>999</v>
          </cell>
        </row>
        <row r="3166">
          <cell r="A3166" t="str">
            <v>MD0088-F</v>
          </cell>
          <cell r="B3166" t="str">
            <v>MD88</v>
          </cell>
          <cell r="C3166" t="str">
            <v>เยื่อไผ่ เดรสแขนสั้น การ์ตูน พื้นมวง ขอบเขียว F หลุด QC</v>
          </cell>
          <cell r="E3166">
            <v>0</v>
          </cell>
          <cell r="F3166">
            <v>390</v>
          </cell>
        </row>
        <row r="3167">
          <cell r="A3167" t="str">
            <v>MD0089-F</v>
          </cell>
          <cell r="B3167" t="str">
            <v>MD89</v>
          </cell>
          <cell r="C3167" t="str">
            <v>เยื่อไผ่ เดรสแขนสั้น Cherry Rainbows F หลุด QC</v>
          </cell>
          <cell r="E3167">
            <v>0</v>
          </cell>
          <cell r="F3167">
            <v>999</v>
          </cell>
        </row>
        <row r="3168">
          <cell r="A3168" t="str">
            <v>MD0101-F</v>
          </cell>
          <cell r="B3168" t="str">
            <v>MD101</v>
          </cell>
          <cell r="C3168" t="str">
            <v>เยื่อไผ่ เดรสแขนสั้น จำปี พื้นเข้ม F หลุด QC</v>
          </cell>
          <cell r="E3168">
            <v>0</v>
          </cell>
          <cell r="F3168">
            <v>999</v>
          </cell>
        </row>
        <row r="3169">
          <cell r="A3169" t="str">
            <v>MD0106-L</v>
          </cell>
          <cell r="B3169" t="str">
            <v>MD106</v>
          </cell>
          <cell r="C3169" t="str">
            <v>เยื่อไผ่ เดรสแขนสั้น ใบไม้ พื้นเขียว คอกลม L QC</v>
          </cell>
          <cell r="E3169">
            <v>0</v>
          </cell>
          <cell r="F3169">
            <v>390</v>
          </cell>
        </row>
        <row r="3170">
          <cell r="A3170" t="str">
            <v>MD0107-L</v>
          </cell>
          <cell r="B3170" t="str">
            <v>MD107</v>
          </cell>
          <cell r="C3170" t="str">
            <v>เยื่อไผ่ เดรสแขนสั้น ใบไม้ พื้นชมพู คอกลม L QC</v>
          </cell>
          <cell r="E3170">
            <v>0</v>
          </cell>
          <cell r="F3170">
            <v>390</v>
          </cell>
        </row>
        <row r="3171">
          <cell r="A3171" t="str">
            <v>MD0107-M</v>
          </cell>
          <cell r="B3171" t="str">
            <v>MD107</v>
          </cell>
          <cell r="C3171" t="str">
            <v>เยื่อไผ่ เดรสแขนสั้น ใบไม้ พื้นชมพู คอกลม M QC</v>
          </cell>
          <cell r="E3171">
            <v>0</v>
          </cell>
          <cell r="F3171">
            <v>390</v>
          </cell>
        </row>
        <row r="3172">
          <cell r="A3172" t="str">
            <v>MD0107-XL</v>
          </cell>
          <cell r="B3172" t="str">
            <v>MD107</v>
          </cell>
          <cell r="C3172" t="str">
            <v>เยื่อไผ่ เดรสแขนสั้น ใบไม้ พื้นชมพู คอกลม XL QC</v>
          </cell>
          <cell r="E3172">
            <v>0</v>
          </cell>
          <cell r="F3172">
            <v>390</v>
          </cell>
        </row>
        <row r="3173">
          <cell r="A3173" t="str">
            <v>MD0113-L</v>
          </cell>
          <cell r="B3173" t="str">
            <v>MD113</v>
          </cell>
          <cell r="C3173" t="str">
            <v>เยื่อไผ่ เดรสแขนสั้น โบตั๋นฟ้า คอปก L</v>
          </cell>
          <cell r="E3173">
            <v>0</v>
          </cell>
          <cell r="F3173">
            <v>0</v>
          </cell>
        </row>
        <row r="3174">
          <cell r="A3174" t="str">
            <v>MD0115-L</v>
          </cell>
          <cell r="B3174" t="str">
            <v>MD115</v>
          </cell>
          <cell r="C3174" t="str">
            <v>เยื่อไผ่ เดรสแขนสั้น โบตั๋นเขียวมินท์ คอปก L</v>
          </cell>
          <cell r="E3174">
            <v>0</v>
          </cell>
          <cell r="F3174">
            <v>0</v>
          </cell>
        </row>
        <row r="3175">
          <cell r="A3175" t="str">
            <v>MD0117-M</v>
          </cell>
          <cell r="B3175" t="str">
            <v>MD117</v>
          </cell>
          <cell r="C3175" t="str">
            <v>เยื่อไผ่ เดรสแขนสั้น พื้นครีม ดอกไม้ชมพู คอปก M QC</v>
          </cell>
          <cell r="E3175">
            <v>0</v>
          </cell>
          <cell r="F3175">
            <v>390</v>
          </cell>
        </row>
        <row r="3176">
          <cell r="A3176" t="str">
            <v>MD0120-L</v>
          </cell>
          <cell r="B3176" t="str">
            <v>MD120</v>
          </cell>
          <cell r="C3176" t="str">
            <v>เยื่อไผ่ เดรสแขนสั้น สีขาว L</v>
          </cell>
          <cell r="E3176">
            <v>0</v>
          </cell>
          <cell r="F3176">
            <v>0</v>
          </cell>
        </row>
        <row r="3177">
          <cell r="A3177" t="str">
            <v>MD0120-M</v>
          </cell>
          <cell r="B3177" t="str">
            <v>MD120</v>
          </cell>
          <cell r="C3177" t="str">
            <v>เยื่อไผ่ เดรสแขนสั้น สีขาว M QC</v>
          </cell>
          <cell r="E3177">
            <v>0</v>
          </cell>
          <cell r="F3177">
            <v>0</v>
          </cell>
        </row>
        <row r="3178">
          <cell r="A3178" t="str">
            <v>MD0122-M</v>
          </cell>
          <cell r="B3178" t="str">
            <v>MD122</v>
          </cell>
          <cell r="C3178" t="str">
            <v>เยื่อไผ่ เดรสแขนสั้น สีโอรส ขอบดำ M หลุด QC</v>
          </cell>
          <cell r="E3178">
            <v>0</v>
          </cell>
          <cell r="F3178">
            <v>390</v>
          </cell>
        </row>
        <row r="3179">
          <cell r="A3179" t="str">
            <v>MD0124-L</v>
          </cell>
          <cell r="B3179" t="str">
            <v>MD124</v>
          </cell>
          <cell r="C3179" t="str">
            <v>ซาติน เดรสแขนห้าส่วน พื้นเขียว ลายทางขาว L QC</v>
          </cell>
          <cell r="E3179">
            <v>0</v>
          </cell>
          <cell r="F3179">
            <v>0</v>
          </cell>
        </row>
        <row r="3180">
          <cell r="A3180" t="str">
            <v>MD0125-XL</v>
          </cell>
          <cell r="B3180" t="str">
            <v>MD125</v>
          </cell>
          <cell r="C3180" t="str">
            <v>ซาติน เดรสแขนห้าส่วน พื้นขาว ลายทางดำ XL หลุด QC</v>
          </cell>
          <cell r="E3180">
            <v>0</v>
          </cell>
          <cell r="F3180">
            <v>390</v>
          </cell>
        </row>
        <row r="3181">
          <cell r="A3181" t="str">
            <v>MD0126-M</v>
          </cell>
          <cell r="B3181" t="str">
            <v>MD126</v>
          </cell>
          <cell r="C3181" t="str">
            <v>ซาติน เสื้อคลุม สายเดี่ยว ลายกุหลาบซ้อน ขอบเขียว M QC</v>
          </cell>
          <cell r="E3181">
            <v>0</v>
          </cell>
          <cell r="F3181">
            <v>0</v>
          </cell>
        </row>
        <row r="3182">
          <cell r="A3182" t="str">
            <v>MD0133-XL</v>
          </cell>
          <cell r="B3182" t="str">
            <v>MD133</v>
          </cell>
          <cell r="C3182" t="str">
            <v>ซาติน เสื้อคลุม สายเดี่ยว ดอกอัญชัน ขอบม่วง XL</v>
          </cell>
          <cell r="E3182">
            <v>0</v>
          </cell>
          <cell r="F3182">
            <v>0</v>
          </cell>
        </row>
        <row r="3183">
          <cell r="A3183" t="str">
            <v>MD0134-L</v>
          </cell>
          <cell r="B3183" t="str">
            <v>MD134</v>
          </cell>
          <cell r="C3183" t="str">
            <v>ซาติน เสื้อคลุม สายเดี่ยว ทิวลิป ขอบม่วง L QC</v>
          </cell>
          <cell r="E3183">
            <v>0</v>
          </cell>
          <cell r="F3183">
            <v>0</v>
          </cell>
        </row>
        <row r="3184">
          <cell r="A3184" t="str">
            <v>MD0138-F</v>
          </cell>
          <cell r="B3184" t="str">
            <v>MD138</v>
          </cell>
          <cell r="C3184" t="str">
            <v>เยื่อไผ่ เดรสแขนสั้น ดอกท้อ ใบไม้กรม พื้นเขียว F QC</v>
          </cell>
          <cell r="E3184">
            <v>0</v>
          </cell>
          <cell r="F3184">
            <v>0</v>
          </cell>
        </row>
        <row r="3185">
          <cell r="A3185" t="str">
            <v>MD0358-F</v>
          </cell>
          <cell r="B3185" t="str">
            <v>MD358</v>
          </cell>
          <cell r="C3185" t="str">
            <v>เยื่อไผ่ เดรสแขนสั้น คอปก ดอกไม้ พื้นกรม QC</v>
          </cell>
          <cell r="E3185">
            <v>0</v>
          </cell>
          <cell r="F3185">
            <v>0</v>
          </cell>
        </row>
        <row r="3186">
          <cell r="A3186" t="str">
            <v>MD0369-F</v>
          </cell>
          <cell r="B3186" t="str">
            <v>MD369</v>
          </cell>
          <cell r="C3186" t="str">
            <v>เยื่อไผ่ เดรสแขนสั้น ดอกหน้าวัว พื้นกรม F QC</v>
          </cell>
          <cell r="E3186">
            <v>0</v>
          </cell>
          <cell r="F3186">
            <v>0</v>
          </cell>
        </row>
        <row r="3187">
          <cell r="A3187" t="str">
            <v>MD0375-F</v>
          </cell>
          <cell r="B3187" t="str">
            <v>MD375</v>
          </cell>
          <cell r="C3187" t="str">
            <v>เยื่อไผ่ เดรสแขนสั้น ช่อชบาพื้นเหลือง F QC</v>
          </cell>
          <cell r="E3187">
            <v>0</v>
          </cell>
          <cell r="F3187">
            <v>0</v>
          </cell>
        </row>
        <row r="3188">
          <cell r="A3188" t="str">
            <v>MD0376-F</v>
          </cell>
          <cell r="B3188" t="str">
            <v>MD376</v>
          </cell>
          <cell r="C3188" t="str">
            <v>เยื่อไผ่ เดรสแขนสั้น แอปเปิ้ล พื้นเขียวอ่อน F QC</v>
          </cell>
          <cell r="E3188">
            <v>0</v>
          </cell>
          <cell r="F3188">
            <v>0</v>
          </cell>
        </row>
        <row r="3189">
          <cell r="A3189" t="str">
            <v>MD0379-F</v>
          </cell>
          <cell r="B3189" t="str">
            <v>MD379</v>
          </cell>
          <cell r="C3189" t="str">
            <v>เยื่อไผ่ เดรสแขนสั้น ชบาเหลือง พื้นชมพู F QC</v>
          </cell>
          <cell r="E3189">
            <v>0</v>
          </cell>
          <cell r="F3189">
            <v>0</v>
          </cell>
        </row>
        <row r="3190">
          <cell r="A3190" t="str">
            <v>MD0380-F</v>
          </cell>
          <cell r="B3190" t="str">
            <v>MD380</v>
          </cell>
          <cell r="C3190" t="str">
            <v>เยื่อไผ่ เดรสแขนสั้น ดอกบ๊วย พื้นฟ้า F QC</v>
          </cell>
          <cell r="E3190">
            <v>0</v>
          </cell>
          <cell r="F3190">
            <v>0</v>
          </cell>
        </row>
        <row r="3191">
          <cell r="A3191" t="str">
            <v>MD0382-F</v>
          </cell>
          <cell r="B3191" t="str">
            <v>MD382</v>
          </cell>
          <cell r="C3191" t="str">
            <v>เยื่อไผ่ เดรสแขนสั้น ดอกไม้เทา พื้นชมพู F QC</v>
          </cell>
          <cell r="E3191">
            <v>0</v>
          </cell>
          <cell r="F3191">
            <v>0</v>
          </cell>
        </row>
        <row r="3192">
          <cell r="A3192" t="str">
            <v>MD0480-F</v>
          </cell>
          <cell r="B3192" t="str">
            <v>MD480</v>
          </cell>
          <cell r="C3192" t="str">
            <v>เยื่อไผ่ เดรสสายเดี่ยว อกจั๊มพ์ ดอกไมน้อย พื้นเหลือง F</v>
          </cell>
          <cell r="E3192">
            <v>0</v>
          </cell>
          <cell r="F3192">
            <v>0</v>
          </cell>
        </row>
        <row r="3193">
          <cell r="A3193" t="str">
            <v>ME0003-L</v>
          </cell>
          <cell r="B3193" t="str">
            <v>ME3</v>
          </cell>
          <cell r="C3193" t="str">
            <v>เยื่อไผ่ สี่ส่วน กวาง พื้นชมพู L QC</v>
          </cell>
          <cell r="E3193">
            <v>0</v>
          </cell>
          <cell r="F3193">
            <v>390</v>
          </cell>
        </row>
        <row r="3194">
          <cell r="A3194" t="str">
            <v>ME0027-XL</v>
          </cell>
          <cell r="B3194" t="str">
            <v>ME27</v>
          </cell>
          <cell r="C3194" t="str">
            <v>เยื่อไผ่ สี่ส่วน คอวี โบตั๋นชมพู XL</v>
          </cell>
          <cell r="E3194">
            <v>0</v>
          </cell>
          <cell r="F3194">
            <v>520</v>
          </cell>
        </row>
        <row r="3195">
          <cell r="A3195" t="str">
            <v>ME0028-XL</v>
          </cell>
          <cell r="B3195" t="str">
            <v>ME28</v>
          </cell>
          <cell r="C3195" t="str">
            <v>เยื่อไผ่ สี่ส่วน คอวี โบตั่นฟ้า XL</v>
          </cell>
          <cell r="E3195">
            <v>0</v>
          </cell>
          <cell r="F3195">
            <v>520</v>
          </cell>
        </row>
        <row r="3196">
          <cell r="A3196" t="str">
            <v>ME0029-M</v>
          </cell>
          <cell r="B3196" t="str">
            <v>ME29</v>
          </cell>
          <cell r="C3196" t="str">
            <v>เยื่อไผ่ สี่ส่วน คอวี โบตั๋นเขียวมิ้น M</v>
          </cell>
          <cell r="E3196">
            <v>0</v>
          </cell>
          <cell r="F3196">
            <v>520</v>
          </cell>
        </row>
        <row r="3197">
          <cell r="A3197" t="str">
            <v>ME0038-M</v>
          </cell>
          <cell r="B3197" t="str">
            <v>ME38</v>
          </cell>
          <cell r="C3197" t="str">
            <v>เยื่อไผ่ สี่ส่วน ดอกไม้ขาว พื้นชมพู M หลุด QC</v>
          </cell>
          <cell r="E3197">
            <v>0</v>
          </cell>
          <cell r="F3197">
            <v>999</v>
          </cell>
        </row>
        <row r="3198">
          <cell r="A3198" t="str">
            <v>ME0041-L</v>
          </cell>
          <cell r="B3198" t="str">
            <v>ME41</v>
          </cell>
          <cell r="C3198" t="str">
            <v>เยื่อไผ่ สี่ส่วน ดอกไม้ชมพูใหญ่ พื้นกรม L</v>
          </cell>
          <cell r="E3198">
            <v>0</v>
          </cell>
          <cell r="F3198">
            <v>520</v>
          </cell>
        </row>
        <row r="3199">
          <cell r="A3199" t="str">
            <v>ME0041-M</v>
          </cell>
          <cell r="B3199" t="str">
            <v>ME41</v>
          </cell>
          <cell r="C3199" t="str">
            <v>เยื่อไผ่ สี่ส่วน ดอกไม้ชมพูใหญ่ พื้นกรม M QC</v>
          </cell>
          <cell r="E3199">
            <v>0</v>
          </cell>
          <cell r="F3199">
            <v>390</v>
          </cell>
        </row>
        <row r="3200">
          <cell r="A3200" t="str">
            <v>ME0051-M</v>
          </cell>
          <cell r="B3200" t="str">
            <v>ME51</v>
          </cell>
          <cell r="C3200" t="str">
            <v>เยื่อไผ่ สี่ส่วน ดอกไม้กรมชมพู พื้นครีม M QC</v>
          </cell>
          <cell r="E3200">
            <v>0</v>
          </cell>
          <cell r="F3200">
            <v>520</v>
          </cell>
        </row>
        <row r="3201">
          <cell r="A3201" t="str">
            <v>ME0051-XL</v>
          </cell>
          <cell r="B3201" t="str">
            <v>ME51</v>
          </cell>
          <cell r="C3201" t="str">
            <v>เยื่อไผ่ สี่ส่วน ดอกไม้กรมชมพู พื้นครีม XL QC</v>
          </cell>
          <cell r="E3201">
            <v>0</v>
          </cell>
          <cell r="F3201">
            <v>390</v>
          </cell>
        </row>
        <row r="3202">
          <cell r="A3202" t="str">
            <v>ME0098-L</v>
          </cell>
          <cell r="B3202" t="str">
            <v>ME98</v>
          </cell>
          <cell r="C3202" t="str">
            <v>เยื่อไผ่ สี่ส่วน ดอกกุหลาบ พื้นเขียว L หลุด QC</v>
          </cell>
          <cell r="E3202">
            <v>0</v>
          </cell>
          <cell r="F3202">
            <v>999</v>
          </cell>
        </row>
        <row r="3203">
          <cell r="A3203" t="str">
            <v>ME0099-XL</v>
          </cell>
          <cell r="B3203" t="str">
            <v>ME99</v>
          </cell>
          <cell r="C3203" t="str">
            <v>เยื่อไผ่ สี่ส่วน ดอกกุหลาบ พื้นเหลือง XL หลุด QC</v>
          </cell>
          <cell r="E3203">
            <v>0</v>
          </cell>
          <cell r="F3203">
            <v>999</v>
          </cell>
        </row>
        <row r="3204">
          <cell r="A3204" t="str">
            <v>ME0100-L</v>
          </cell>
          <cell r="B3204" t="str">
            <v>ME100</v>
          </cell>
          <cell r="C3204" t="str">
            <v>เยื่อไผ่ สี่ส่วน ดอกไม้เทา ใบไม้เขียว พื้นชมพุ L หลุด QC</v>
          </cell>
          <cell r="E3204">
            <v>0</v>
          </cell>
          <cell r="F3204">
            <v>999</v>
          </cell>
        </row>
        <row r="3205">
          <cell r="A3205" t="str">
            <v>ME0100-M</v>
          </cell>
          <cell r="B3205" t="str">
            <v>ME100</v>
          </cell>
          <cell r="C3205" t="str">
            <v>เยื่อไผ่ สี่ส่วน ดอกไม้เทา ใบไม้เขียว พื้นชมพุ M หลุด QC</v>
          </cell>
          <cell r="E3205">
            <v>0</v>
          </cell>
          <cell r="F3205">
            <v>999</v>
          </cell>
        </row>
        <row r="3206">
          <cell r="A3206" t="str">
            <v>ME0101-M</v>
          </cell>
          <cell r="B3206" t="str">
            <v>ME101</v>
          </cell>
          <cell r="C3206" t="str">
            <v>เยื่อไผ่ สี่ส่วน ดอกไม้ขาว เกสรชมพู พื้นชมพู M หลุด QC</v>
          </cell>
          <cell r="E3206">
            <v>0</v>
          </cell>
          <cell r="F3206">
            <v>520</v>
          </cell>
        </row>
        <row r="3207">
          <cell r="A3207" t="str">
            <v>ME0142-XL</v>
          </cell>
          <cell r="B3207" t="str">
            <v>ME142</v>
          </cell>
          <cell r="C3207" t="str">
            <v>เยื่อไผ่ สี่ส่วน ส้มใบไม้เขียว พื้นครีม XL</v>
          </cell>
          <cell r="E3207">
            <v>0</v>
          </cell>
          <cell r="F3207">
            <v>520</v>
          </cell>
        </row>
        <row r="3208">
          <cell r="A3208" t="str">
            <v>ME0179-L</v>
          </cell>
          <cell r="B3208" t="str">
            <v>ME179</v>
          </cell>
          <cell r="C3208" t="str">
            <v>เยื่อไผ่ สี่ส่วน พื้นเหลือง ดอกไม้ม่วง L หลุด QC</v>
          </cell>
          <cell r="E3208">
            <v>0</v>
          </cell>
          <cell r="F3208">
            <v>999</v>
          </cell>
        </row>
        <row r="3209">
          <cell r="A3209" t="str">
            <v>ME0181-M</v>
          </cell>
          <cell r="B3209" t="str">
            <v>ME181</v>
          </cell>
          <cell r="C3209" t="str">
            <v>มัสลิน สี่ส่วน พื้นโอรส หัวใจขาว M หลุด QC</v>
          </cell>
          <cell r="E3209">
            <v>0</v>
          </cell>
          <cell r="F3209">
            <v>999</v>
          </cell>
        </row>
        <row r="3210">
          <cell r="A3210" t="str">
            <v>ME0191-M</v>
          </cell>
          <cell r="B3210" t="str">
            <v>ME191</v>
          </cell>
          <cell r="C3210" t="str">
            <v>เยื่อไผ่ สี่ส่วน พื้นกรม ใบตอง M หลุด QC</v>
          </cell>
          <cell r="E3210">
            <v>0</v>
          </cell>
          <cell r="F3210">
            <v>999</v>
          </cell>
        </row>
        <row r="3211">
          <cell r="A3211" t="str">
            <v>ME0192-M</v>
          </cell>
          <cell r="B3211" t="str">
            <v>ME192</v>
          </cell>
          <cell r="C3211" t="str">
            <v>เยื่อไผ่ สี่ส่วน พื้นขาว Big Blue Flower  M หลุด QC</v>
          </cell>
          <cell r="E3211">
            <v>0</v>
          </cell>
          <cell r="F3211">
            <v>999</v>
          </cell>
        </row>
        <row r="3212">
          <cell r="A3212" t="str">
            <v>ME0192-XL</v>
          </cell>
          <cell r="B3212" t="str">
            <v>ME192</v>
          </cell>
          <cell r="C3212" t="str">
            <v>เยื่อไผ่ สี่ส่วน พื้นขาว Big Blue Flower  XL</v>
          </cell>
          <cell r="E3212">
            <v>0</v>
          </cell>
          <cell r="F3212">
            <v>0</v>
          </cell>
        </row>
        <row r="3213">
          <cell r="A3213" t="str">
            <v>ME0195-XL</v>
          </cell>
          <cell r="B3213" t="str">
            <v>ME195</v>
          </cell>
          <cell r="C3213" t="str">
            <v>เยื่อไผ่ สี่ส่วน พื้นฟ้า ดอกไม้ม่วง ขาว XL หลุด QC</v>
          </cell>
          <cell r="E3213">
            <v>0</v>
          </cell>
          <cell r="F3213">
            <v>999</v>
          </cell>
        </row>
        <row r="3214">
          <cell r="A3214" t="str">
            <v>ME0198-XL</v>
          </cell>
          <cell r="B3214" t="str">
            <v>ME198</v>
          </cell>
          <cell r="C3214" t="str">
            <v>เยื่อไผ่ สี่ส่วน พื้นขาวอมชมพู ใบไม้หลากสี XL</v>
          </cell>
          <cell r="E3214">
            <v>0</v>
          </cell>
          <cell r="F3214">
            <v>0</v>
          </cell>
        </row>
        <row r="3215">
          <cell r="A3215" t="str">
            <v>ME0201-M</v>
          </cell>
          <cell r="B3215" t="str">
            <v>ME201</v>
          </cell>
          <cell r="C3215" t="str">
            <v>เยื่อไผ่ สี่ส่วน พื้นชมพู ดอกไม้ชมพู ใบไม้น้ำเงินเขี่ยว M</v>
          </cell>
          <cell r="E3215">
            <v>0</v>
          </cell>
          <cell r="F3215">
            <v>0</v>
          </cell>
        </row>
        <row r="3216">
          <cell r="A3216" t="str">
            <v>ME0203-M</v>
          </cell>
          <cell r="B3216" t="str">
            <v>ME203</v>
          </cell>
          <cell r="C3216" t="str">
            <v>เยื่อไผ่ สี่ส่วน พื้นฟ้า ใบไม้ชมพูแดง ครีม M หลุด QC</v>
          </cell>
          <cell r="E3216">
            <v>0</v>
          </cell>
          <cell r="F3216">
            <v>999</v>
          </cell>
        </row>
        <row r="3217">
          <cell r="A3217" t="str">
            <v>ME0208-L</v>
          </cell>
          <cell r="B3217" t="str">
            <v>ME208</v>
          </cell>
          <cell r="C3217" t="str">
            <v>เยื่อไผ่ สี่ส่วน กล้วยไม้ พื้นเขียว L</v>
          </cell>
          <cell r="E3217">
            <v>0</v>
          </cell>
          <cell r="F3217">
            <v>0</v>
          </cell>
        </row>
        <row r="3218">
          <cell r="A3218" t="str">
            <v>ME0211-L</v>
          </cell>
          <cell r="B3218" t="str">
            <v>ME211</v>
          </cell>
          <cell r="C3218" t="str">
            <v>เยื่อไผ่ สี่ส่วน ลูกพีช พื้นชมพู L QC</v>
          </cell>
          <cell r="E3218">
            <v>0</v>
          </cell>
          <cell r="F3218">
            <v>0</v>
          </cell>
        </row>
        <row r="3219">
          <cell r="A3219" t="str">
            <v>ME0211-M</v>
          </cell>
          <cell r="B3219" t="str">
            <v>ME211</v>
          </cell>
          <cell r="C3219" t="str">
            <v>เยื่อไผ่ สี่ส่วน ลูกพีช พื้นชมพู M</v>
          </cell>
          <cell r="E3219">
            <v>0</v>
          </cell>
          <cell r="F3219">
            <v>0</v>
          </cell>
        </row>
        <row r="3220">
          <cell r="A3220" t="str">
            <v>ME0211-XL</v>
          </cell>
          <cell r="B3220" t="str">
            <v>ME211</v>
          </cell>
          <cell r="C3220" t="str">
            <v>เยื่อไผ่ สี่ส่วน ลูกพีช พื้นชมพู XL</v>
          </cell>
          <cell r="E3220">
            <v>0</v>
          </cell>
          <cell r="F3220">
            <v>0</v>
          </cell>
        </row>
        <row r="3221">
          <cell r="A3221" t="str">
            <v>ME0212-L</v>
          </cell>
          <cell r="B3221" t="str">
            <v>ME212</v>
          </cell>
          <cell r="C3221" t="str">
            <v>เยื่อไผ่ สี่ส่วน การ์ตูน กระต่ายน้อย L QC</v>
          </cell>
          <cell r="E3221">
            <v>0</v>
          </cell>
          <cell r="F3221">
            <v>0</v>
          </cell>
        </row>
        <row r="3222">
          <cell r="A3222" t="str">
            <v>ME0212-XL</v>
          </cell>
          <cell r="B3222" t="str">
            <v>ME212</v>
          </cell>
          <cell r="C3222" t="str">
            <v>เยื่อไผ่ สี่ส่วน การ์ตูน กระต่ายน้อย XL QC</v>
          </cell>
          <cell r="E3222">
            <v>0</v>
          </cell>
          <cell r="F3222">
            <v>390</v>
          </cell>
        </row>
        <row r="3223">
          <cell r="A3223" t="str">
            <v>ME0213-XL</v>
          </cell>
          <cell r="B3223" t="str">
            <v>ME213</v>
          </cell>
          <cell r="C3223" t="str">
            <v>เยื่อไผ่ สี่ส่วน กระต่ายชมพู ใบไม้ฟ้า พื้นฟ้า XL</v>
          </cell>
          <cell r="E3223">
            <v>0</v>
          </cell>
          <cell r="F3223">
            <v>0</v>
          </cell>
        </row>
        <row r="3224">
          <cell r="A3224" t="str">
            <v>MG0002-L</v>
          </cell>
          <cell r="B3224" t="str">
            <v>MG2</v>
          </cell>
          <cell r="C3224" t="str">
            <v>เยื่อไผ่ แขนสั้นขาห้าส่วน สวนกุหลาบชมพู พื้นชมพู L</v>
          </cell>
          <cell r="E3224">
            <v>0</v>
          </cell>
          <cell r="F3224">
            <v>0</v>
          </cell>
        </row>
        <row r="3225">
          <cell r="A3225" t="str">
            <v>MG0002-M</v>
          </cell>
          <cell r="B3225" t="str">
            <v>MG2</v>
          </cell>
          <cell r="C3225" t="str">
            <v>เยื่อไผ่ แขนสั้นขาห้าส่วน สวนกุหลาบชมพู พื้นชมพู M</v>
          </cell>
          <cell r="E3225">
            <v>0</v>
          </cell>
          <cell r="F3225">
            <v>0</v>
          </cell>
        </row>
        <row r="3226">
          <cell r="A3226" t="str">
            <v>MG0002-XL</v>
          </cell>
          <cell r="B3226" t="str">
            <v>MG2</v>
          </cell>
          <cell r="C3226" t="str">
            <v>เยื่อไผ่ แขนสั้นขาห้าส่วน สวนกุหลาบชมพู พื้นชมพู XL</v>
          </cell>
          <cell r="E3226">
            <v>0</v>
          </cell>
          <cell r="F3226">
            <v>0</v>
          </cell>
        </row>
        <row r="3227">
          <cell r="A3227" t="str">
            <v>MG0003-2XL</v>
          </cell>
          <cell r="B3227" t="str">
            <v>MG3</v>
          </cell>
          <cell r="C3227" t="str">
            <v>เยื่อไผ่ แขนสั้นขาห้าส่วน สวนดอกไม้ พื้นขาว 2XL QC</v>
          </cell>
          <cell r="E3227">
            <v>0</v>
          </cell>
          <cell r="F3227">
            <v>0</v>
          </cell>
        </row>
        <row r="3228">
          <cell r="A3228" t="str">
            <v>MG0003-3XL</v>
          </cell>
          <cell r="B3228" t="str">
            <v>MG3</v>
          </cell>
          <cell r="C3228" t="str">
            <v>เยื่อไผ่ แขนสั้นขาห้าส่วน สวนดอกไม้ พื้นขาว 3XL QC</v>
          </cell>
          <cell r="E3228">
            <v>0</v>
          </cell>
          <cell r="F3228">
            <v>0</v>
          </cell>
        </row>
        <row r="3229">
          <cell r="A3229" t="str">
            <v>MG0005-2XL</v>
          </cell>
          <cell r="B3229" t="str">
            <v>MG5</v>
          </cell>
          <cell r="C3229" t="str">
            <v>เยื่อไผ่ แขนสั้นขาห้าส่วน หัวใจ พาสเทล 2XL</v>
          </cell>
          <cell r="E3229">
            <v>0</v>
          </cell>
          <cell r="F3229">
            <v>0</v>
          </cell>
        </row>
        <row r="3230">
          <cell r="A3230" t="str">
            <v>MG0005-3XL</v>
          </cell>
          <cell r="B3230" t="str">
            <v>MG5</v>
          </cell>
          <cell r="C3230" t="str">
            <v>เยื่อไผ่ แขนสั้นขาห้าส่วน หัวใจ พาสเทล 3XL</v>
          </cell>
          <cell r="E3230">
            <v>0</v>
          </cell>
          <cell r="F3230">
            <v>0</v>
          </cell>
        </row>
        <row r="3231">
          <cell r="A3231" t="str">
            <v>MG0006-M</v>
          </cell>
          <cell r="B3231" t="str">
            <v>MG6</v>
          </cell>
          <cell r="C3231" t="str">
            <v>เยื่อไผ่ แขนสั้นขาห้าส่วน ดอกหน้าวัว พื้นกรม M QC</v>
          </cell>
          <cell r="E3231">
            <v>0</v>
          </cell>
          <cell r="F3231">
            <v>0</v>
          </cell>
        </row>
        <row r="3232">
          <cell r="A3232" t="str">
            <v>MG0007-XL</v>
          </cell>
          <cell r="B3232" t="str">
            <v>MG7</v>
          </cell>
          <cell r="C3232" t="str">
            <v>เยื่อไผ่ แขนสั้นขาห้าส่วน หัวใจ 3 สี พื้นดำ XL</v>
          </cell>
          <cell r="E3232">
            <v>0</v>
          </cell>
          <cell r="F3232">
            <v>0</v>
          </cell>
        </row>
        <row r="3233">
          <cell r="A3233" t="str">
            <v>MG0011-XL</v>
          </cell>
          <cell r="B3233" t="str">
            <v>MG11</v>
          </cell>
          <cell r="C3233" t="str">
            <v>เยื่อไผ่ แขนสั้นขาห้าส่วน หัวใจดำ พื้นขาว XL</v>
          </cell>
          <cell r="E3233">
            <v>0</v>
          </cell>
          <cell r="F3233">
            <v>0</v>
          </cell>
        </row>
        <row r="3234">
          <cell r="A3234" t="str">
            <v>MG0013-L</v>
          </cell>
          <cell r="B3234" t="str">
            <v>MG13</v>
          </cell>
          <cell r="C3234" t="str">
            <v>เยื่อไผ่ แขนสั้นขาห้าส่วน ลูกพีช พื้นชมพู L</v>
          </cell>
          <cell r="E3234">
            <v>0</v>
          </cell>
          <cell r="F3234">
            <v>0</v>
          </cell>
        </row>
        <row r="3235">
          <cell r="A3235" t="str">
            <v>MG0015-2XL</v>
          </cell>
          <cell r="B3235" t="str">
            <v>MG15</v>
          </cell>
          <cell r="C3235" t="str">
            <v>เยื่อไผ่ แขนสั้นขาห้าส่วน ดอกชบาแดง พื้นฟ้า 2XL</v>
          </cell>
          <cell r="E3235">
            <v>0</v>
          </cell>
          <cell r="F3235">
            <v>0</v>
          </cell>
        </row>
        <row r="3236">
          <cell r="A3236" t="str">
            <v>MG0015-3XL</v>
          </cell>
          <cell r="B3236" t="str">
            <v>MG15</v>
          </cell>
          <cell r="C3236" t="str">
            <v>เยื่อไผ่ แขนสั้นขาห้าส่วน ดอกชบาแดง พื้นฟ้า 3XL</v>
          </cell>
          <cell r="E3236">
            <v>0</v>
          </cell>
          <cell r="F3236">
            <v>0</v>
          </cell>
        </row>
        <row r="3237">
          <cell r="A3237" t="str">
            <v>MG0016-2XL</v>
          </cell>
          <cell r="B3237" t="str">
            <v>MG16</v>
          </cell>
          <cell r="C3237" t="str">
            <v>เยื่อไผ่ แขนสั้นขาห้าส่วน ดอกหน้าวัว พื้นม่วง 2XL QC</v>
          </cell>
          <cell r="E3237">
            <v>0</v>
          </cell>
          <cell r="F3237">
            <v>0</v>
          </cell>
        </row>
        <row r="3238">
          <cell r="A3238" t="str">
            <v>MG0016-M</v>
          </cell>
          <cell r="B3238" t="str">
            <v>MG16</v>
          </cell>
          <cell r="C3238" t="str">
            <v>เยื่อไผ่ แขนสั้นขาห้าส่วน ดอกหน้าวัว พื้นม่วง M QC</v>
          </cell>
          <cell r="E3238">
            <v>0</v>
          </cell>
          <cell r="F3238">
            <v>390</v>
          </cell>
        </row>
        <row r="3239">
          <cell r="A3239" t="str">
            <v>MG0017-L</v>
          </cell>
          <cell r="B3239" t="str">
            <v>MG17</v>
          </cell>
          <cell r="C3239" t="str">
            <v>เยื่อไผ่ แขนสั้นขาห้าส่วน ดอกส้ม พื้นเขียวเทา L</v>
          </cell>
          <cell r="E3239">
            <v>0</v>
          </cell>
          <cell r="F3239">
            <v>0</v>
          </cell>
        </row>
        <row r="3240">
          <cell r="A3240" t="str">
            <v>MG0018-M</v>
          </cell>
          <cell r="B3240" t="str">
            <v>MG18</v>
          </cell>
          <cell r="C3240" t="str">
            <v>เยื่อไผ่ แขนสั้นขาห้าส่วน กระถางต้นไม้ม่วง พื้นครีม M</v>
          </cell>
          <cell r="E3240">
            <v>0</v>
          </cell>
          <cell r="F3240">
            <v>0</v>
          </cell>
        </row>
        <row r="3241">
          <cell r="A3241" t="str">
            <v>MI0001-L</v>
          </cell>
          <cell r="B3241" t="str">
            <v>I1</v>
          </cell>
          <cell r="C3241" t="str">
            <v>มัสลิน แขนสั้นขายาว ดอกไม้ฟ้า ห้าแฉก พื้นครีม L</v>
          </cell>
          <cell r="E3241">
            <v>0</v>
          </cell>
          <cell r="F3241">
            <v>0</v>
          </cell>
        </row>
        <row r="3242">
          <cell r="A3242" t="str">
            <v>MI0001-M</v>
          </cell>
          <cell r="B3242" t="str">
            <v>I1</v>
          </cell>
          <cell r="C3242" t="str">
            <v>มัสลิน แขนสั้นขายาว ดอกไม้ฟ้า ห้าแฉก พื้นครีม M</v>
          </cell>
          <cell r="E3242">
            <v>0</v>
          </cell>
          <cell r="F3242">
            <v>0</v>
          </cell>
        </row>
        <row r="3243">
          <cell r="A3243" t="str">
            <v>MI0002-L</v>
          </cell>
          <cell r="B3243" t="str">
            <v>I2</v>
          </cell>
          <cell r="C3243" t="str">
            <v>มัสลิน แขนสั้นขายาว ดอกไม้ พื้นเขียว อุ๋งๆ L</v>
          </cell>
          <cell r="E3243">
            <v>0</v>
          </cell>
          <cell r="F3243">
            <v>0</v>
          </cell>
        </row>
        <row r="3244">
          <cell r="A3244" t="str">
            <v>MI0002-M</v>
          </cell>
          <cell r="B3244" t="str">
            <v>I2</v>
          </cell>
          <cell r="C3244" t="str">
            <v>มัสลิน แขนสั้นขายาว ดอกไม้ พื้นเขียว อุ๋งๆ M</v>
          </cell>
          <cell r="E3244">
            <v>0</v>
          </cell>
          <cell r="F3244">
            <v>0</v>
          </cell>
        </row>
        <row r="3245">
          <cell r="A3245" t="str">
            <v>MI0003-L</v>
          </cell>
          <cell r="B3245" t="str">
            <v>I3</v>
          </cell>
          <cell r="C3245" t="str">
            <v>มัสลิน แขนสั้นขายาว ดอกไม้ พื้นชมพู อุ๋งๆ L</v>
          </cell>
          <cell r="E3245">
            <v>0</v>
          </cell>
          <cell r="F3245">
            <v>0</v>
          </cell>
        </row>
        <row r="3246">
          <cell r="A3246" t="str">
            <v>MI0003-M</v>
          </cell>
          <cell r="B3246" t="str">
            <v>I3</v>
          </cell>
          <cell r="C3246" t="str">
            <v>มัสลิน แขนสั้นขายาว ดอกไม้ พื้นชมพู อุ๋งๆ M</v>
          </cell>
          <cell r="E3246">
            <v>0</v>
          </cell>
          <cell r="F3246">
            <v>0</v>
          </cell>
        </row>
        <row r="3247">
          <cell r="A3247" t="str">
            <v>MI0004-L</v>
          </cell>
          <cell r="B3247" t="str">
            <v>I4</v>
          </cell>
          <cell r="C3247" t="str">
            <v>มัสลิน แขนสั้นขายาว ดอกไม้ชมพู ห้าแฉก พื้นครีม L</v>
          </cell>
          <cell r="E3247">
            <v>0</v>
          </cell>
          <cell r="F3247">
            <v>0</v>
          </cell>
        </row>
        <row r="3248">
          <cell r="A3248" t="str">
            <v>MI0004-M</v>
          </cell>
          <cell r="B3248" t="str">
            <v>I4</v>
          </cell>
          <cell r="C3248" t="str">
            <v>มัสลิน แขนสั้นขายาว ดอกไม้ชมพู ห้าแฉก พื้นครีม M</v>
          </cell>
          <cell r="E3248">
            <v>0</v>
          </cell>
          <cell r="F3248">
            <v>0</v>
          </cell>
        </row>
        <row r="3249">
          <cell r="A3249" t="str">
            <v>MI0005-L</v>
          </cell>
          <cell r="B3249" t="str">
            <v>I5</v>
          </cell>
          <cell r="C3249" t="str">
            <v>มัสลิน แขนสั้นขายาว ดอกไม้ม่วง ขอบเขียว พื้นขาวครีม L</v>
          </cell>
          <cell r="E3249">
            <v>0</v>
          </cell>
          <cell r="F3249">
            <v>0</v>
          </cell>
        </row>
        <row r="3250">
          <cell r="A3250" t="str">
            <v>MI0005-M</v>
          </cell>
          <cell r="B3250" t="str">
            <v>I5</v>
          </cell>
          <cell r="C3250" t="str">
            <v>มัสลิน แขนสั้นขายาว ดอกไม้ม่วง ขอบเขียว พื้นขาวครีม M</v>
          </cell>
          <cell r="E3250">
            <v>0</v>
          </cell>
          <cell r="F3250">
            <v>0</v>
          </cell>
        </row>
        <row r="3251">
          <cell r="A3251" t="str">
            <v>MJ0019-L</v>
          </cell>
          <cell r="B3251" t="str">
            <v>MJ19</v>
          </cell>
          <cell r="C3251" t="str">
            <v>เสื้อญี่ปุ่น สั้นสั้น ผู้ชาย ตารางเทาเข้ม L QC</v>
          </cell>
          <cell r="E3251">
            <v>0</v>
          </cell>
          <cell r="F3251">
            <v>490</v>
          </cell>
        </row>
        <row r="3252">
          <cell r="A3252" t="str">
            <v>MJ0019-XL</v>
          </cell>
          <cell r="B3252" t="str">
            <v>MJ19</v>
          </cell>
          <cell r="C3252" t="str">
            <v>เสื้อญี่ปุ่น สั้นสั้น ผู้ชาย ตารางเทาเข้ม XL QC</v>
          </cell>
          <cell r="E3252">
            <v>0</v>
          </cell>
          <cell r="F3252">
            <v>490</v>
          </cell>
        </row>
        <row r="3253">
          <cell r="A3253" t="str">
            <v>MJ0020-L</v>
          </cell>
          <cell r="B3253" t="str">
            <v>MJ20</v>
          </cell>
          <cell r="C3253" t="str">
            <v>เสื้อญี่ปุ่น สั้นสั้น ผู้ชาย ตารางฟ้าคราม L QC</v>
          </cell>
          <cell r="E3253">
            <v>0</v>
          </cell>
          <cell r="F3253">
            <v>490</v>
          </cell>
        </row>
        <row r="3254">
          <cell r="A3254" t="str">
            <v>MJ0020-M</v>
          </cell>
          <cell r="B3254" t="str">
            <v>MJ20</v>
          </cell>
          <cell r="C3254" t="str">
            <v>เสื้อญี่ปุ่น สั้นสั้น ผู้ชาย ตารางฟ้าคราม M QC</v>
          </cell>
          <cell r="E3254">
            <v>0</v>
          </cell>
          <cell r="F3254">
            <v>490</v>
          </cell>
        </row>
        <row r="3255">
          <cell r="A3255" t="str">
            <v>MJ0022-L</v>
          </cell>
          <cell r="B3255" t="str">
            <v>MJ22</v>
          </cell>
          <cell r="C3255" t="str">
            <v>เสื้อญี่ปุ่น สั้นยาว ผู้ชาย ตารางกรม L QC</v>
          </cell>
          <cell r="E3255">
            <v>0</v>
          </cell>
          <cell r="F3255">
            <v>0</v>
          </cell>
        </row>
        <row r="3256">
          <cell r="A3256" t="str">
            <v>MJ0023-M</v>
          </cell>
          <cell r="B3256" t="str">
            <v>MJ23</v>
          </cell>
          <cell r="C3256" t="str">
            <v>เสื้อญี่ปุ่น สั้นยาว ผู้ชาย ตารางเขียว  M QC</v>
          </cell>
          <cell r="E3256">
            <v>0</v>
          </cell>
          <cell r="F3256">
            <v>0</v>
          </cell>
        </row>
        <row r="3257">
          <cell r="A3257" t="str">
            <v>MJ0023-XL</v>
          </cell>
          <cell r="B3257" t="str">
            <v>MJ23</v>
          </cell>
          <cell r="C3257" t="str">
            <v>เสื้อญี่ปุ่น สั้นยาว ผู้ชาย ตารางเขียว XL QC</v>
          </cell>
          <cell r="E3257">
            <v>0</v>
          </cell>
          <cell r="F3257">
            <v>0</v>
          </cell>
        </row>
        <row r="3258">
          <cell r="A3258" t="str">
            <v>MJ0024-M</v>
          </cell>
          <cell r="B3258" t="str">
            <v>MJ24</v>
          </cell>
          <cell r="C3258" t="str">
            <v>เสื้อญี่ปุ่น สั้นยาว ผู้ชาย ตารางเทาเข้ม M QC</v>
          </cell>
          <cell r="E3258">
            <v>0</v>
          </cell>
          <cell r="F3258">
            <v>0</v>
          </cell>
        </row>
        <row r="3259">
          <cell r="A3259" t="str">
            <v>MJ0025-XL</v>
          </cell>
          <cell r="B3259" t="str">
            <v>MJ25</v>
          </cell>
          <cell r="C3259" t="str">
            <v>เสื้อญี่ปุ่น สั้นยาว ผู้ชาย ตารางฟ้าคราม XL QC</v>
          </cell>
          <cell r="E3259">
            <v>0</v>
          </cell>
          <cell r="F3259">
            <v>0</v>
          </cell>
        </row>
        <row r="3260">
          <cell r="A3260" t="str">
            <v>MS0003-F</v>
          </cell>
          <cell r="B3260" t="str">
            <v>MS3</v>
          </cell>
          <cell r="C3260" t="str">
            <v>MS0003-F กางเกงขาสั้น ลายอาร์ตเขียว ชมพู ดำ F</v>
          </cell>
          <cell r="E3260">
            <v>0</v>
          </cell>
          <cell r="F3260">
            <v>390</v>
          </cell>
        </row>
        <row r="3261">
          <cell r="A3261" t="str">
            <v>MS0011-F</v>
          </cell>
          <cell r="B3261" t="str">
            <v>MS11</v>
          </cell>
          <cell r="C3261" t="str">
            <v>MS0011-F กางเกงขาสั้น ดอกไม้เหลือง พื้นกรม F</v>
          </cell>
          <cell r="E3261">
            <v>0</v>
          </cell>
          <cell r="F3261">
            <v>390</v>
          </cell>
        </row>
        <row r="3262">
          <cell r="A3262" t="str">
            <v>MS0014-F</v>
          </cell>
          <cell r="B3262" t="str">
            <v>MS14</v>
          </cell>
          <cell r="C3262" t="str">
            <v>MS0014-F กางเกงขาสั้น ดอกบัวชมพู พื้นเหลือง F</v>
          </cell>
          <cell r="E3262">
            <v>0</v>
          </cell>
          <cell r="F3262">
            <v>390</v>
          </cell>
        </row>
        <row r="3263">
          <cell r="A3263" t="str">
            <v>MS0016-F</v>
          </cell>
          <cell r="B3263" t="str">
            <v>MS16</v>
          </cell>
          <cell r="C3263" t="str">
            <v>MS0016-F กางเกงขาสั้น กวางเรนเดียร์ พื้นกรม F</v>
          </cell>
          <cell r="E3263">
            <v>0</v>
          </cell>
          <cell r="F3263">
            <v>390</v>
          </cell>
        </row>
        <row r="3264">
          <cell r="A3264" t="str">
            <v>MY0001-M</v>
          </cell>
          <cell r="B3264" t="str">
            <v>MY1</v>
          </cell>
          <cell r="C3264" t="str">
            <v>เยื่อไผ่ ยาวยาว ผู้ชาย ตารางกรม M QC</v>
          </cell>
          <cell r="E3264">
            <v>0</v>
          </cell>
          <cell r="F3264">
            <v>520</v>
          </cell>
        </row>
        <row r="3265">
          <cell r="A3265" t="str">
            <v>MY0002-XL</v>
          </cell>
          <cell r="B3265" t="str">
            <v>MY2</v>
          </cell>
          <cell r="C3265" t="str">
            <v>เยื่อไผ่ ยาวยาว ผู้ชาย ตารางเทา XL QC</v>
          </cell>
          <cell r="E3265">
            <v>0</v>
          </cell>
          <cell r="F3265">
            <v>390</v>
          </cell>
        </row>
        <row r="3266">
          <cell r="A3266" t="str">
            <v>MY0004-L</v>
          </cell>
          <cell r="B3266" t="str">
            <v>ก12</v>
          </cell>
          <cell r="C3266" t="str">
            <v>เยื่อไผ่ สั้นยาว ผู้ชาย ตารางกรม L</v>
          </cell>
          <cell r="E3266">
            <v>0</v>
          </cell>
          <cell r="F3266">
            <v>390</v>
          </cell>
        </row>
        <row r="3267">
          <cell r="A3267" t="str">
            <v>MY0004-M</v>
          </cell>
          <cell r="B3267" t="str">
            <v>ก12</v>
          </cell>
          <cell r="C3267" t="str">
            <v>เยื่อไผ่ สั้นยาว ผู้ชาย ตารางกรม M</v>
          </cell>
          <cell r="E3267">
            <v>7</v>
          </cell>
          <cell r="F3267">
            <v>390</v>
          </cell>
        </row>
        <row r="3268">
          <cell r="A3268" t="str">
            <v>MY0004-XL</v>
          </cell>
          <cell r="B3268" t="str">
            <v>ก12</v>
          </cell>
          <cell r="C3268" t="str">
            <v>เยื่อไผ่ สั้นยาว ผู้ชาย ตารางกรม XL</v>
          </cell>
          <cell r="E3268">
            <v>1</v>
          </cell>
          <cell r="F3268">
            <v>390</v>
          </cell>
        </row>
        <row r="3269">
          <cell r="A3269" t="str">
            <v>MY0005-L</v>
          </cell>
          <cell r="B3269" t="str">
            <v>ก14</v>
          </cell>
          <cell r="C3269" t="str">
            <v>เยื่อไผ่ สั้นยาว ผู้ชาย ตารางฟ้า L</v>
          </cell>
          <cell r="E3269">
            <v>0</v>
          </cell>
          <cell r="F3269">
            <v>390</v>
          </cell>
        </row>
        <row r="3270">
          <cell r="A3270" t="str">
            <v>MY0005-M</v>
          </cell>
          <cell r="B3270" t="str">
            <v>ก14</v>
          </cell>
          <cell r="C3270" t="str">
            <v>เยื่อไผ่ สั้นยาว ผู้ชาย ตารางฟ้า M</v>
          </cell>
          <cell r="E3270">
            <v>5</v>
          </cell>
          <cell r="F3270">
            <v>390</v>
          </cell>
        </row>
        <row r="3271">
          <cell r="A3271" t="str">
            <v>MY0005-XL</v>
          </cell>
          <cell r="B3271" t="str">
            <v>ก14</v>
          </cell>
          <cell r="C3271" t="str">
            <v>เยื่อไผ่ สั้นยาว ผู้ชาย ตารางฟ้า XL</v>
          </cell>
          <cell r="E3271">
            <v>1</v>
          </cell>
          <cell r="F3271">
            <v>390</v>
          </cell>
        </row>
        <row r="3272">
          <cell r="A3272" t="str">
            <v>MY0006-L</v>
          </cell>
          <cell r="B3272" t="str">
            <v>ก13</v>
          </cell>
          <cell r="C3272" t="str">
            <v>เยื่อไผ่ สั้นยาว ผู้ชาย ตารางเทา L</v>
          </cell>
          <cell r="E3272">
            <v>1</v>
          </cell>
          <cell r="F3272">
            <v>390</v>
          </cell>
        </row>
        <row r="3273">
          <cell r="A3273" t="str">
            <v>MY0006-M</v>
          </cell>
          <cell r="B3273" t="str">
            <v>ก13</v>
          </cell>
          <cell r="C3273" t="str">
            <v>เยื่อไผ่ สั้นยาว ผู้ชาย ตารางเทา M</v>
          </cell>
          <cell r="E3273">
            <v>8</v>
          </cell>
          <cell r="F3273">
            <v>390</v>
          </cell>
        </row>
        <row r="3274">
          <cell r="A3274" t="str">
            <v>MY0006-XL</v>
          </cell>
          <cell r="B3274" t="str">
            <v>ก13</v>
          </cell>
          <cell r="C3274" t="str">
            <v>เยื่อไผ่ สั้นยาว ผู้ชาย ตารางเทา XL</v>
          </cell>
          <cell r="E3274">
            <v>1</v>
          </cell>
          <cell r="F3274">
            <v>390</v>
          </cell>
        </row>
        <row r="3275">
          <cell r="A3275" t="str">
            <v>MY0009-XL</v>
          </cell>
          <cell r="B3275" t="str">
            <v>MY9</v>
          </cell>
          <cell r="C3275" t="str">
            <v>เยื่อไผ่ สั้นยาว ผู้ชาย ลายสก๊อต สีน้ำตาล XL หลุด QC</v>
          </cell>
          <cell r="E3275">
            <v>0</v>
          </cell>
          <cell r="F3275">
            <v>390</v>
          </cell>
        </row>
        <row r="3276">
          <cell r="A3276" t="str">
            <v>MY0010-L</v>
          </cell>
          <cell r="B3276" t="str">
            <v>MY10</v>
          </cell>
          <cell r="C3276" t="str">
            <v>เยื่อไผ่ สั้นยาว ผู้ชาย ลายสก๊อต สีดำ L หลุด QC</v>
          </cell>
          <cell r="E3276">
            <v>0</v>
          </cell>
          <cell r="F3276">
            <v>999</v>
          </cell>
        </row>
        <row r="3277">
          <cell r="A3277" t="str">
            <v>MY0011-L</v>
          </cell>
          <cell r="B3277" t="str">
            <v>MY11</v>
          </cell>
          <cell r="C3277" t="str">
            <v>เยื่อไผ่ สั้นยาว ผู้ชาย ลายสก๊อต สีฟ้า L หลุด QC</v>
          </cell>
          <cell r="E3277">
            <v>0</v>
          </cell>
          <cell r="F3277">
            <v>999</v>
          </cell>
        </row>
        <row r="3278">
          <cell r="A3278" t="str">
            <v>MY0017-L</v>
          </cell>
          <cell r="B3278" t="str">
            <v>ก4</v>
          </cell>
          <cell r="C3278" t="str">
            <v>เยื่อไผ่ สั้นยาว ผู้ชาย ลายเส้นขาวพื้นกรม L</v>
          </cell>
          <cell r="E3278">
            <v>0</v>
          </cell>
          <cell r="F3278">
            <v>390</v>
          </cell>
        </row>
        <row r="3279">
          <cell r="A3279" t="str">
            <v>MY0017-M</v>
          </cell>
          <cell r="B3279" t="str">
            <v>ก4</v>
          </cell>
          <cell r="C3279" t="str">
            <v>เยื่อไผ่ สั้นยาว ผู้ชาย ลายเส้นขาวพื้นกรม M</v>
          </cell>
          <cell r="E3279">
            <v>0</v>
          </cell>
          <cell r="F3279">
            <v>390</v>
          </cell>
        </row>
        <row r="3280">
          <cell r="A3280" t="str">
            <v>MY0017-XL</v>
          </cell>
          <cell r="B3280" t="str">
            <v>ก4</v>
          </cell>
          <cell r="C3280" t="str">
            <v>เยื่อไผ่ สั้นยาว ผู้ชาย ลายเส้นขาวพื้นกรม XL</v>
          </cell>
          <cell r="E3280">
            <v>0</v>
          </cell>
          <cell r="F3280">
            <v>390</v>
          </cell>
        </row>
        <row r="3281">
          <cell r="A3281" t="str">
            <v>MY0018-L</v>
          </cell>
          <cell r="B3281" t="str">
            <v>ก5</v>
          </cell>
          <cell r="C3281" t="str">
            <v>เยื่อไผ่ สั้นยาว ผู้ชาย ลายเส้นขาวพื้นเทา L</v>
          </cell>
          <cell r="E3281">
            <v>0</v>
          </cell>
          <cell r="F3281">
            <v>390</v>
          </cell>
        </row>
        <row r="3282">
          <cell r="A3282" t="str">
            <v>MY0018-M</v>
          </cell>
          <cell r="B3282" t="str">
            <v>ก5</v>
          </cell>
          <cell r="C3282" t="str">
            <v>เยื่อไผ่ สั้นยาว ผู้ชาย ลายเส้นขาวพื้นเทา M</v>
          </cell>
          <cell r="E3282">
            <v>0</v>
          </cell>
          <cell r="F3282">
            <v>390</v>
          </cell>
        </row>
        <row r="3283">
          <cell r="A3283" t="str">
            <v>MY0018-XL</v>
          </cell>
          <cell r="B3283" t="str">
            <v>ก5</v>
          </cell>
          <cell r="C3283" t="str">
            <v>เยื่อไผ่ สั้นยาว ผู้ชาย ลายเส้นขาวพื้นเทา XL</v>
          </cell>
          <cell r="E3283">
            <v>0</v>
          </cell>
          <cell r="F3283">
            <v>390</v>
          </cell>
        </row>
        <row r="3284">
          <cell r="A3284" t="str">
            <v>MY0021-XL</v>
          </cell>
          <cell r="B3284" t="str">
            <v>MY21</v>
          </cell>
          <cell r="C3284" t="str">
            <v>เยื่อไผ่ สั้นสั้น ผู้ชาย ลายสก๊อต สีฟ้า XL หลุด QC</v>
          </cell>
          <cell r="E3284">
            <v>0</v>
          </cell>
          <cell r="F3284">
            <v>999</v>
          </cell>
        </row>
        <row r="3285">
          <cell r="A3285" t="str">
            <v>MY0022-2XL</v>
          </cell>
          <cell r="B3285" t="str">
            <v>MY22</v>
          </cell>
          <cell r="C3285" t="str">
            <v>ซาติน สั้นสั้น ผู้ชาย สีดำ ขอบขาว 2XL QC</v>
          </cell>
          <cell r="E3285">
            <v>0</v>
          </cell>
          <cell r="F3285">
            <v>0</v>
          </cell>
        </row>
        <row r="3286">
          <cell r="A3286" t="str">
            <v>MY0022-3XL</v>
          </cell>
          <cell r="B3286" t="str">
            <v>MY22</v>
          </cell>
          <cell r="C3286" t="str">
            <v>ซาติน สั้นสั้น ผู้ชาย สีดำ ขอบขาว 3XL QC</v>
          </cell>
          <cell r="E3286">
            <v>0</v>
          </cell>
          <cell r="F3286">
            <v>390</v>
          </cell>
        </row>
        <row r="3287">
          <cell r="A3287" t="str">
            <v>MY0295-L</v>
          </cell>
          <cell r="B3287" t="str">
            <v>MY295</v>
          </cell>
          <cell r="C3287" t="str">
            <v>เยื่อไผ่ ยาวยาว ผู้ชาย น้องหมา พื้นกรม ขอบชมพู L QC</v>
          </cell>
          <cell r="E3287">
            <v>0</v>
          </cell>
          <cell r="F3287">
            <v>0</v>
          </cell>
        </row>
        <row r="3288">
          <cell r="A3288" t="str">
            <v>MY0295-M</v>
          </cell>
          <cell r="B3288" t="str">
            <v>MY295</v>
          </cell>
          <cell r="C3288" t="str">
            <v>เยื่อไผ่ ยาวยาว ผู้ชาย น้องหมา พื้นกรม ขอบชมพู M QC</v>
          </cell>
          <cell r="E3288">
            <v>0</v>
          </cell>
          <cell r="F3288">
            <v>0</v>
          </cell>
        </row>
        <row r="3289">
          <cell r="A3289" t="str">
            <v>N0746-M</v>
          </cell>
          <cell r="B3289" t="str">
            <v>ป4</v>
          </cell>
          <cell r="C3289" t="str">
            <v>ซาติน แขนสั้นขาสั้น Cow พื้นชมพู (กปก) M ตัวโชว์</v>
          </cell>
          <cell r="E3289">
            <v>0</v>
          </cell>
          <cell r="F3289">
            <v>790</v>
          </cell>
        </row>
        <row r="3290">
          <cell r="A3290" t="str">
            <v>PN0001-L</v>
          </cell>
          <cell r="B3290" t="str">
            <v>N1</v>
          </cell>
          <cell r="C3290" t="str">
            <v>[AL]  ซาติน แขนสั้นขาสั้น น้องแมว พื้นชมพู (กปก) L</v>
          </cell>
          <cell r="E3290">
            <v>0</v>
          </cell>
          <cell r="F3290">
            <v>890</v>
          </cell>
        </row>
        <row r="3291">
          <cell r="A3291" t="str">
            <v>PN0001-M</v>
          </cell>
          <cell r="B3291" t="str">
            <v>N1</v>
          </cell>
          <cell r="C3291" t="str">
            <v>[AL]  ซาติน แขนสั้นขาสั้น น้องแมว พื้นชมพู (กปก) M</v>
          </cell>
          <cell r="E3291">
            <v>0</v>
          </cell>
          <cell r="F3291">
            <v>890</v>
          </cell>
        </row>
        <row r="3292">
          <cell r="A3292" t="str">
            <v>PN0001-XL</v>
          </cell>
          <cell r="B3292" t="str">
            <v>N1</v>
          </cell>
          <cell r="C3292" t="str">
            <v>[AL]  ซาติน แขนสั้นขาสั้น น้องแมว พื้นชมพู (กปก) XL</v>
          </cell>
          <cell r="E3292">
            <v>0</v>
          </cell>
          <cell r="F3292">
            <v>890</v>
          </cell>
        </row>
        <row r="3293">
          <cell r="A3293" t="str">
            <v>PN0002-L</v>
          </cell>
          <cell r="B3293" t="str">
            <v>N2</v>
          </cell>
          <cell r="C3293" t="str">
            <v>[AL]   ซาติน แขนสั้นขาสั้น yellowcat muslin pet (กปก) L</v>
          </cell>
          <cell r="E3293">
            <v>0</v>
          </cell>
          <cell r="F3293">
            <v>890</v>
          </cell>
        </row>
        <row r="3294">
          <cell r="A3294" t="str">
            <v>PN0002-M</v>
          </cell>
          <cell r="B3294" t="str">
            <v>N2</v>
          </cell>
          <cell r="C3294" t="str">
            <v>[AG]  ซาติน แขนสั้นขาสั้น yellowcat (กปก) M</v>
          </cell>
          <cell r="E3294">
            <v>0</v>
          </cell>
          <cell r="F3294">
            <v>790</v>
          </cell>
        </row>
        <row r="3295">
          <cell r="A3295" t="str">
            <v>PN0002-XL</v>
          </cell>
          <cell r="B3295" t="str">
            <v>N2</v>
          </cell>
          <cell r="C3295" t="str">
            <v>[AL]    ซาติน แขนสั้นขาสั้น yellowcat (กปก) XL</v>
          </cell>
          <cell r="E3295">
            <v>0</v>
          </cell>
          <cell r="F3295">
            <v>790</v>
          </cell>
        </row>
        <row r="3296">
          <cell r="A3296" t="str">
            <v>PN0003-L</v>
          </cell>
          <cell r="B3296" t="str">
            <v>N3</v>
          </cell>
          <cell r="C3296" t="str">
            <v>[AL]   ซาติน แขนสั้นขาสั้น koki dog ลายทางเหลือง (กปก) L</v>
          </cell>
          <cell r="E3296">
            <v>0</v>
          </cell>
          <cell r="F3296">
            <v>890</v>
          </cell>
        </row>
        <row r="3297">
          <cell r="A3297" t="str">
            <v>PN0003-M</v>
          </cell>
          <cell r="B3297" t="str">
            <v>N3</v>
          </cell>
          <cell r="C3297" t="str">
            <v>[AL]   ซาติน แขนสั้นขาสั้น koki dog ลายทางเหลือง (กปก) M</v>
          </cell>
          <cell r="E3297">
            <v>0</v>
          </cell>
          <cell r="F3297">
            <v>790</v>
          </cell>
        </row>
        <row r="3298">
          <cell r="A3298" t="str">
            <v>PN0003-XL</v>
          </cell>
          <cell r="B3298" t="str">
            <v>QN3</v>
          </cell>
          <cell r="C3298" t="str">
            <v>[AA]  ซาติน แขนสั้นขาสั้น koki dog ลายทางเหลือง (กปก) XL QC</v>
          </cell>
          <cell r="E3298">
            <v>0</v>
          </cell>
          <cell r="F3298">
            <v>790</v>
          </cell>
        </row>
        <row r="3299">
          <cell r="A3299" t="str">
            <v>PN0004-L</v>
          </cell>
          <cell r="B3299" t="str">
            <v>N4</v>
          </cell>
          <cell r="C3299" t="str">
            <v>[AL]  ซาติน แขนสั้นขาสั้น หน้าแมว พื้นน้ำตาลเทา ปกเหลือง (กปก) L</v>
          </cell>
          <cell r="E3299">
            <v>0</v>
          </cell>
          <cell r="F3299">
            <v>790</v>
          </cell>
        </row>
        <row r="3300">
          <cell r="A3300" t="str">
            <v>PN0004-M</v>
          </cell>
          <cell r="B3300" t="str">
            <v>N4</v>
          </cell>
          <cell r="C3300" t="str">
            <v>ซาติน แขนสั้นขาสั้น หน้าแมว พื้นน้ำตาลเทา ปกเหลือง (กปก) M</v>
          </cell>
          <cell r="E3300">
            <v>0</v>
          </cell>
          <cell r="F3300">
            <v>790</v>
          </cell>
        </row>
        <row r="3301">
          <cell r="A3301" t="str">
            <v>PN0004-XL</v>
          </cell>
          <cell r="B3301" t="str">
            <v>N4</v>
          </cell>
          <cell r="C3301" t="str">
            <v>ซาติน สั้นสั้น หน้าแมว พื้นน้ำตาลเทา ปกเหลือง (กปก) XL</v>
          </cell>
          <cell r="E3301">
            <v>0</v>
          </cell>
          <cell r="F3301">
            <v>790</v>
          </cell>
        </row>
        <row r="3302">
          <cell r="A3302" t="str">
            <v>PN0005-L</v>
          </cell>
          <cell r="B3302" t="str">
            <v>N5</v>
          </cell>
          <cell r="C3302" t="str">
            <v>[AE]   ซาติน แขนสั้นขาสั้น pinkky cat muslin pet (กปก) L</v>
          </cell>
          <cell r="E3302">
            <v>0</v>
          </cell>
          <cell r="F3302">
            <v>890</v>
          </cell>
        </row>
        <row r="3303">
          <cell r="A3303" t="str">
            <v>PN0005-M</v>
          </cell>
          <cell r="B3303" t="str">
            <v>N5</v>
          </cell>
          <cell r="C3303" t="str">
            <v>[AE]   ซาติน แขนสั้นขาสั้น pinkky cat muslin pet (กปก) M</v>
          </cell>
          <cell r="E3303">
            <v>0</v>
          </cell>
          <cell r="F3303">
            <v>890</v>
          </cell>
        </row>
        <row r="3304">
          <cell r="A3304" t="str">
            <v>PN0005-XL</v>
          </cell>
          <cell r="B3304" t="str">
            <v>N5</v>
          </cell>
          <cell r="C3304" t="str">
            <v>[AE]   ซาติน แขนสั้นขาสั้น pinkky cat muslin pet (กปก) XL</v>
          </cell>
          <cell r="E3304">
            <v>0</v>
          </cell>
          <cell r="F3304">
            <v>890</v>
          </cell>
        </row>
        <row r="3305">
          <cell r="A3305" t="str">
            <v>PN3044-2XL</v>
          </cell>
          <cell r="B3305" t="str">
            <v>N3044</v>
          </cell>
          <cell r="C3305" t="str">
            <v>ซาติน แขนสั้นขาสั้น Belly Catty (มีกปก) 2XL</v>
          </cell>
          <cell r="E3305">
            <v>4</v>
          </cell>
          <cell r="F3305">
            <v>890</v>
          </cell>
        </row>
        <row r="3306">
          <cell r="A3306" t="str">
            <v>PN3044-L</v>
          </cell>
          <cell r="B3306" t="str">
            <v>N3044</v>
          </cell>
          <cell r="C3306" t="str">
            <v>ซาติน แขนสั้นขาสั้น Belly Catty (มีกปก) L</v>
          </cell>
          <cell r="E3306">
            <v>14</v>
          </cell>
          <cell r="F3306">
            <v>890</v>
          </cell>
        </row>
        <row r="3307">
          <cell r="A3307" t="str">
            <v>PN3044-M</v>
          </cell>
          <cell r="B3307" t="str">
            <v>N3044</v>
          </cell>
          <cell r="C3307" t="str">
            <v>ซาติน แขนสั้นขาสั้น Belly Catty (มีกปก) M</v>
          </cell>
          <cell r="E3307">
            <v>11</v>
          </cell>
          <cell r="F3307">
            <v>890</v>
          </cell>
        </row>
        <row r="3308">
          <cell r="A3308" t="str">
            <v>PN3044-XL</v>
          </cell>
          <cell r="B3308" t="str">
            <v>N3044</v>
          </cell>
          <cell r="C3308" t="str">
            <v>ซาติน แขนสั้นขาสั้น Belly Catty (มีกปก) XL</v>
          </cell>
          <cell r="E3308">
            <v>3</v>
          </cell>
          <cell r="F3308">
            <v>890</v>
          </cell>
        </row>
        <row r="3309">
          <cell r="A3309" t="str">
            <v>PT0001-L</v>
          </cell>
          <cell r="B3309" t="str">
            <v>T1</v>
          </cell>
          <cell r="C3309" t="str">
            <v>ซาติน แขนสั้นขายาว น้องแมว พื้นชมพู muslin pet (กปก) L</v>
          </cell>
          <cell r="E3309">
            <v>0</v>
          </cell>
          <cell r="F3309">
            <v>990</v>
          </cell>
        </row>
        <row r="3310">
          <cell r="A3310" t="str">
            <v>PT0001-M</v>
          </cell>
          <cell r="B3310" t="str">
            <v>T1</v>
          </cell>
          <cell r="C3310" t="str">
            <v>ซาติน แขนสั้นขายาว น้องแมว พื้นชมพู muslin pet (กปก) M</v>
          </cell>
          <cell r="E3310">
            <v>0</v>
          </cell>
          <cell r="F3310">
            <v>990</v>
          </cell>
        </row>
        <row r="3311">
          <cell r="A3311" t="str">
            <v>PT0001-XL</v>
          </cell>
          <cell r="B3311" t="str">
            <v>T1</v>
          </cell>
          <cell r="C3311" t="str">
            <v>ซาติน แขนสั้นขายาว น้องแมว พื้นชมพู (กปก) XL</v>
          </cell>
          <cell r="E3311">
            <v>0</v>
          </cell>
          <cell r="F3311">
            <v>990</v>
          </cell>
        </row>
        <row r="3312">
          <cell r="A3312" t="str">
            <v>PT0002-L</v>
          </cell>
          <cell r="B3312" t="str">
            <v>T2</v>
          </cell>
          <cell r="C3312" t="str">
            <v>ซาติน แขนสั้นขายาว yellowcat muslin pet (กปก) L</v>
          </cell>
          <cell r="E3312">
            <v>0</v>
          </cell>
          <cell r="F3312">
            <v>990</v>
          </cell>
        </row>
        <row r="3313">
          <cell r="A3313" t="str">
            <v>PT0002-M</v>
          </cell>
          <cell r="B3313" t="str">
            <v>T2</v>
          </cell>
          <cell r="C3313" t="str">
            <v>ซาติน แขนสั้นขายาว yellowcat (กปก) M</v>
          </cell>
          <cell r="E3313">
            <v>0</v>
          </cell>
          <cell r="F3313">
            <v>890</v>
          </cell>
        </row>
        <row r="3314">
          <cell r="A3314" t="str">
            <v>PT0002-XL</v>
          </cell>
          <cell r="B3314" t="str">
            <v>T2</v>
          </cell>
          <cell r="C3314" t="str">
            <v>ซาติน แขนสั้นขายาว yellowcat muslin pet (กปก) XL</v>
          </cell>
          <cell r="E3314">
            <v>0</v>
          </cell>
          <cell r="F3314">
            <v>990</v>
          </cell>
        </row>
        <row r="3315">
          <cell r="A3315" t="str">
            <v>PT0003-L</v>
          </cell>
          <cell r="B3315" t="str">
            <v>T3</v>
          </cell>
          <cell r="C3315" t="str">
            <v>ซาติน แขนสั้นขายาว koki dog ลายทางเหลือง muslin pet (กปก) L</v>
          </cell>
          <cell r="E3315">
            <v>0</v>
          </cell>
          <cell r="F3315">
            <v>990</v>
          </cell>
        </row>
        <row r="3316">
          <cell r="A3316" t="str">
            <v>PT0003-M</v>
          </cell>
          <cell r="B3316" t="str">
            <v>T3</v>
          </cell>
          <cell r="C3316" t="str">
            <v>ซาติน แขนสั้นขายาว koki dog ลายทางเหลือง (กปก) M</v>
          </cell>
          <cell r="E3316">
            <v>0</v>
          </cell>
          <cell r="F3316">
            <v>890</v>
          </cell>
        </row>
        <row r="3317">
          <cell r="A3317" t="str">
            <v>PT0003-XL</v>
          </cell>
          <cell r="B3317" t="str">
            <v>T3</v>
          </cell>
          <cell r="C3317" t="str">
            <v>ซาติน แขนสั้นขายาว koki dog ลายทางเหลือง (กปก) XL</v>
          </cell>
          <cell r="E3317">
            <v>0</v>
          </cell>
          <cell r="F3317">
            <v>890</v>
          </cell>
        </row>
        <row r="3318">
          <cell r="A3318" t="str">
            <v>PT0004-L</v>
          </cell>
          <cell r="B3318" t="str">
            <v>T4</v>
          </cell>
          <cell r="C3318" t="str">
            <v>ซาติน แขนสั้นขายาว หน้าแมว พื้นน้ำตาลเทา ปกเหลือง (กปก) L</v>
          </cell>
          <cell r="E3318">
            <v>0</v>
          </cell>
          <cell r="F3318">
            <v>890</v>
          </cell>
        </row>
        <row r="3319">
          <cell r="A3319" t="str">
            <v>PT0004-M</v>
          </cell>
          <cell r="B3319" t="str">
            <v>QT4</v>
          </cell>
          <cell r="C3319" t="str">
            <v>ซาติน แขนสั้นขายาว หน้าแมว พื้นน้ำตาลเทา ปกเหลือง (กปก) M QC</v>
          </cell>
          <cell r="E3319">
            <v>0</v>
          </cell>
          <cell r="F3319">
            <v>890</v>
          </cell>
        </row>
        <row r="3320">
          <cell r="A3320" t="str">
            <v>PT0004-XL</v>
          </cell>
          <cell r="B3320" t="str">
            <v>T4</v>
          </cell>
          <cell r="C3320" t="str">
            <v>ซาติน แขนสั้นขายาว หน้าแมว พื้นน้ำตาลเทา ปกเหลือง (กปก) XL</v>
          </cell>
          <cell r="E3320">
            <v>0</v>
          </cell>
          <cell r="F3320">
            <v>890</v>
          </cell>
        </row>
        <row r="3321">
          <cell r="A3321" t="str">
            <v>PT0005-L</v>
          </cell>
          <cell r="B3321" t="str">
            <v>T5</v>
          </cell>
          <cell r="C3321" t="str">
            <v>ซาติน แขนสั้นขายาว pinkky cat muslin pet (กปก) L</v>
          </cell>
          <cell r="E3321">
            <v>0</v>
          </cell>
          <cell r="F3321">
            <v>990</v>
          </cell>
        </row>
        <row r="3322">
          <cell r="A3322" t="str">
            <v>PT0005-M</v>
          </cell>
          <cell r="B3322" t="str">
            <v>T5</v>
          </cell>
          <cell r="C3322" t="str">
            <v>ซาติน แขนสั้นขายาว pinkky cat muslin pet (กปก) M</v>
          </cell>
          <cell r="E3322">
            <v>0</v>
          </cell>
          <cell r="F3322">
            <v>990</v>
          </cell>
        </row>
        <row r="3323">
          <cell r="A3323" t="str">
            <v>PT0005-XL</v>
          </cell>
          <cell r="B3323" t="str">
            <v>T5</v>
          </cell>
          <cell r="C3323" t="str">
            <v>ซาติน แขนสั้นขายาว pinkky cat muslin pet (กปก) XL</v>
          </cell>
          <cell r="E3323">
            <v>0</v>
          </cell>
          <cell r="F3323">
            <v>990</v>
          </cell>
        </row>
        <row r="3324">
          <cell r="A3324" t="str">
            <v>PT3044-2XL</v>
          </cell>
          <cell r="B3324" t="str">
            <v>T3044</v>
          </cell>
          <cell r="C3324" t="str">
            <v>ซาติน แขนสั้นขายาว Belly Catty  muslin pet (มีกปก) 2XL</v>
          </cell>
          <cell r="E3324">
            <v>0</v>
          </cell>
          <cell r="F3324">
            <v>990</v>
          </cell>
        </row>
        <row r="3325">
          <cell r="A3325" t="str">
            <v>PT3044-L</v>
          </cell>
          <cell r="B3325" t="str">
            <v>T3044</v>
          </cell>
          <cell r="C3325" t="str">
            <v>ซาติน แขนสั้นขายาว Belly Catty  muslin pet (มีกปก) L</v>
          </cell>
          <cell r="E3325">
            <v>12</v>
          </cell>
          <cell r="F3325">
            <v>990</v>
          </cell>
        </row>
        <row r="3326">
          <cell r="A3326" t="str">
            <v>PT3044-M</v>
          </cell>
          <cell r="B3326" t="str">
            <v>T3044</v>
          </cell>
          <cell r="C3326" t="str">
            <v>ซาติน แขนสั้นขายาว Belly Catty  muslin pet (มีกปก) M</v>
          </cell>
          <cell r="E3326">
            <v>13</v>
          </cell>
          <cell r="F3326">
            <v>990</v>
          </cell>
        </row>
        <row r="3327">
          <cell r="A3327" t="str">
            <v>PT3044-XL</v>
          </cell>
          <cell r="B3327" t="str">
            <v>T3044</v>
          </cell>
          <cell r="C3327" t="str">
            <v>ซาติน แขนสั้นขายาว Belly Catty  muslin pet (มีกปก) XL</v>
          </cell>
          <cell r="E3327">
            <v>3</v>
          </cell>
          <cell r="F3327">
            <v>990</v>
          </cell>
        </row>
        <row r="3328">
          <cell r="A3328" t="str">
            <v>QA0001-XL</v>
          </cell>
          <cell r="B3328" t="str">
            <v>QA1</v>
          </cell>
          <cell r="C3328" t="str">
            <v>เยื่อไผ่ แขนสั้นขาสั้น ผีเสื้อ XL QC</v>
          </cell>
          <cell r="E3328">
            <v>0</v>
          </cell>
          <cell r="F3328">
            <v>790</v>
          </cell>
        </row>
        <row r="3329">
          <cell r="A3329" t="str">
            <v>QA0013-S</v>
          </cell>
          <cell r="B3329" t="str">
            <v>QA13</v>
          </cell>
          <cell r="C3329" t="str">
            <v>เยื่อไผ่ แขนสั้นขาสั้น แมวฟ้า S QC</v>
          </cell>
          <cell r="E3329">
            <v>0</v>
          </cell>
          <cell r="F3329">
            <v>790</v>
          </cell>
        </row>
        <row r="3330">
          <cell r="A3330" t="str">
            <v>QA0020-S</v>
          </cell>
          <cell r="B3330" t="str">
            <v>QA20</v>
          </cell>
          <cell r="C3330" t="str">
            <v>เยื่อไผ่ แขนสั้นขาสั้น ใบไม้เขียว NEW S QC</v>
          </cell>
          <cell r="E3330">
            <v>0</v>
          </cell>
          <cell r="F3330">
            <v>790</v>
          </cell>
        </row>
        <row r="3331">
          <cell r="A3331" t="str">
            <v>QA0023-L</v>
          </cell>
          <cell r="B3331" t="str">
            <v>QA23</v>
          </cell>
          <cell r="C3331" t="str">
            <v>เยื่อไผ่ แขนสั้นขาสั้น TropicaL ใบไม้เหลือง OverSize L QC</v>
          </cell>
          <cell r="E3331">
            <v>0</v>
          </cell>
          <cell r="F3331">
            <v>790</v>
          </cell>
        </row>
        <row r="3332">
          <cell r="A3332" t="str">
            <v>QA0023-S</v>
          </cell>
          <cell r="B3332" t="str">
            <v>QA23</v>
          </cell>
          <cell r="C3332" t="str">
            <v>เยื่อไผ่ แขนสั้นขาสั้น TropicaL ใบไม้เหลือง S OverSize QC</v>
          </cell>
          <cell r="E3332">
            <v>0</v>
          </cell>
          <cell r="F3332">
            <v>790</v>
          </cell>
        </row>
        <row r="3333">
          <cell r="A3333" t="str">
            <v>QA0057-XL</v>
          </cell>
          <cell r="B3333" t="str">
            <v>QA57</v>
          </cell>
          <cell r="C3333" t="str">
            <v>เยื่อไผ่ แขนสั้นขาสั้น ดอกไม้ พื้นครีม XL QC</v>
          </cell>
          <cell r="E3333">
            <v>0</v>
          </cell>
          <cell r="F3333">
            <v>790</v>
          </cell>
        </row>
        <row r="3334">
          <cell r="A3334" t="str">
            <v>QA0118-M</v>
          </cell>
          <cell r="B3334" t="str">
            <v>QA118</v>
          </cell>
          <cell r="C3334" t="str">
            <v>เยื่อไผ่ แขนสั้นขาสั้น ทางเขียว M QC</v>
          </cell>
          <cell r="E3334">
            <v>0</v>
          </cell>
          <cell r="F3334">
            <v>790</v>
          </cell>
        </row>
        <row r="3335">
          <cell r="A3335" t="str">
            <v>QA0130-M</v>
          </cell>
          <cell r="B3335" t="str">
            <v>QA130</v>
          </cell>
          <cell r="C3335" t="str">
            <v>เยื่อไผ่ แขนสั้นขาสั้น Map M QC</v>
          </cell>
          <cell r="E3335">
            <v>0</v>
          </cell>
          <cell r="F3335">
            <v>790</v>
          </cell>
        </row>
        <row r="3336">
          <cell r="A3336" t="str">
            <v>QA0286-XL</v>
          </cell>
          <cell r="B3336" t="str">
            <v>QA286</v>
          </cell>
          <cell r="C3336" t="str">
            <v>เยื่อไผ่ แขนสั้นขาสั้น แมว แฟชั่น พื้นชมพู XL QC</v>
          </cell>
          <cell r="E3336">
            <v>0</v>
          </cell>
          <cell r="F3336">
            <v>790</v>
          </cell>
        </row>
        <row r="3337">
          <cell r="A3337" t="str">
            <v>QA0330-XL</v>
          </cell>
          <cell r="B3337" t="str">
            <v>QA330</v>
          </cell>
          <cell r="C3337" t="str">
            <v>เยื่อไผ่ แขนสั้นขาสั้น ซากุระ ไทเกอร์ พื้นชมพู XL QC</v>
          </cell>
          <cell r="E3337">
            <v>0</v>
          </cell>
          <cell r="F3337">
            <v>790</v>
          </cell>
        </row>
        <row r="3338">
          <cell r="A3338" t="str">
            <v>QA0338-M</v>
          </cell>
          <cell r="B3338" t="str">
            <v>QA338</v>
          </cell>
          <cell r="C3338" t="str">
            <v>เยื่อไผ่ แขนสั้นขาสั้น เสือดำ พื้นขาว M QC</v>
          </cell>
          <cell r="E3338">
            <v>0</v>
          </cell>
          <cell r="F3338">
            <v>790</v>
          </cell>
        </row>
        <row r="3339">
          <cell r="A3339" t="str">
            <v>QA0338-S</v>
          </cell>
          <cell r="B3339" t="str">
            <v>QA338</v>
          </cell>
          <cell r="C3339" t="str">
            <v>เยื่อไผ่ แขนสั้นขาสั้น เสือดำ พื้นขาว S QC</v>
          </cell>
          <cell r="E3339">
            <v>0</v>
          </cell>
          <cell r="F3339">
            <v>790</v>
          </cell>
        </row>
        <row r="3340">
          <cell r="A3340" t="str">
            <v>QA0338-XL</v>
          </cell>
          <cell r="B3340" t="str">
            <v>QA338</v>
          </cell>
          <cell r="C3340" t="str">
            <v>เยื่อไผ่ แขนสั้นขาสั้น เสือดำ พื้นขาว XL QC</v>
          </cell>
          <cell r="E3340">
            <v>0</v>
          </cell>
          <cell r="F3340">
            <v>790</v>
          </cell>
        </row>
        <row r="3341">
          <cell r="A3341" t="str">
            <v>QA0343-M</v>
          </cell>
          <cell r="B3341" t="str">
            <v>QA343</v>
          </cell>
          <cell r="C3341" t="str">
            <v>เยื่อไผ่ แขนสั้นขาสั้น เรือใบ พื้นชมพู M หลุด QC</v>
          </cell>
          <cell r="E3341">
            <v>0</v>
          </cell>
          <cell r="F3341">
            <v>790</v>
          </cell>
        </row>
        <row r="3342">
          <cell r="A3342" t="str">
            <v>QA0364-L</v>
          </cell>
          <cell r="B3342" t="str">
            <v>QA364</v>
          </cell>
          <cell r="C3342" t="str">
            <v>เยื่อไผ่ แขนสั้นขาสั้น บัวชมพู พื้นเขียว L QC</v>
          </cell>
          <cell r="E3342">
            <v>0</v>
          </cell>
          <cell r="F3342">
            <v>790</v>
          </cell>
        </row>
        <row r="3343">
          <cell r="A3343" t="str">
            <v>QA0387-M</v>
          </cell>
          <cell r="B3343" t="str">
            <v>QA387</v>
          </cell>
          <cell r="C3343" t="str">
            <v>เยื่อไผ่ แขนสั้นขาสั้น rabbit on christmas M QC</v>
          </cell>
          <cell r="E3343">
            <v>0</v>
          </cell>
          <cell r="F3343">
            <v>790</v>
          </cell>
        </row>
        <row r="3344">
          <cell r="A3344" t="str">
            <v>QA0399-2XL</v>
          </cell>
          <cell r="B3344" t="str">
            <v>QA399</v>
          </cell>
          <cell r="C3344" t="str">
            <v>เยื่อไผ่ แขนสั้นขาสั้น กวางน้อย พื้นครีม 2XL QC</v>
          </cell>
          <cell r="E3344">
            <v>0</v>
          </cell>
          <cell r="F3344">
            <v>790</v>
          </cell>
        </row>
        <row r="3345">
          <cell r="A3345" t="str">
            <v>QA0407-2XL</v>
          </cell>
          <cell r="B3345" t="str">
            <v>QA407</v>
          </cell>
          <cell r="C3345" t="str">
            <v>เยื่อไผ่ แขนสั้นขาสั้น Little Start 2XL QC</v>
          </cell>
          <cell r="E3345">
            <v>0</v>
          </cell>
          <cell r="F3345">
            <v>790</v>
          </cell>
        </row>
        <row r="3346">
          <cell r="A3346" t="str">
            <v>QA0407-L</v>
          </cell>
          <cell r="B3346" t="str">
            <v>QA407</v>
          </cell>
          <cell r="C3346" t="str">
            <v>เยื่อไผ่ แขนสั้นขาสั้น Little Start L QC</v>
          </cell>
          <cell r="E3346">
            <v>0</v>
          </cell>
          <cell r="F3346">
            <v>790</v>
          </cell>
        </row>
        <row r="3347">
          <cell r="A3347" t="str">
            <v>QA0407-XL</v>
          </cell>
          <cell r="B3347" t="str">
            <v>QA407</v>
          </cell>
          <cell r="C3347" t="str">
            <v>เยื่อไผ่ แขนสั้นขาสั้น Little Start XL QC</v>
          </cell>
          <cell r="E3347">
            <v>0</v>
          </cell>
          <cell r="F3347">
            <v>790</v>
          </cell>
        </row>
        <row r="3348">
          <cell r="A3348" t="str">
            <v>QA0409-L</v>
          </cell>
          <cell r="B3348" t="str">
            <v>QA409</v>
          </cell>
          <cell r="C3348" t="str">
            <v>เยื่อไผ่ แขนสั้นขาสั้น กระต่าย พื้นเขียว L QC</v>
          </cell>
          <cell r="E3348">
            <v>0</v>
          </cell>
          <cell r="F3348">
            <v>790</v>
          </cell>
        </row>
        <row r="3349">
          <cell r="A3349" t="str">
            <v>QA0409-M</v>
          </cell>
          <cell r="B3349" t="str">
            <v>QA409</v>
          </cell>
          <cell r="C3349" t="str">
            <v>เยื่อไผ่ แขนสั้นขาสั้น กระต่าย พื้นเขียว M QC</v>
          </cell>
          <cell r="E3349">
            <v>0</v>
          </cell>
          <cell r="F3349">
            <v>790</v>
          </cell>
        </row>
        <row r="3350">
          <cell r="A3350" t="str">
            <v>QA0411-L</v>
          </cell>
          <cell r="B3350" t="str">
            <v>QA411</v>
          </cell>
          <cell r="C3350" t="str">
            <v>เยื่อไผ่ แขนสั้นขาสั้น กระต่าย ขาว พื้นชมพู L QC</v>
          </cell>
          <cell r="E3350">
            <v>0</v>
          </cell>
          <cell r="F3350">
            <v>790</v>
          </cell>
        </row>
        <row r="3351">
          <cell r="A3351" t="str">
            <v>QA0412-L</v>
          </cell>
          <cell r="B3351" t="str">
            <v>QA412</v>
          </cell>
          <cell r="C3351" t="str">
            <v>เยื่อไผ่ แขนสั้นขาสั้น แมวยิ้ม L QC</v>
          </cell>
          <cell r="E3351">
            <v>0</v>
          </cell>
          <cell r="F3351">
            <v>790</v>
          </cell>
        </row>
        <row r="3352">
          <cell r="A3352" t="str">
            <v>QA0413-XL</v>
          </cell>
          <cell r="B3352" t="str">
            <v>QA413</v>
          </cell>
          <cell r="C3352" t="str">
            <v>เยื่อไผ่ แขนสั้นขาสั้น ดอกไม้ ชมพู พื้นขาว XL QC</v>
          </cell>
          <cell r="E3352">
            <v>0</v>
          </cell>
          <cell r="F3352">
            <v>790</v>
          </cell>
        </row>
        <row r="3353">
          <cell r="A3353" t="str">
            <v>QA0414-2XL</v>
          </cell>
          <cell r="B3353" t="str">
            <v>QA414</v>
          </cell>
          <cell r="C3353" t="str">
            <v>เยื่อไผ่ แขนสั้นขาสั้น กระต่ายขาว พื้นฟ้าขอบชมพู 2XL QC</v>
          </cell>
          <cell r="E3353">
            <v>0</v>
          </cell>
          <cell r="F3353">
            <v>790</v>
          </cell>
        </row>
        <row r="3354">
          <cell r="A3354" t="str">
            <v>QA0416-2XL</v>
          </cell>
          <cell r="B3354" t="str">
            <v>QA416</v>
          </cell>
          <cell r="C3354" t="str">
            <v>เยื่อไผ่ แขนสั้นขาสั้น ไข่ดาว 2XL QC</v>
          </cell>
          <cell r="E3354">
            <v>0</v>
          </cell>
          <cell r="F3354">
            <v>790</v>
          </cell>
        </row>
        <row r="3355">
          <cell r="A3355" t="str">
            <v>QA0418-M</v>
          </cell>
          <cell r="B3355" t="str">
            <v>QA418</v>
          </cell>
          <cell r="C3355" t="str">
            <v>เยื่อไผ่ แขนสั้นขาสั้น สิงโต พื้นส้ม M QC</v>
          </cell>
          <cell r="E3355">
            <v>0</v>
          </cell>
          <cell r="F3355">
            <v>790</v>
          </cell>
        </row>
        <row r="3356">
          <cell r="A3356" t="str">
            <v>QA0419-L</v>
          </cell>
          <cell r="B3356" t="str">
            <v>QA419</v>
          </cell>
          <cell r="C3356" t="str">
            <v>เยื่อไผ่ แขนสั้นขาสั้น หน้าหมี น้ำตาล พื้นครีม L QC</v>
          </cell>
          <cell r="E3356">
            <v>0</v>
          </cell>
          <cell r="F3356">
            <v>790</v>
          </cell>
        </row>
        <row r="3357">
          <cell r="A3357" t="str">
            <v>QA0420-M</v>
          </cell>
          <cell r="B3357" t="str">
            <v>QA420</v>
          </cell>
          <cell r="C3357" t="str">
            <v>เยื่อไผ่ แขนสั้นขาสั้น เสื้อม่วง กางเกงลายทาง ม่วงขาว M QC</v>
          </cell>
          <cell r="E3357">
            <v>0</v>
          </cell>
          <cell r="F3357">
            <v>790</v>
          </cell>
        </row>
        <row r="3358">
          <cell r="A3358" t="str">
            <v>QA0433-M</v>
          </cell>
          <cell r="B3358" t="str">
            <v>QA433</v>
          </cell>
          <cell r="C3358" t="str">
            <v>เยื่อไผ่ แขนสั้นขาสั้น ดอกไม้ฟ้า พื้นขาว ปกเขียว M QC</v>
          </cell>
          <cell r="E3358">
            <v>0</v>
          </cell>
          <cell r="F3358">
            <v>790</v>
          </cell>
        </row>
        <row r="3359">
          <cell r="A3359" t="str">
            <v>QA0435-XL</v>
          </cell>
          <cell r="B3359" t="str">
            <v>QA435</v>
          </cell>
          <cell r="C3359" t="str">
            <v>เยื่อไผ่ แขนสั้นขาสั้น กุหลาบจิ๋ว พื้นเหลือง XL QC</v>
          </cell>
          <cell r="E3359">
            <v>0</v>
          </cell>
          <cell r="F3359">
            <v>790</v>
          </cell>
        </row>
        <row r="3360">
          <cell r="A3360" t="str">
            <v>QA0437-L</v>
          </cell>
          <cell r="B3360" t="str">
            <v>QA437</v>
          </cell>
          <cell r="C3360" t="str">
            <v>เยื่อไผ่ แขนสั้นขาสั้น น้องหมีพื้นขาว ลายจุด L QC</v>
          </cell>
          <cell r="E3360">
            <v>0</v>
          </cell>
          <cell r="F3360">
            <v>790</v>
          </cell>
        </row>
        <row r="3361">
          <cell r="A3361" t="str">
            <v>QA0437-M</v>
          </cell>
          <cell r="B3361" t="str">
            <v>QA437</v>
          </cell>
          <cell r="C3361" t="str">
            <v>เยื่อไผ่ แขนสั้นขาสั้น น้องหมีพื้นขาว ลายจุด M QC</v>
          </cell>
          <cell r="E3361">
            <v>0</v>
          </cell>
          <cell r="F3361">
            <v>790</v>
          </cell>
        </row>
        <row r="3362">
          <cell r="A3362" t="str">
            <v>QA0439-XL</v>
          </cell>
          <cell r="B3362" t="str">
            <v>QA439</v>
          </cell>
          <cell r="C3362" t="str">
            <v>เยื่อไผ่ แขนสั้นขาสั้น พี่กระรอกกับดอกไม้จิ๋ว XL QC</v>
          </cell>
          <cell r="E3362">
            <v>0</v>
          </cell>
          <cell r="F3362">
            <v>790</v>
          </cell>
        </row>
        <row r="3363">
          <cell r="A3363" t="str">
            <v>QA0441-L</v>
          </cell>
          <cell r="B3363" t="str">
            <v>QA441</v>
          </cell>
          <cell r="C3363" t="str">
            <v>เยื่อไผ่ แขนสั้นขาสั้น mini zoo my friends L QC</v>
          </cell>
          <cell r="E3363">
            <v>0</v>
          </cell>
          <cell r="F3363">
            <v>790</v>
          </cell>
        </row>
        <row r="3364">
          <cell r="A3364" t="str">
            <v>QB0009-L</v>
          </cell>
          <cell r="B3364" t="str">
            <v>QB9</v>
          </cell>
          <cell r="C3364" t="str">
            <v>เยื่อไผ่ แขนสั้นขายาว นกบราว L QC</v>
          </cell>
          <cell r="E3364">
            <v>0</v>
          </cell>
          <cell r="F3364">
            <v>890</v>
          </cell>
        </row>
        <row r="3365">
          <cell r="A3365" t="str">
            <v>QB0009-M</v>
          </cell>
          <cell r="B3365" t="str">
            <v>QB9</v>
          </cell>
          <cell r="C3365" t="str">
            <v>เยื่อไผ่ แขนสั้นขายาว นกบราว M QC</v>
          </cell>
          <cell r="E3365">
            <v>0</v>
          </cell>
          <cell r="F3365">
            <v>890</v>
          </cell>
        </row>
        <row r="3366">
          <cell r="A3366" t="str">
            <v>QB0025-L</v>
          </cell>
          <cell r="B3366" t="str">
            <v>QB25</v>
          </cell>
          <cell r="C3366" t="str">
            <v>เยื่อไผ่ แขนสั้นขายาว ใบไม้น้ำตาล ขอบแดง L หลุด QC</v>
          </cell>
          <cell r="E3366">
            <v>0</v>
          </cell>
          <cell r="F3366">
            <v>890</v>
          </cell>
        </row>
        <row r="3367">
          <cell r="A3367" t="str">
            <v>QB0025-M</v>
          </cell>
          <cell r="B3367" t="str">
            <v>QB25</v>
          </cell>
          <cell r="C3367" t="str">
            <v>เยื่อไผ่ แขนสั้นขายาว ใบไม้น้ำตาล ขอบแดง M หลุด QC</v>
          </cell>
          <cell r="E3367">
            <v>0</v>
          </cell>
          <cell r="F3367">
            <v>890</v>
          </cell>
        </row>
        <row r="3368">
          <cell r="A3368" t="str">
            <v>QB0025-S</v>
          </cell>
          <cell r="B3368" t="str">
            <v>QB25</v>
          </cell>
          <cell r="C3368" t="str">
            <v>เยื่อไผ่ แขนสั้นขายาว ใบไม้น้ำตาล ขอบแดง S หลุด QC</v>
          </cell>
          <cell r="E3368">
            <v>0</v>
          </cell>
          <cell r="F3368">
            <v>890</v>
          </cell>
        </row>
        <row r="3369">
          <cell r="A3369" t="str">
            <v>QB0025-XL</v>
          </cell>
          <cell r="B3369" t="str">
            <v>QB25</v>
          </cell>
          <cell r="C3369" t="str">
            <v>เยื่อไผ่ แขนสั้นขายาว ใบไม้น้ำตาล ขอบแดง XL หลุด QC</v>
          </cell>
          <cell r="E3369">
            <v>0</v>
          </cell>
          <cell r="F3369">
            <v>890</v>
          </cell>
        </row>
        <row r="3370">
          <cell r="A3370" t="str">
            <v>QB0077-L</v>
          </cell>
          <cell r="B3370" t="str">
            <v>QB77</v>
          </cell>
          <cell r="C3370" t="str">
            <v>เยื่อไผ่ แขนสั้นขายาว ดอกไม้ชม พื้นเหลือง L QC</v>
          </cell>
          <cell r="E3370">
            <v>0</v>
          </cell>
          <cell r="F3370">
            <v>890</v>
          </cell>
        </row>
        <row r="3371">
          <cell r="A3371" t="str">
            <v>QB0077-S</v>
          </cell>
          <cell r="B3371" t="str">
            <v>QB77</v>
          </cell>
          <cell r="C3371" t="str">
            <v>เยื่อไผ่ แขนสั้นขายาว ดอกไม้ชม พื้นเหลือง S หลุด QC</v>
          </cell>
          <cell r="E3371">
            <v>0</v>
          </cell>
          <cell r="F3371">
            <v>890</v>
          </cell>
        </row>
        <row r="3372">
          <cell r="A3372" t="str">
            <v>QB0077-XL</v>
          </cell>
          <cell r="B3372" t="str">
            <v>QB77</v>
          </cell>
          <cell r="C3372" t="str">
            <v>เยื่อไผ่ แขนสั้นขายาว ดอกไม้ชม พื้นเหลือง XL หลุด QC</v>
          </cell>
          <cell r="E3372">
            <v>0</v>
          </cell>
          <cell r="F3372">
            <v>890</v>
          </cell>
        </row>
        <row r="3373">
          <cell r="A3373" t="str">
            <v>QB0135-M</v>
          </cell>
          <cell r="B3373" t="str">
            <v>QB135</v>
          </cell>
          <cell r="C3373" t="str">
            <v>เยื่อไผ่ แขนสั้นขายาว ลายอาร์ทพาสเทล M QC</v>
          </cell>
          <cell r="E3373">
            <v>0</v>
          </cell>
          <cell r="F3373">
            <v>890</v>
          </cell>
        </row>
        <row r="3374">
          <cell r="A3374" t="str">
            <v>QB0157-M</v>
          </cell>
          <cell r="B3374" t="str">
            <v>QB157</v>
          </cell>
          <cell r="C3374" t="str">
            <v>เยื่อไผ่ แขนสั้นขายาว ลายจุด คอบัว M หลุด QC</v>
          </cell>
          <cell r="E3374">
            <v>0</v>
          </cell>
          <cell r="F3374">
            <v>890</v>
          </cell>
        </row>
        <row r="3375">
          <cell r="A3375" t="str">
            <v>QB0189-L</v>
          </cell>
          <cell r="B3375" t="str">
            <v>QB189</v>
          </cell>
          <cell r="C3375" t="str">
            <v>เยื่อไผ่ แขนสั้นขายาว พื้นเขียว ขอบขาว L หลุด QC</v>
          </cell>
          <cell r="E3375">
            <v>0</v>
          </cell>
          <cell r="F3375">
            <v>890</v>
          </cell>
        </row>
        <row r="3376">
          <cell r="A3376" t="str">
            <v>QB0248-S</v>
          </cell>
          <cell r="B3376" t="str">
            <v>QB248</v>
          </cell>
          <cell r="C3376" t="str">
            <v>เยื่อไผ่ แขนสั้นขายาว ดอกไม้เล็ก พื้นชมพู คอกลม S QC</v>
          </cell>
          <cell r="E3376">
            <v>0</v>
          </cell>
          <cell r="F3376">
            <v>890</v>
          </cell>
        </row>
        <row r="3377">
          <cell r="A3377" t="str">
            <v>QB0280-S</v>
          </cell>
          <cell r="B3377" t="str">
            <v>QB280</v>
          </cell>
          <cell r="C3377" t="str">
            <v>เยื่อไผ่ แขนสั้นขายาว ดอกไม้เหลือง พื้นขาว คอกลม S QC</v>
          </cell>
          <cell r="E3377">
            <v>0</v>
          </cell>
          <cell r="F3377">
            <v>890</v>
          </cell>
        </row>
        <row r="3378">
          <cell r="A3378" t="str">
            <v>QB0322-S</v>
          </cell>
          <cell r="B3378" t="str">
            <v>QB322</v>
          </cell>
          <cell r="C3378" t="str">
            <v>เยื่อไผ่ แขนสั้นขายาว ดอกไม้เล็กชมพู คอปก S หลุด QC</v>
          </cell>
          <cell r="E3378">
            <v>0</v>
          </cell>
          <cell r="F3378">
            <v>890</v>
          </cell>
        </row>
        <row r="3379">
          <cell r="A3379" t="str">
            <v>QB0324-XL</v>
          </cell>
          <cell r="B3379" t="str">
            <v>QB324</v>
          </cell>
          <cell r="C3379" t="str">
            <v>เยื่อไผ่ แขนสั้นขายาว Jungle Cruise ครีม XL หลุด QC</v>
          </cell>
          <cell r="E3379">
            <v>0</v>
          </cell>
          <cell r="F3379">
            <v>890</v>
          </cell>
        </row>
        <row r="3380">
          <cell r="A3380" t="str">
            <v>QB0326-M</v>
          </cell>
          <cell r="B3380" t="str">
            <v>QB326</v>
          </cell>
          <cell r="C3380" t="str">
            <v>เยื่อไผ่ แขนสั้นขายาว ดอกไม้น้อย สีชมพู พื้นวนิลา M หลุด QC</v>
          </cell>
          <cell r="E3380">
            <v>0</v>
          </cell>
          <cell r="F3380">
            <v>890</v>
          </cell>
        </row>
        <row r="3381">
          <cell r="A3381" t="str">
            <v>QB0329-S</v>
          </cell>
          <cell r="B3381" t="str">
            <v>QB329</v>
          </cell>
          <cell r="C3381" t="str">
            <v>เยื่อไผ่ แขนสั้นขายาว พื้นดำ คอปกขาว กระดุมมุก S QC</v>
          </cell>
          <cell r="E3381">
            <v>0</v>
          </cell>
          <cell r="F3381">
            <v>890</v>
          </cell>
        </row>
        <row r="3382">
          <cell r="A3382" t="str">
            <v>QB0345-S</v>
          </cell>
          <cell r="B3382" t="str">
            <v>QB345</v>
          </cell>
          <cell r="C3382" t="str">
            <v>เยื่อไผ่ แขนสั้นขายาว พื้นขาว ลายวาดรูป S QC</v>
          </cell>
          <cell r="E3382">
            <v>0</v>
          </cell>
          <cell r="F3382">
            <v>890</v>
          </cell>
        </row>
        <row r="3383">
          <cell r="A3383" t="str">
            <v>QB0350-M</v>
          </cell>
          <cell r="B3383" t="str">
            <v>QB350</v>
          </cell>
          <cell r="C3383" t="str">
            <v>เยื่อไผ่ แขนสั้นขายาว พื้นขาว จุดฟ้าคราม M หลุด QC</v>
          </cell>
          <cell r="E3383">
            <v>0</v>
          </cell>
          <cell r="F3383">
            <v>890</v>
          </cell>
        </row>
        <row r="3384">
          <cell r="A3384" t="str">
            <v>QB0354-M</v>
          </cell>
          <cell r="B3384" t="str">
            <v>QB354</v>
          </cell>
          <cell r="C3384" t="str">
            <v>เยื่อไผ่ แขนสั้นขายาว ตาราง ครีมดำ M หลุด QC</v>
          </cell>
          <cell r="E3384">
            <v>0</v>
          </cell>
          <cell r="F3384">
            <v>890</v>
          </cell>
        </row>
        <row r="3385">
          <cell r="A3385" t="str">
            <v>QB0385-2XL</v>
          </cell>
          <cell r="B3385" t="str">
            <v>QB385</v>
          </cell>
          <cell r="C3385" t="str">
            <v>เยื่อไผ่ แขนสั้นขายาว ลายทาง blue gloomy 2XL หลุด QC</v>
          </cell>
          <cell r="E3385">
            <v>0</v>
          </cell>
          <cell r="F3385">
            <v>890</v>
          </cell>
        </row>
        <row r="3386">
          <cell r="A3386" t="str">
            <v>QB0385-L</v>
          </cell>
          <cell r="B3386" t="str">
            <v>QB385</v>
          </cell>
          <cell r="C3386" t="str">
            <v>เยื่อไผ่ แขนสั้นขายาว ลายทาง blue gloomy L หลุด QC</v>
          </cell>
          <cell r="E3386">
            <v>0</v>
          </cell>
          <cell r="F3386">
            <v>890</v>
          </cell>
        </row>
        <row r="3387">
          <cell r="A3387" t="str">
            <v>QB0385-M</v>
          </cell>
          <cell r="B3387" t="str">
            <v>QB385</v>
          </cell>
          <cell r="C3387" t="str">
            <v>เยื่อไผ่ แขนสั้นขายาว ลายทาง blue gloomy M หลุด QC</v>
          </cell>
          <cell r="E3387">
            <v>0</v>
          </cell>
          <cell r="F3387">
            <v>890</v>
          </cell>
        </row>
        <row r="3388">
          <cell r="A3388" t="str">
            <v>QB0385-XL</v>
          </cell>
          <cell r="B3388" t="str">
            <v>QB385</v>
          </cell>
          <cell r="C3388" t="str">
            <v>เยื่อไผ่ แขนสั้นขายาว ลายทาง blue gloomy XL หลุด QC</v>
          </cell>
          <cell r="E3388">
            <v>0</v>
          </cell>
          <cell r="F3388">
            <v>890</v>
          </cell>
        </row>
        <row r="3389">
          <cell r="A3389" t="str">
            <v>QB0387-XL</v>
          </cell>
          <cell r="B3389" t="str">
            <v>QB387</v>
          </cell>
          <cell r="C3389" t="str">
            <v>เยื่อไผ่ แขนสั้นขายาว rabbit on christmas XL QC</v>
          </cell>
          <cell r="E3389">
            <v>0</v>
          </cell>
          <cell r="F3389">
            <v>890</v>
          </cell>
        </row>
        <row r="3390">
          <cell r="A3390" t="str">
            <v>QB0397-M</v>
          </cell>
          <cell r="B3390" t="str">
            <v>QB397</v>
          </cell>
          <cell r="C3390" t="str">
            <v>เยื่อไผ่ แขนสั้นขายาว กระต่ายพื้นครีม ขอบเขียว M QC</v>
          </cell>
          <cell r="E3390">
            <v>0</v>
          </cell>
          <cell r="F3390">
            <v>890</v>
          </cell>
        </row>
        <row r="3391">
          <cell r="A3391" t="str">
            <v>QB0400-2XL</v>
          </cell>
          <cell r="B3391" t="str">
            <v>QB400</v>
          </cell>
          <cell r="C3391" t="str">
            <v>เยื่อไผ่ แขนสั้นขายาว ดอกไม้ ผู้หญิง พื้นขาว ขอบชมพู 2XL QC</v>
          </cell>
          <cell r="E3391">
            <v>0</v>
          </cell>
          <cell r="F3391">
            <v>890</v>
          </cell>
        </row>
        <row r="3392">
          <cell r="A3392" t="str">
            <v>QB0400-L</v>
          </cell>
          <cell r="B3392" t="str">
            <v>QB400</v>
          </cell>
          <cell r="C3392" t="str">
            <v>เยื่อไผ่ แขนสั้นขายาว ดอกไม้ ผู้หญิง พื้นขาว ขอบชมพู L QC</v>
          </cell>
          <cell r="E3392">
            <v>0</v>
          </cell>
          <cell r="F3392">
            <v>890</v>
          </cell>
        </row>
        <row r="3393">
          <cell r="A3393" t="str">
            <v>QB0407-L</v>
          </cell>
          <cell r="B3393" t="str">
            <v>QB407</v>
          </cell>
          <cell r="C3393" t="str">
            <v>เยื่อไผ่ แขนสั้นขายาว Little Start L QC</v>
          </cell>
          <cell r="E3393">
            <v>0</v>
          </cell>
          <cell r="F3393">
            <v>890</v>
          </cell>
        </row>
        <row r="3394">
          <cell r="A3394" t="str">
            <v>QB0408-2XL</v>
          </cell>
          <cell r="B3394" t="str">
            <v>QB408</v>
          </cell>
          <cell r="C3394" t="str">
            <v>เยื่อไผ่ แขนสั้นขายาว รวมสัตว์ พื้นฟ้า 2XL QC</v>
          </cell>
          <cell r="E3394">
            <v>0</v>
          </cell>
          <cell r="F3394">
            <v>890</v>
          </cell>
        </row>
        <row r="3395">
          <cell r="A3395" t="str">
            <v>QB0408-L</v>
          </cell>
          <cell r="B3395" t="str">
            <v>QB408</v>
          </cell>
          <cell r="C3395" t="str">
            <v>เยื่อไผ่ แขนสั้นขายาว รวมสัตว์ พื้นฟ้า L QC</v>
          </cell>
          <cell r="E3395">
            <v>0</v>
          </cell>
          <cell r="F3395">
            <v>890</v>
          </cell>
        </row>
        <row r="3396">
          <cell r="A3396" t="str">
            <v>QB0413-L</v>
          </cell>
          <cell r="B3396" t="str">
            <v>QB413</v>
          </cell>
          <cell r="C3396" t="str">
            <v>เยื่อไผ่ แขนสั้นขายาว ดอกไม้ ชมพู พื้นขาว L QC</v>
          </cell>
          <cell r="E3396">
            <v>0</v>
          </cell>
          <cell r="F3396">
            <v>890</v>
          </cell>
        </row>
        <row r="3397">
          <cell r="A3397" t="str">
            <v>QB0415-M</v>
          </cell>
          <cell r="B3397" t="str">
            <v>QB415</v>
          </cell>
          <cell r="C3397" t="str">
            <v>เยื่อไผ่ แขนสั้นขายาว หมาน้ำตาล พื้นม่วง M QC</v>
          </cell>
          <cell r="E3397">
            <v>0</v>
          </cell>
          <cell r="F3397">
            <v>890</v>
          </cell>
        </row>
        <row r="3398">
          <cell r="A3398" t="str">
            <v>QB0416-2XL</v>
          </cell>
          <cell r="B3398" t="str">
            <v>QB416</v>
          </cell>
          <cell r="C3398" t="str">
            <v>เยื่อไผ่ แขนสั้นขายาว ไข่ดาว 2XL QC</v>
          </cell>
          <cell r="E3398">
            <v>0</v>
          </cell>
          <cell r="F3398">
            <v>890</v>
          </cell>
        </row>
        <row r="3399">
          <cell r="A3399" t="str">
            <v>QB0424-M</v>
          </cell>
          <cell r="B3399" t="str">
            <v>QB424</v>
          </cell>
          <cell r="C3399" t="str">
            <v>เยื่อไผ่ แขนสั้นขายาว กระต่ายแครอท พื้นน้ำเงิน M QC</v>
          </cell>
          <cell r="E3399">
            <v>0</v>
          </cell>
          <cell r="F3399">
            <v>890</v>
          </cell>
        </row>
        <row r="3400">
          <cell r="A3400" t="str">
            <v>QB0437-2XL</v>
          </cell>
          <cell r="B3400" t="str">
            <v>QB437</v>
          </cell>
          <cell r="C3400" t="str">
            <v>เยื่อไผ่ แขนสั้นขายาว น้องหมีพื้นขาว ลายจุด 2XL QC</v>
          </cell>
          <cell r="E3400">
            <v>0</v>
          </cell>
          <cell r="F3400">
            <v>890</v>
          </cell>
        </row>
        <row r="3401">
          <cell r="A3401" t="str">
            <v>QB0437-XL</v>
          </cell>
          <cell r="B3401" t="str">
            <v>QB437</v>
          </cell>
          <cell r="C3401" t="str">
            <v>เยื่อไผ่ แขนสั้นขายาว น้องหมีพื้นขาว ลายจุด XL QC</v>
          </cell>
          <cell r="E3401">
            <v>0</v>
          </cell>
          <cell r="F3401">
            <v>890</v>
          </cell>
        </row>
        <row r="3402">
          <cell r="A3402" t="str">
            <v>QB0438-M</v>
          </cell>
          <cell r="B3402" t="str">
            <v>QB438</v>
          </cell>
          <cell r="C3402" t="str">
            <v>เยื่อไผ่ แขนสั้นขายาว กระต่ายน้อยกับผองเพื่อน M QC</v>
          </cell>
          <cell r="E3402">
            <v>0</v>
          </cell>
          <cell r="F3402">
            <v>890</v>
          </cell>
        </row>
        <row r="3403">
          <cell r="A3403" t="str">
            <v>QB0441-2XL</v>
          </cell>
          <cell r="B3403" t="str">
            <v>QB441</v>
          </cell>
          <cell r="C3403" t="str">
            <v>เยื่อไผ่ แขนสั้นขายาว mini zoo my friends 2XL QC</v>
          </cell>
          <cell r="E3403">
            <v>0</v>
          </cell>
          <cell r="F3403">
            <v>890</v>
          </cell>
        </row>
        <row r="3404">
          <cell r="A3404" t="str">
            <v>QC0103-S</v>
          </cell>
          <cell r="B3404" t="str">
            <v>QC103</v>
          </cell>
          <cell r="C3404" t="str">
            <v>เยื่อไผ่ แขนยาวขายาว ดอกทิวลิป พื้นฟ้า S QC</v>
          </cell>
          <cell r="E3404">
            <v>0</v>
          </cell>
          <cell r="F3404">
            <v>990</v>
          </cell>
        </row>
        <row r="3405">
          <cell r="A3405" t="str">
            <v>QC0117-L</v>
          </cell>
          <cell r="B3405" t="str">
            <v>QC117</v>
          </cell>
          <cell r="C3405" t="str">
            <v>เยื่อไผ่ แขนยาวขายาว ลายทาง พาสเทล L หลุด QC</v>
          </cell>
          <cell r="E3405">
            <v>0</v>
          </cell>
          <cell r="F3405">
            <v>990</v>
          </cell>
        </row>
        <row r="3406">
          <cell r="A3406" t="str">
            <v>QC0117-M</v>
          </cell>
          <cell r="B3406" t="str">
            <v>QC117</v>
          </cell>
          <cell r="C3406" t="str">
            <v>เยื่อไผ่ แขนยาวขายาว ลายทาง พาสเทล M หลุด QC</v>
          </cell>
          <cell r="E3406">
            <v>0</v>
          </cell>
          <cell r="F3406">
            <v>990</v>
          </cell>
        </row>
        <row r="3407">
          <cell r="A3407" t="str">
            <v>QC0117-S</v>
          </cell>
          <cell r="B3407" t="str">
            <v>QC117</v>
          </cell>
          <cell r="C3407" t="str">
            <v>เยื่อไผ่ แขนยาวขายาว ลายทาง พาสเทล S หลุด QC</v>
          </cell>
          <cell r="E3407">
            <v>0</v>
          </cell>
          <cell r="F3407">
            <v>990</v>
          </cell>
        </row>
        <row r="3408">
          <cell r="A3408" t="str">
            <v>QC0117-XL</v>
          </cell>
          <cell r="B3408" t="str">
            <v>QC117</v>
          </cell>
          <cell r="C3408" t="str">
            <v>เยื่อไผ่ แขนยาวขายาว ลายทาง พาสเทล XL หลุด QC</v>
          </cell>
          <cell r="E3408">
            <v>0</v>
          </cell>
          <cell r="F3408">
            <v>990</v>
          </cell>
        </row>
        <row r="3409">
          <cell r="A3409" t="str">
            <v>QC0358-S</v>
          </cell>
          <cell r="B3409" t="str">
            <v>QC358</v>
          </cell>
          <cell r="C3409" t="str">
            <v>เยื่อไผ่ แขนยาวขายาว เรนโบว์ พีช พื้นชมพู S หลุด QC</v>
          </cell>
          <cell r="E3409">
            <v>0</v>
          </cell>
          <cell r="F3409">
            <v>990</v>
          </cell>
        </row>
        <row r="3410">
          <cell r="A3410" t="str">
            <v>QC0389-L</v>
          </cell>
          <cell r="B3410" t="str">
            <v>QC389</v>
          </cell>
          <cell r="C3410" t="str">
            <v>เยื่อไผ่ แขนยาวขายาว ละครสัตว์ พื้นชมพู L หลุด QC</v>
          </cell>
          <cell r="E3410">
            <v>0</v>
          </cell>
          <cell r="F3410">
            <v>990</v>
          </cell>
        </row>
        <row r="3411">
          <cell r="A3411" t="str">
            <v>QC0389-M</v>
          </cell>
          <cell r="B3411" t="str">
            <v>QC389</v>
          </cell>
          <cell r="C3411" t="str">
            <v>เยื่อไผ่ แขนยาวขายาว ละครสัตว์ พื้นชมพู M หลุด QC</v>
          </cell>
          <cell r="E3411">
            <v>0</v>
          </cell>
          <cell r="F3411">
            <v>990</v>
          </cell>
        </row>
        <row r="3412">
          <cell r="A3412" t="str">
            <v>QC0389-XL</v>
          </cell>
          <cell r="B3412" t="str">
            <v>QC389</v>
          </cell>
          <cell r="C3412" t="str">
            <v>เยื่อไผ่ แขนยาวขายาว ละครสัตว์ พื้นชมพู XL หลุด QC</v>
          </cell>
          <cell r="E3412">
            <v>0</v>
          </cell>
          <cell r="F3412">
            <v>990</v>
          </cell>
        </row>
        <row r="3413">
          <cell r="A3413" t="str">
            <v>QD0211-M</v>
          </cell>
          <cell r="B3413" t="str">
            <v>QD211</v>
          </cell>
          <cell r="C3413" t="str">
            <v>เยื่อไผ่ เดรสแขนยาว พื้นขาว ดอกไม้เล็ก เขียวชมพู M QC</v>
          </cell>
          <cell r="E3413">
            <v>0</v>
          </cell>
          <cell r="F3413">
            <v>890</v>
          </cell>
        </row>
        <row r="3414">
          <cell r="A3414" t="str">
            <v>QD0216-L</v>
          </cell>
          <cell r="B3414" t="str">
            <v>QD216</v>
          </cell>
          <cell r="C3414" t="str">
            <v>เยื่อไผ่ เดรสแขนกุด พื้นสีขาว ลายลูกไม้ L หลุด QC</v>
          </cell>
          <cell r="E3414">
            <v>0</v>
          </cell>
          <cell r="F3414">
            <v>890</v>
          </cell>
        </row>
        <row r="3415">
          <cell r="A3415" t="str">
            <v>QD0216-M</v>
          </cell>
          <cell r="B3415" t="str">
            <v>QD216</v>
          </cell>
          <cell r="C3415" t="str">
            <v>เยื่อไผ่ เดรสแขนกุด พื้นสีขาว ลายลูกไม้ M หลุด QC</v>
          </cell>
          <cell r="E3415">
            <v>0</v>
          </cell>
          <cell r="F3415">
            <v>890</v>
          </cell>
        </row>
        <row r="3416">
          <cell r="A3416" t="str">
            <v>QD0216-S</v>
          </cell>
          <cell r="B3416" t="str">
            <v>QD216</v>
          </cell>
          <cell r="C3416" t="str">
            <v>เยื่อไผ่ เดรสแขนกุด พื้นสีขาว ลายลูกไม้ S หลุด QC</v>
          </cell>
          <cell r="E3416">
            <v>0</v>
          </cell>
          <cell r="F3416">
            <v>890</v>
          </cell>
        </row>
        <row r="3417">
          <cell r="A3417" t="str">
            <v>QD0222-M</v>
          </cell>
          <cell r="B3417" t="str">
            <v>QD222</v>
          </cell>
          <cell r="C3417" t="str">
            <v>เยื่อไผ่ เดรส แขนสั้น พื้นชมพู ดอกไม้เหลือง M QC</v>
          </cell>
          <cell r="E3417">
            <v>0</v>
          </cell>
          <cell r="F3417">
            <v>890</v>
          </cell>
        </row>
        <row r="3418">
          <cell r="A3418" t="str">
            <v>QG0001-L</v>
          </cell>
          <cell r="B3418" t="str">
            <v>QG1</v>
          </cell>
          <cell r="C3418" t="str">
            <v>เยื่อไผ่ แขนสั้นขาห้าส่วน ผีเสื้อ L QC</v>
          </cell>
          <cell r="E3418">
            <v>0</v>
          </cell>
          <cell r="F3418">
            <v>890</v>
          </cell>
        </row>
        <row r="3419">
          <cell r="A3419" t="str">
            <v>QG0001-S</v>
          </cell>
          <cell r="B3419" t="str">
            <v>QG1</v>
          </cell>
          <cell r="C3419" t="str">
            <v>เยื่อไผ่ แขนสั้นขาห้าส่วน ผีเสื้อ S QC</v>
          </cell>
          <cell r="E3419">
            <v>0</v>
          </cell>
          <cell r="F3419">
            <v>890</v>
          </cell>
        </row>
        <row r="3420">
          <cell r="A3420" t="str">
            <v>QG0013-L</v>
          </cell>
          <cell r="B3420" t="str">
            <v>QG13</v>
          </cell>
          <cell r="C3420" t="str">
            <v>เยื่อไผ่ ห้าส่วน แมว ฟ้า L QC</v>
          </cell>
          <cell r="E3420">
            <v>0</v>
          </cell>
          <cell r="F3420">
            <v>890</v>
          </cell>
        </row>
        <row r="3421">
          <cell r="A3421" t="str">
            <v>QG0013-S</v>
          </cell>
          <cell r="B3421" t="str">
            <v>QG13</v>
          </cell>
          <cell r="C3421" t="str">
            <v>เยื่อไผ่ ห้าส่วน แมว ฟ้า S QC</v>
          </cell>
          <cell r="E3421">
            <v>0</v>
          </cell>
          <cell r="F3421">
            <v>890</v>
          </cell>
        </row>
        <row r="3422">
          <cell r="A3422" t="str">
            <v>QG0013-XL</v>
          </cell>
          <cell r="B3422" t="str">
            <v>QG13</v>
          </cell>
          <cell r="C3422" t="str">
            <v>เยื่อไผ่ ห้าส่วน แมว ฟ้า XL QC</v>
          </cell>
          <cell r="E3422">
            <v>0</v>
          </cell>
          <cell r="F3422">
            <v>890</v>
          </cell>
        </row>
        <row r="3423">
          <cell r="A3423" t="str">
            <v>QG0020-L</v>
          </cell>
          <cell r="B3423" t="str">
            <v>QG20</v>
          </cell>
          <cell r="C3423" t="str">
            <v>เยื่อไผ่ ห้าส่วน ใบไม้เขียว NEW L Oversize QC</v>
          </cell>
          <cell r="E3423">
            <v>0</v>
          </cell>
          <cell r="F3423">
            <v>890</v>
          </cell>
        </row>
        <row r="3424">
          <cell r="A3424" t="str">
            <v>QG0020-M</v>
          </cell>
          <cell r="B3424" t="str">
            <v>QG20</v>
          </cell>
          <cell r="C3424" t="str">
            <v>เยื่อไผ่ ห้าส่วน ใบไม้เขียว NEW M Oversize QC</v>
          </cell>
          <cell r="E3424">
            <v>0</v>
          </cell>
          <cell r="F3424">
            <v>890</v>
          </cell>
        </row>
        <row r="3425">
          <cell r="A3425" t="str">
            <v>QG0020-S</v>
          </cell>
          <cell r="B3425" t="str">
            <v>QG20</v>
          </cell>
          <cell r="C3425" t="str">
            <v>เยื่อไผ่ ห้าส่วน ใบไม้เขียว NEW S Oversize QC</v>
          </cell>
          <cell r="E3425">
            <v>0</v>
          </cell>
          <cell r="F3425">
            <v>890</v>
          </cell>
        </row>
        <row r="3426">
          <cell r="A3426" t="str">
            <v>QG0020-XL</v>
          </cell>
          <cell r="B3426" t="str">
            <v>QG20</v>
          </cell>
          <cell r="C3426" t="str">
            <v>เยื่อไผ่ ห้าส่วน ใบไม้เขียว NEW XL Oversize QC</v>
          </cell>
          <cell r="E3426">
            <v>0</v>
          </cell>
          <cell r="F3426">
            <v>890</v>
          </cell>
        </row>
        <row r="3427">
          <cell r="A3427" t="str">
            <v>QG0023-M</v>
          </cell>
          <cell r="B3427" t="str">
            <v>QG23</v>
          </cell>
          <cell r="C3427" t="str">
            <v>เยื่อไผ่ แขนสั้นขายาว TropicaL ใบไม้เหลือง OverSize M QC</v>
          </cell>
          <cell r="E3427">
            <v>0</v>
          </cell>
          <cell r="F3427">
            <v>890</v>
          </cell>
        </row>
        <row r="3428">
          <cell r="A3428" t="str">
            <v>QG0023-S</v>
          </cell>
          <cell r="B3428" t="str">
            <v>QG23</v>
          </cell>
          <cell r="C3428" t="str">
            <v>เยื่อไผ่ แขนสั้นขายาว TropicaL ใบไม้เหลือง OverSize S หลุด QC</v>
          </cell>
          <cell r="E3428">
            <v>0</v>
          </cell>
          <cell r="F3428">
            <v>890</v>
          </cell>
        </row>
        <row r="3429">
          <cell r="A3429" t="str">
            <v>QG0034-L</v>
          </cell>
          <cell r="B3429" t="str">
            <v>QG34</v>
          </cell>
          <cell r="C3429" t="str">
            <v>เยื่อไผ่ ห้าส่วน ใบบัวน้ำตาล พื้นม่วง L หลุด QC</v>
          </cell>
          <cell r="E3429">
            <v>0</v>
          </cell>
          <cell r="F3429">
            <v>890</v>
          </cell>
        </row>
        <row r="3430">
          <cell r="A3430" t="str">
            <v>QG0034-M</v>
          </cell>
          <cell r="B3430" t="str">
            <v>QG34</v>
          </cell>
          <cell r="C3430" t="str">
            <v>เยื่อไผ่ ห้าส่วน ใบบัวน้ำตาล พื้นม่วง M QC</v>
          </cell>
          <cell r="E3430">
            <v>0</v>
          </cell>
          <cell r="F3430">
            <v>890</v>
          </cell>
        </row>
        <row r="3431">
          <cell r="A3431" t="str">
            <v>QG0034-S</v>
          </cell>
          <cell r="B3431" t="str">
            <v>QG34</v>
          </cell>
          <cell r="C3431" t="str">
            <v>เยื่อไผ่ ห้าส่วน ใบบัวน้ำตาล พื้นม่วง S หลุด QC</v>
          </cell>
          <cell r="E3431">
            <v>0</v>
          </cell>
          <cell r="F3431">
            <v>890</v>
          </cell>
        </row>
        <row r="3432">
          <cell r="A3432" t="str">
            <v>QG0076-XL</v>
          </cell>
          <cell r="B3432" t="str">
            <v>QG76</v>
          </cell>
          <cell r="C3432" t="str">
            <v>เยื่อไผ่ ห้าส่วน ดอกไม้ พื้นม่วง XL QC</v>
          </cell>
          <cell r="E3432">
            <v>0</v>
          </cell>
          <cell r="F3432">
            <v>890</v>
          </cell>
        </row>
        <row r="3433">
          <cell r="A3433" t="str">
            <v>QG0108-S</v>
          </cell>
          <cell r="B3433" t="str">
            <v>QG108</v>
          </cell>
          <cell r="C3433" t="str">
            <v>เยื่อไผ่ ห้าส่วน พีชใหญ่ พื้นชมพู S OverSize QC</v>
          </cell>
          <cell r="E3433">
            <v>0</v>
          </cell>
          <cell r="F3433">
            <v>890</v>
          </cell>
        </row>
        <row r="3434">
          <cell r="A3434" t="str">
            <v>QG0196-S</v>
          </cell>
          <cell r="B3434" t="str">
            <v>QG196</v>
          </cell>
          <cell r="C3434" t="str">
            <v>เยื่อไผ่ แขนสั้นขายาว ใบไม้น้ำตาล พื้นแดง OverSize S QC</v>
          </cell>
          <cell r="E3434">
            <v>0</v>
          </cell>
          <cell r="F3434">
            <v>890</v>
          </cell>
        </row>
        <row r="3435">
          <cell r="A3435" t="str">
            <v>QG0256-XL</v>
          </cell>
          <cell r="B3435" t="str">
            <v>QG256</v>
          </cell>
          <cell r="C3435" t="str">
            <v>เยื่อไผ่ แขนสั้นขายาว Brand new พื้นกรม XL QC</v>
          </cell>
          <cell r="E3435">
            <v>0</v>
          </cell>
          <cell r="F3435">
            <v>890</v>
          </cell>
        </row>
        <row r="3436">
          <cell r="A3436" t="str">
            <v>QG0260-S</v>
          </cell>
          <cell r="B3436" t="str">
            <v>QG260</v>
          </cell>
          <cell r="C3436" t="str">
            <v>เยื่อไผ่ แขนสั้นขายาว ใบไม้หลากสี พื้นชมพู S QC</v>
          </cell>
          <cell r="E3436">
            <v>0</v>
          </cell>
          <cell r="F3436">
            <v>890</v>
          </cell>
        </row>
        <row r="3437">
          <cell r="A3437" t="str">
            <v>QG0263-S</v>
          </cell>
          <cell r="B3437" t="str">
            <v>QG263</v>
          </cell>
          <cell r="C3437" t="str">
            <v>เยื่อไผ่ แขนสั้นขายาว ยีราฟ นก ลิง พื้นขาว S QC</v>
          </cell>
          <cell r="E3437">
            <v>0</v>
          </cell>
          <cell r="F3437">
            <v>890</v>
          </cell>
        </row>
        <row r="3438">
          <cell r="A3438" t="str">
            <v>QG0328-M</v>
          </cell>
          <cell r="B3438" t="str">
            <v>QG328</v>
          </cell>
          <cell r="C3438" t="str">
            <v>เยื่อไผ่ ห้าส่วน Cat Party OverSiz M QC</v>
          </cell>
          <cell r="E3438">
            <v>0</v>
          </cell>
          <cell r="F3438">
            <v>890</v>
          </cell>
        </row>
        <row r="3439">
          <cell r="A3439" t="str">
            <v>QG0328-XL</v>
          </cell>
          <cell r="B3439" t="str">
            <v>QG328</v>
          </cell>
          <cell r="C3439" t="str">
            <v>เยื่อไผ่ ห้าส่วน Cat Party OverSize XL QC</v>
          </cell>
          <cell r="E3439">
            <v>0</v>
          </cell>
          <cell r="F3439">
            <v>890</v>
          </cell>
        </row>
        <row r="3440">
          <cell r="A3440" t="str">
            <v>QG0330-L</v>
          </cell>
          <cell r="B3440" t="str">
            <v>QG330</v>
          </cell>
          <cell r="C3440" t="str">
            <v>เยื่อไผ่ ห้าส่วน ซากุระ ไทเกอร์ พื้นชมพู L QC</v>
          </cell>
          <cell r="E3440">
            <v>0</v>
          </cell>
          <cell r="F3440">
            <v>890</v>
          </cell>
        </row>
        <row r="3441">
          <cell r="A3441" t="str">
            <v>QG0330-M</v>
          </cell>
          <cell r="B3441" t="str">
            <v>QG330</v>
          </cell>
          <cell r="C3441" t="str">
            <v>เยื่อไผ่ ห้าส่วน ซากุระ ไทเกอร์ พื้นชมพู M QC</v>
          </cell>
          <cell r="E3441">
            <v>0</v>
          </cell>
          <cell r="F3441">
            <v>890</v>
          </cell>
        </row>
        <row r="3442">
          <cell r="A3442" t="str">
            <v>QG0330-S</v>
          </cell>
          <cell r="B3442" t="str">
            <v>QG330</v>
          </cell>
          <cell r="C3442" t="str">
            <v>เยื่อไผ่ ห้าส่วน ซากุระ ไทเกอร์ พื้นชมพู S หลุด QC</v>
          </cell>
          <cell r="E3442">
            <v>0</v>
          </cell>
          <cell r="F3442">
            <v>890</v>
          </cell>
        </row>
        <row r="3443">
          <cell r="A3443" t="str">
            <v>QG0332-L</v>
          </cell>
          <cell r="B3443" t="str">
            <v>QG332</v>
          </cell>
          <cell r="C3443" t="str">
            <v>เยื่อไผ่ ห้าส่วน เสือดาว พื้นเขียว L QC</v>
          </cell>
          <cell r="E3443">
            <v>0</v>
          </cell>
          <cell r="F3443">
            <v>890</v>
          </cell>
        </row>
        <row r="3444">
          <cell r="A3444" t="str">
            <v>QG0332-M</v>
          </cell>
          <cell r="B3444" t="str">
            <v>QG332</v>
          </cell>
          <cell r="C3444" t="str">
            <v>เยื่อไผ่ ห้าส่วน เสือดาว พื้นเขียว M QC</v>
          </cell>
          <cell r="E3444">
            <v>0</v>
          </cell>
          <cell r="F3444">
            <v>890</v>
          </cell>
        </row>
        <row r="3445">
          <cell r="A3445" t="str">
            <v>QG0332-S</v>
          </cell>
          <cell r="B3445" t="str">
            <v>QG332</v>
          </cell>
          <cell r="C3445" t="str">
            <v>เยื่อไผ่ ห้าส่วน เสือดาว พื้นเขียว S QC</v>
          </cell>
          <cell r="E3445">
            <v>0</v>
          </cell>
          <cell r="F3445">
            <v>890</v>
          </cell>
        </row>
        <row r="3446">
          <cell r="A3446" t="str">
            <v>QG0333-XL</v>
          </cell>
          <cell r="B3446" t="str">
            <v>QG333</v>
          </cell>
          <cell r="C3446" t="str">
            <v>เยื่อไผ่ ห้าส่วน ซากุระ ไทเกอร์ พื้นกรม XL QC</v>
          </cell>
          <cell r="E3446">
            <v>0</v>
          </cell>
          <cell r="F3446">
            <v>890</v>
          </cell>
        </row>
        <row r="3447">
          <cell r="A3447" t="str">
            <v>QG0337-L</v>
          </cell>
          <cell r="B3447" t="str">
            <v>QG337</v>
          </cell>
          <cell r="C3447" t="str">
            <v>เยื่อไผ่ ห้าส่วน พื้นฟ้าอ่อน ใบไม้ผลิ L หลุด QC</v>
          </cell>
          <cell r="E3447">
            <v>0</v>
          </cell>
          <cell r="F3447">
            <v>890</v>
          </cell>
        </row>
        <row r="3448">
          <cell r="A3448" t="str">
            <v>QG0338-M</v>
          </cell>
          <cell r="B3448" t="str">
            <v>QG338</v>
          </cell>
          <cell r="C3448" t="str">
            <v>เยื่อไผ่ ห้าส่วน พื้นขาว รวมสัตว์ M QC</v>
          </cell>
          <cell r="E3448">
            <v>0</v>
          </cell>
          <cell r="F3448">
            <v>890</v>
          </cell>
        </row>
        <row r="3449">
          <cell r="A3449" t="str">
            <v>QG0338-XL</v>
          </cell>
          <cell r="B3449" t="str">
            <v>QG338</v>
          </cell>
          <cell r="C3449" t="str">
            <v>เยื่อไผ่ ห้าส่วน พื้นขาว รวมสัตว์ XL QC</v>
          </cell>
          <cell r="E3449">
            <v>0</v>
          </cell>
          <cell r="F3449">
            <v>890</v>
          </cell>
        </row>
        <row r="3450">
          <cell r="A3450" t="str">
            <v>QG0344-S</v>
          </cell>
          <cell r="B3450" t="str">
            <v>QG344</v>
          </cell>
          <cell r="C3450" t="str">
            <v>เยื่อไผ่ ห้าส่วน ใบตอง พื้นดำ S หลุด QC</v>
          </cell>
          <cell r="E3450">
            <v>0</v>
          </cell>
          <cell r="F3450">
            <v>890</v>
          </cell>
        </row>
        <row r="3451">
          <cell r="A3451" t="str">
            <v>QG0345-S</v>
          </cell>
          <cell r="B3451" t="str">
            <v>QG345</v>
          </cell>
          <cell r="C3451" t="str">
            <v>เยื่อไผ่ ห้าส่วน เสือดำ พื้นขาว S QC</v>
          </cell>
          <cell r="E3451">
            <v>0</v>
          </cell>
          <cell r="F3451">
            <v>890</v>
          </cell>
        </row>
        <row r="3452">
          <cell r="A3452" t="str">
            <v>QG0382-L</v>
          </cell>
          <cell r="B3452" t="str">
            <v>QG382</v>
          </cell>
          <cell r="C3452" t="str">
            <v>เยื่อไผ่ ห้าส่วน Classic Blue Flower L หลุด QC</v>
          </cell>
          <cell r="E3452">
            <v>0</v>
          </cell>
          <cell r="F3452">
            <v>890</v>
          </cell>
        </row>
        <row r="3453">
          <cell r="A3453" t="str">
            <v>QG0382-M</v>
          </cell>
          <cell r="B3453" t="str">
            <v>QG382</v>
          </cell>
          <cell r="C3453" t="str">
            <v>เยื่อไผ่ ห้าส่วน Classic Blue Flower M QC</v>
          </cell>
          <cell r="E3453">
            <v>0</v>
          </cell>
          <cell r="F3453">
            <v>890</v>
          </cell>
        </row>
        <row r="3454">
          <cell r="A3454" t="str">
            <v>QG0382-S</v>
          </cell>
          <cell r="B3454" t="str">
            <v>QG382</v>
          </cell>
          <cell r="C3454" t="str">
            <v>เยื่อไผ่ ห้าส่วน Classic Blue Flower S QC</v>
          </cell>
          <cell r="E3454">
            <v>0</v>
          </cell>
          <cell r="F3454">
            <v>890</v>
          </cell>
        </row>
        <row r="3455">
          <cell r="A3455" t="str">
            <v>QG0404-L</v>
          </cell>
          <cell r="B3455" t="str">
            <v>QG404</v>
          </cell>
          <cell r="C3455" t="str">
            <v>เยื่อไผ่ ห้าส่วน มินิฮาร์ท พื้นชมพู L QC</v>
          </cell>
          <cell r="E3455">
            <v>0</v>
          </cell>
          <cell r="F3455">
            <v>890</v>
          </cell>
        </row>
        <row r="3456">
          <cell r="A3456" t="str">
            <v>QG0404-M</v>
          </cell>
          <cell r="B3456" t="str">
            <v>QG404</v>
          </cell>
          <cell r="C3456" t="str">
            <v>เยื่อไผ่ ห้าส่วน มินิฮาร์ท พื้นชมพู M QC</v>
          </cell>
          <cell r="E3456">
            <v>0</v>
          </cell>
          <cell r="F3456">
            <v>890</v>
          </cell>
        </row>
        <row r="3457">
          <cell r="A3457" t="str">
            <v>QG0417-M</v>
          </cell>
          <cell r="B3457" t="str">
            <v>QG417</v>
          </cell>
          <cell r="C3457" t="str">
            <v>เยื่อไผ่ ห้าส่วน Dog Happy M QC</v>
          </cell>
          <cell r="E3457">
            <v>0</v>
          </cell>
          <cell r="F3457">
            <v>890</v>
          </cell>
        </row>
        <row r="3458">
          <cell r="A3458" t="str">
            <v>QG0417-XL</v>
          </cell>
          <cell r="B3458" t="str">
            <v>QG417</v>
          </cell>
          <cell r="C3458" t="str">
            <v>เยื่อไผ่ ห้าส่วน Dog Happy XL QC</v>
          </cell>
          <cell r="E3458">
            <v>0</v>
          </cell>
          <cell r="F3458">
            <v>890</v>
          </cell>
        </row>
        <row r="3459">
          <cell r="A3459" t="str">
            <v>QG0418-S</v>
          </cell>
          <cell r="B3459" t="str">
            <v>QG418</v>
          </cell>
          <cell r="C3459" t="str">
            <v>เยื่อไผ่ ห้าส่วน สิงโต พื้นส้ม S QC</v>
          </cell>
          <cell r="E3459">
            <v>0</v>
          </cell>
          <cell r="F3459">
            <v>890</v>
          </cell>
        </row>
        <row r="3460">
          <cell r="A3460" t="str">
            <v>QG0418-XL</v>
          </cell>
          <cell r="B3460" t="str">
            <v>QG418</v>
          </cell>
          <cell r="C3460" t="str">
            <v>เยื่อไผ่ ห้าส่วน สิงโต พื้นส้ม XL QC</v>
          </cell>
          <cell r="E3460">
            <v>0</v>
          </cell>
          <cell r="F3460">
            <v>890</v>
          </cell>
        </row>
        <row r="3461">
          <cell r="A3461" t="str">
            <v>QG0426-S</v>
          </cell>
          <cell r="B3461" t="str">
            <v>QG426</v>
          </cell>
          <cell r="C3461" t="str">
            <v>เยื่อไผ่ ห้าส่วน สีน้ำ เหลืองม่วงส้ม S QC</v>
          </cell>
          <cell r="E3461">
            <v>0</v>
          </cell>
          <cell r="F3461">
            <v>890</v>
          </cell>
        </row>
        <row r="3462">
          <cell r="A3462" t="str">
            <v>QH0023-XL</v>
          </cell>
          <cell r="B3462" t="str">
            <v>QH23</v>
          </cell>
          <cell r="C3462" t="str">
            <v>ซาติน ไฮเอ็น แขนยาวขายาว พื้นชมพูอ่อน พู่กัน กระเป๋าจิ้งจอก XL (กปก) หลุด QC</v>
          </cell>
          <cell r="E3462">
            <v>0</v>
          </cell>
          <cell r="F3462">
            <v>990</v>
          </cell>
        </row>
        <row r="3463">
          <cell r="A3463" t="str">
            <v>QK0031-L</v>
          </cell>
          <cell r="B3463" t="str">
            <v>QK31</v>
          </cell>
          <cell r="C3463" t="str">
            <v>ซาติน เดรสแขนห้าส่วน สีชมพูนู้ด ขอบเงิน ลายหัวใจ L QC</v>
          </cell>
          <cell r="E3463">
            <v>0</v>
          </cell>
          <cell r="F3463">
            <v>890</v>
          </cell>
        </row>
        <row r="3464">
          <cell r="A3464" t="str">
            <v>QK0312-L</v>
          </cell>
          <cell r="B3464" t="str">
            <v>QK312</v>
          </cell>
          <cell r="C3464" t="str">
            <v>ซาติน เดรส แขนยาว ขาวล้วน L QC</v>
          </cell>
          <cell r="E3464">
            <v>0</v>
          </cell>
          <cell r="F3464">
            <v>890</v>
          </cell>
        </row>
        <row r="3465">
          <cell r="A3465" t="str">
            <v>QK0312-M</v>
          </cell>
          <cell r="B3465" t="str">
            <v>QK312</v>
          </cell>
          <cell r="C3465" t="str">
            <v>ซาติน เดรส แขนยาว ขาวล้วน M QC</v>
          </cell>
          <cell r="E3465">
            <v>0</v>
          </cell>
          <cell r="F3465">
            <v>890</v>
          </cell>
        </row>
        <row r="3466">
          <cell r="A3466" t="str">
            <v>QK0325-2XL</v>
          </cell>
          <cell r="B3466" t="str">
            <v>QK325</v>
          </cell>
          <cell r="C3466" t="str">
            <v>ซาติน เดรส แขนสั้น ดอกไม้ นกยูง 2XL QC</v>
          </cell>
          <cell r="E3466">
            <v>0</v>
          </cell>
          <cell r="F3466">
            <v>890</v>
          </cell>
        </row>
        <row r="3467">
          <cell r="A3467" t="str">
            <v>QK0334-2XL</v>
          </cell>
          <cell r="B3467" t="str">
            <v>QK334</v>
          </cell>
          <cell r="C3467" t="str">
            <v>ซาติน เดรสแขนสั้น สีกรมเข้ม 2XL QC</v>
          </cell>
          <cell r="E3467">
            <v>0</v>
          </cell>
          <cell r="F3467">
            <v>890</v>
          </cell>
        </row>
        <row r="3468">
          <cell r="A3468" t="str">
            <v>QK0335-M</v>
          </cell>
          <cell r="B3468" t="str">
            <v>QK335</v>
          </cell>
          <cell r="C3468" t="str">
            <v>ซาติน เดรสแขนสั้น ฟ้าเข้ม M หลุด QC</v>
          </cell>
          <cell r="E3468">
            <v>0</v>
          </cell>
          <cell r="F3468">
            <v>890</v>
          </cell>
        </row>
        <row r="3469">
          <cell r="A3469" t="str">
            <v>QK0346-3XL</v>
          </cell>
          <cell r="B3469" t="str">
            <v>QK346</v>
          </cell>
          <cell r="C3469" t="str">
            <v>ซาติน เดรสแขนห้าส่วน กางเกง Pancake And Flowers 3XL QC</v>
          </cell>
          <cell r="E3469">
            <v>0</v>
          </cell>
          <cell r="F3469">
            <v>890</v>
          </cell>
        </row>
        <row r="3470">
          <cell r="A3470" t="str">
            <v>QK0348-L</v>
          </cell>
          <cell r="B3470" t="str">
            <v>QK348</v>
          </cell>
          <cell r="C3470" t="str">
            <v>ซาติน เดรส แขนสั้น กวางเรนเดียร์ L หลุด QC</v>
          </cell>
          <cell r="E3470">
            <v>0</v>
          </cell>
          <cell r="F3470">
            <v>890</v>
          </cell>
        </row>
        <row r="3471">
          <cell r="A3471" t="str">
            <v>QK0349-L</v>
          </cell>
          <cell r="B3471" t="str">
            <v>QK349</v>
          </cell>
          <cell r="C3471" t="str">
            <v>ซาติน เดรส แขนสั้น กางเกง ปีกัสโซ่  L QC</v>
          </cell>
          <cell r="E3471">
            <v>0</v>
          </cell>
          <cell r="F3471">
            <v>890</v>
          </cell>
        </row>
        <row r="3472">
          <cell r="A3472" t="str">
            <v>QK0349-M</v>
          </cell>
          <cell r="B3472" t="str">
            <v>QK349</v>
          </cell>
          <cell r="C3472" t="str">
            <v>ซาติน เดรส แขนสั้น กางเกง ปีกัสโซ่  M QC</v>
          </cell>
          <cell r="E3472">
            <v>0</v>
          </cell>
          <cell r="F3472">
            <v>890</v>
          </cell>
        </row>
        <row r="3473">
          <cell r="A3473" t="str">
            <v>QK0349-XL</v>
          </cell>
          <cell r="B3473" t="str">
            <v>QK349</v>
          </cell>
          <cell r="C3473" t="str">
            <v>ซาติน เดรส แขนสั้น กางเกง ปีกัสโซ่  XL QC</v>
          </cell>
          <cell r="E3473">
            <v>0</v>
          </cell>
          <cell r="F3473">
            <v>890</v>
          </cell>
        </row>
        <row r="3474">
          <cell r="A3474" t="str">
            <v>QK0351-2XL</v>
          </cell>
          <cell r="B3474" t="str">
            <v>QK351</v>
          </cell>
          <cell r="C3474" t="str">
            <v>ซาติน เดรส แขนยาว Flower Gray 2XL หลุด QC</v>
          </cell>
          <cell r="E3474">
            <v>0</v>
          </cell>
          <cell r="F3474">
            <v>890</v>
          </cell>
        </row>
        <row r="3475">
          <cell r="A3475" t="str">
            <v>QK0351-3XL</v>
          </cell>
          <cell r="B3475" t="str">
            <v>QK351</v>
          </cell>
          <cell r="C3475" t="str">
            <v>ซาติน เดรส แขนยาว Flower Gray 3XL หลุด QC</v>
          </cell>
          <cell r="E3475">
            <v>0</v>
          </cell>
          <cell r="F3475">
            <v>890</v>
          </cell>
        </row>
        <row r="3476">
          <cell r="A3476" t="str">
            <v>QK0351-L</v>
          </cell>
          <cell r="B3476" t="str">
            <v>QK351</v>
          </cell>
          <cell r="C3476" t="str">
            <v>ซาติน เดรส แขนยาว Flower Gray L QC</v>
          </cell>
          <cell r="E3476">
            <v>0</v>
          </cell>
          <cell r="F3476">
            <v>890</v>
          </cell>
        </row>
        <row r="3477">
          <cell r="A3477" t="str">
            <v>QK0351-M</v>
          </cell>
          <cell r="B3477" t="str">
            <v>QK351</v>
          </cell>
          <cell r="C3477" t="str">
            <v>ซาติน เดรส แขนยาว Flower Gray M หลุด QC</v>
          </cell>
          <cell r="E3477">
            <v>0</v>
          </cell>
          <cell r="F3477">
            <v>890</v>
          </cell>
        </row>
        <row r="3478">
          <cell r="A3478" t="str">
            <v>QK0351-XL</v>
          </cell>
          <cell r="B3478" t="str">
            <v>QK351</v>
          </cell>
          <cell r="C3478" t="str">
            <v>ซาติน เดรส แขนยาว Flower Gray XL หลุด QC</v>
          </cell>
          <cell r="E3478">
            <v>0</v>
          </cell>
          <cell r="F3478">
            <v>890</v>
          </cell>
        </row>
        <row r="3479">
          <cell r="A3479" t="str">
            <v>QK0354-M</v>
          </cell>
          <cell r="B3479" t="str">
            <v>QK354</v>
          </cell>
          <cell r="C3479" t="str">
            <v>ซาติน เดรสแขนยาว พื้นขาว M QC</v>
          </cell>
          <cell r="E3479">
            <v>0</v>
          </cell>
          <cell r="F3479">
            <v>890</v>
          </cell>
        </row>
        <row r="3480">
          <cell r="A3480" t="str">
            <v>QK0482-2XL</v>
          </cell>
          <cell r="B3480" t="str">
            <v>QK482</v>
          </cell>
          <cell r="C3480" t="str">
            <v>ซาติน เดรสแขนสั้น กางเกง Sleep Cat พื้นฟ้า 2XL QC</v>
          </cell>
          <cell r="E3480">
            <v>0</v>
          </cell>
          <cell r="F3480">
            <v>890</v>
          </cell>
        </row>
        <row r="3481">
          <cell r="A3481" t="str">
            <v>QK0482-M</v>
          </cell>
          <cell r="B3481" t="str">
            <v>QK482</v>
          </cell>
          <cell r="C3481" t="str">
            <v>ซาติน เดรสแขนสั้น กางเกง Sleep Cat พื้นฟ้า M QC</v>
          </cell>
          <cell r="E3481">
            <v>0</v>
          </cell>
          <cell r="F3481">
            <v>890</v>
          </cell>
        </row>
        <row r="3482">
          <cell r="A3482" t="str">
            <v>QK0526-2XL</v>
          </cell>
          <cell r="B3482" t="str">
            <v>QK526</v>
          </cell>
          <cell r="C3482" t="str">
            <v>ซาติน เดรส แขนสั้น Royal Art 2XL QC</v>
          </cell>
          <cell r="E3482">
            <v>0</v>
          </cell>
          <cell r="F3482">
            <v>890</v>
          </cell>
        </row>
        <row r="3483">
          <cell r="A3483" t="str">
            <v>QK0526-3XL</v>
          </cell>
          <cell r="B3483" t="str">
            <v>QK526</v>
          </cell>
          <cell r="C3483" t="str">
            <v>ซาติน เดรส แขนสั้น Royal Art 3XL หลุด QC</v>
          </cell>
          <cell r="E3483">
            <v>0</v>
          </cell>
          <cell r="F3483">
            <v>890</v>
          </cell>
        </row>
        <row r="3484">
          <cell r="A3484" t="str">
            <v>QK0526-M</v>
          </cell>
          <cell r="B3484" t="str">
            <v>QK526</v>
          </cell>
          <cell r="C3484" t="str">
            <v>ซาติน เดรส แขนสั้น Royal Art M หลุด QC</v>
          </cell>
          <cell r="E3484">
            <v>0</v>
          </cell>
          <cell r="F3484">
            <v>890</v>
          </cell>
        </row>
        <row r="3485">
          <cell r="A3485" t="str">
            <v>QK0526-S</v>
          </cell>
          <cell r="B3485" t="str">
            <v>QK526</v>
          </cell>
          <cell r="C3485" t="str">
            <v>ซาติน เดรส แขนสั้น Royal Art S QC</v>
          </cell>
          <cell r="E3485">
            <v>0</v>
          </cell>
          <cell r="F3485">
            <v>890</v>
          </cell>
        </row>
        <row r="3486">
          <cell r="A3486" t="str">
            <v>QK0526-XL</v>
          </cell>
          <cell r="B3486" t="str">
            <v>QK526</v>
          </cell>
          <cell r="C3486" t="str">
            <v>ซาติน เดรส แขนสั้น Royal Art XL หลุด QC</v>
          </cell>
          <cell r="E3486">
            <v>0</v>
          </cell>
          <cell r="F3486">
            <v>890</v>
          </cell>
        </row>
        <row r="3487">
          <cell r="A3487" t="str">
            <v>QK0606-2XL</v>
          </cell>
          <cell r="B3487" t="str">
            <v>QK606</v>
          </cell>
          <cell r="C3487" t="str">
            <v>ซาติน เดรส กางเกง มอนสเตอร่า พื้นเขียวมิ้นท์ 2XL หลุด QC</v>
          </cell>
          <cell r="E3487">
            <v>0</v>
          </cell>
          <cell r="F3487">
            <v>890</v>
          </cell>
        </row>
        <row r="3488">
          <cell r="A3488" t="str">
            <v>QK0606-4XL</v>
          </cell>
          <cell r="B3488" t="str">
            <v>QK606</v>
          </cell>
          <cell r="C3488" t="str">
            <v>ซาติน เดรส กางเกง มอนสเตอร่า พื้นเขียวมิ้นท์ 4XL หลุด QC</v>
          </cell>
          <cell r="E3488">
            <v>0</v>
          </cell>
          <cell r="F3488">
            <v>890</v>
          </cell>
        </row>
        <row r="3489">
          <cell r="A3489" t="str">
            <v>QK0606-L</v>
          </cell>
          <cell r="B3489" t="str">
            <v>QK606</v>
          </cell>
          <cell r="C3489" t="str">
            <v>ซาติน เดรส กางเกง มอนสเตอร่า พื้นเขียวมิ้นท์ L หลุด QC</v>
          </cell>
          <cell r="E3489">
            <v>0</v>
          </cell>
          <cell r="F3489">
            <v>890</v>
          </cell>
        </row>
        <row r="3490">
          <cell r="A3490" t="str">
            <v>QK0606-M</v>
          </cell>
          <cell r="B3490" t="str">
            <v>QK606</v>
          </cell>
          <cell r="C3490" t="str">
            <v>ซาติน เดรส กางเกง มอนสเตอร่า พื้นเขียวมิ้นท์ M หลุด QC</v>
          </cell>
          <cell r="E3490">
            <v>0</v>
          </cell>
          <cell r="F3490">
            <v>890</v>
          </cell>
        </row>
        <row r="3491">
          <cell r="A3491" t="str">
            <v>QK0606-XL</v>
          </cell>
          <cell r="B3491" t="str">
            <v>QK606</v>
          </cell>
          <cell r="C3491" t="str">
            <v>ซาติน เดรส กางเกง มอนสเตอร่า พื้นเขียวมิ้นท์ XL QC</v>
          </cell>
          <cell r="E3491">
            <v>0</v>
          </cell>
          <cell r="F3491">
            <v>890</v>
          </cell>
        </row>
        <row r="3492">
          <cell r="A3492" t="str">
            <v>QK0808-XL</v>
          </cell>
          <cell r="B3492" t="str">
            <v>QK808</v>
          </cell>
          <cell r="C3492" t="str">
            <v>ซาติน เดรส แขนสั้น tulip ม่วง XL QC</v>
          </cell>
          <cell r="E3492">
            <v>0</v>
          </cell>
          <cell r="F3492">
            <v>890</v>
          </cell>
        </row>
        <row r="3493">
          <cell r="A3493" t="str">
            <v>QK0884-2XL</v>
          </cell>
          <cell r="B3493" t="str">
            <v>QK884</v>
          </cell>
          <cell r="C3493" t="str">
            <v>ซาติน เดรส แขนห้าส่วน กางเกง สวนดอกไม้ พื้นฟ้า 2XL หลุด QC</v>
          </cell>
          <cell r="E3493">
            <v>0</v>
          </cell>
          <cell r="F3493">
            <v>890</v>
          </cell>
        </row>
        <row r="3494">
          <cell r="A3494" t="str">
            <v>QK0884-3XL</v>
          </cell>
          <cell r="B3494" t="str">
            <v>QK884</v>
          </cell>
          <cell r="C3494" t="str">
            <v>ซาติน เดรส แขนห้าส่วน กางเกง สวนดอกไม้ พื้นฟ้า 3XL หลุด QC</v>
          </cell>
          <cell r="E3494">
            <v>0</v>
          </cell>
          <cell r="F3494">
            <v>890</v>
          </cell>
        </row>
        <row r="3495">
          <cell r="A3495" t="str">
            <v>QK0884-4XL</v>
          </cell>
          <cell r="B3495" t="str">
            <v>QK884</v>
          </cell>
          <cell r="C3495" t="str">
            <v>ซาติน เดรส แขนห้าส่วน กางเกง สวนดอกไม้ พื้นฟ้า 4XL หลุด QC</v>
          </cell>
          <cell r="E3495">
            <v>0</v>
          </cell>
          <cell r="F3495">
            <v>890</v>
          </cell>
        </row>
        <row r="3496">
          <cell r="A3496" t="str">
            <v>QK0884-L</v>
          </cell>
          <cell r="B3496" t="str">
            <v>QK884</v>
          </cell>
          <cell r="C3496" t="str">
            <v>ซาติน เดรส แขนห้าส่วน กางเกง สวนดอกไม้ พื้นฟ้า L QC</v>
          </cell>
          <cell r="E3496">
            <v>0</v>
          </cell>
          <cell r="F3496">
            <v>890</v>
          </cell>
        </row>
        <row r="3497">
          <cell r="A3497" t="str">
            <v>QK0884-M</v>
          </cell>
          <cell r="B3497" t="str">
            <v>QK884</v>
          </cell>
          <cell r="C3497" t="str">
            <v>ซาติน เดรส แขนห้าส่วน กางเกง สวนดอกไม้ พื้นฟ้า M หลุด QC</v>
          </cell>
          <cell r="E3497">
            <v>0</v>
          </cell>
          <cell r="F3497">
            <v>890</v>
          </cell>
        </row>
        <row r="3498">
          <cell r="A3498" t="str">
            <v>QK0884-XL</v>
          </cell>
          <cell r="B3498" t="str">
            <v>QK884</v>
          </cell>
          <cell r="C3498" t="str">
            <v>ซาติน เดรส แขนห้าส่วน กางเกง สวนดอกไม้ พื้นฟ้า XL หลุด QC</v>
          </cell>
          <cell r="E3498">
            <v>0</v>
          </cell>
          <cell r="F3498">
            <v>890</v>
          </cell>
        </row>
        <row r="3499">
          <cell r="A3499" t="str">
            <v>QK0906-2XL</v>
          </cell>
          <cell r="B3499" t="str">
            <v>QK906</v>
          </cell>
          <cell r="C3499" t="str">
            <v>ซาติน เดรส แขนสั้น ใบไม้ขาว พื้นดำ 2XL หลุด QC</v>
          </cell>
          <cell r="E3499">
            <v>0</v>
          </cell>
          <cell r="F3499">
            <v>890</v>
          </cell>
        </row>
        <row r="3500">
          <cell r="A3500" t="str">
            <v>QK0906-3XL</v>
          </cell>
          <cell r="B3500" t="str">
            <v>QK906</v>
          </cell>
          <cell r="C3500" t="str">
            <v>ซาติน เดรส แขนสั้น ใบไม้ขาว พื้นดำ 3XL หลุด QC</v>
          </cell>
          <cell r="E3500">
            <v>0</v>
          </cell>
          <cell r="F3500">
            <v>890</v>
          </cell>
        </row>
        <row r="3501">
          <cell r="A3501" t="str">
            <v>QK0906-L</v>
          </cell>
          <cell r="B3501" t="str">
            <v>QK906</v>
          </cell>
          <cell r="C3501" t="str">
            <v>ซาติน เดรส แขนสั้น ใบไม้ขาว พื้นดำ L QC</v>
          </cell>
          <cell r="E3501">
            <v>0</v>
          </cell>
          <cell r="F3501">
            <v>890</v>
          </cell>
        </row>
        <row r="3502">
          <cell r="A3502" t="str">
            <v>QK0906-M</v>
          </cell>
          <cell r="B3502" t="str">
            <v>QK906</v>
          </cell>
          <cell r="C3502" t="str">
            <v>ซาติน เดรส แขนสั้น ใบไม้ขาว พื้นดำ M QC</v>
          </cell>
          <cell r="E3502">
            <v>0</v>
          </cell>
          <cell r="F3502">
            <v>890</v>
          </cell>
        </row>
        <row r="3503">
          <cell r="A3503" t="str">
            <v>QK0906-XL</v>
          </cell>
          <cell r="B3503" t="str">
            <v>QK906</v>
          </cell>
          <cell r="C3503" t="str">
            <v>ซาติน เดรส แขนสั้น ใบไม้ขาว พื้นดำ XL หลุด QC</v>
          </cell>
          <cell r="E3503">
            <v>0</v>
          </cell>
          <cell r="F3503">
            <v>890</v>
          </cell>
        </row>
        <row r="3504">
          <cell r="A3504" t="str">
            <v>QK0935-2XL</v>
          </cell>
          <cell r="B3504" t="str">
            <v>QK935</v>
          </cell>
          <cell r="C3504" t="str">
            <v>ซาติน เดรส แขนสั้น Cute old totoro 2XL หลุด QC</v>
          </cell>
          <cell r="E3504">
            <v>0</v>
          </cell>
          <cell r="F3504">
            <v>890</v>
          </cell>
        </row>
        <row r="3505">
          <cell r="A3505" t="str">
            <v>QK0935-3XL</v>
          </cell>
          <cell r="B3505" t="str">
            <v>QK935</v>
          </cell>
          <cell r="C3505" t="str">
            <v>ซาติน เดรส แขนสั้น Cute old totoro 3XL หลุด QC</v>
          </cell>
          <cell r="E3505">
            <v>0</v>
          </cell>
          <cell r="F3505">
            <v>890</v>
          </cell>
        </row>
        <row r="3506">
          <cell r="A3506" t="str">
            <v>QK0935-L</v>
          </cell>
          <cell r="B3506" t="str">
            <v>QK935</v>
          </cell>
          <cell r="C3506" t="str">
            <v>ซาติน เดรส แขนสั้น Cute old totoro L หลุด QC</v>
          </cell>
          <cell r="E3506">
            <v>0</v>
          </cell>
          <cell r="F3506">
            <v>890</v>
          </cell>
        </row>
        <row r="3507">
          <cell r="A3507" t="str">
            <v>QK0935-M</v>
          </cell>
          <cell r="B3507" t="str">
            <v>QK935</v>
          </cell>
          <cell r="C3507" t="str">
            <v>ซาติน เดรส แขนสั้น Cute old totoro M หลุด QC</v>
          </cell>
          <cell r="E3507">
            <v>0</v>
          </cell>
          <cell r="F3507">
            <v>890</v>
          </cell>
        </row>
        <row r="3508">
          <cell r="A3508" t="str">
            <v>QK0935-XL</v>
          </cell>
          <cell r="B3508" t="str">
            <v>QK935</v>
          </cell>
          <cell r="C3508" t="str">
            <v>ซาติน เดรส แขนสั้น Cute old totoro XL หลุด QC</v>
          </cell>
          <cell r="E3508">
            <v>0</v>
          </cell>
          <cell r="F3508">
            <v>890</v>
          </cell>
        </row>
        <row r="3509">
          <cell r="A3509" t="str">
            <v>QK0954-L</v>
          </cell>
          <cell r="B3509" t="str">
            <v>QK954</v>
          </cell>
          <cell r="C3509" t="str">
            <v>ซาติน เดรส แขนยาว ตารางฟ้าขาว ผลไม้ L หลุด QC</v>
          </cell>
          <cell r="E3509">
            <v>0</v>
          </cell>
          <cell r="F3509">
            <v>890</v>
          </cell>
        </row>
        <row r="3510">
          <cell r="A3510" t="str">
            <v>QK0954-M</v>
          </cell>
          <cell r="B3510" t="str">
            <v>QK954</v>
          </cell>
          <cell r="C3510" t="str">
            <v>ซาติน เดรส แขนยาว ตารางฟ้าขาว ผลไม้ M หลุด QC</v>
          </cell>
          <cell r="E3510">
            <v>0</v>
          </cell>
          <cell r="F3510">
            <v>890</v>
          </cell>
        </row>
        <row r="3511">
          <cell r="A3511" t="str">
            <v>QK0961-2XL</v>
          </cell>
          <cell r="B3511" t="str">
            <v>QK961</v>
          </cell>
          <cell r="C3511" t="str">
            <v>เดรสแขนสั้น +กางเกง (กปก) พื้นเขียว สวนดอกไม้ 2XL หลุด QC</v>
          </cell>
          <cell r="E3511">
            <v>0</v>
          </cell>
          <cell r="F3511">
            <v>890</v>
          </cell>
        </row>
        <row r="3512">
          <cell r="A3512" t="str">
            <v>QK0961-3XL</v>
          </cell>
          <cell r="B3512" t="str">
            <v>QK961</v>
          </cell>
          <cell r="C3512" t="str">
            <v>เดรสแขนสั้น +กางเกง (กปก) พื้นเขียว สวนดอกไม้ 3XL หลุด QC</v>
          </cell>
          <cell r="E3512">
            <v>0</v>
          </cell>
          <cell r="F3512">
            <v>890</v>
          </cell>
        </row>
        <row r="3513">
          <cell r="A3513" t="str">
            <v>QK0961-L</v>
          </cell>
          <cell r="B3513" t="str">
            <v>QK961</v>
          </cell>
          <cell r="C3513" t="str">
            <v>เดรสแขนสั้น+กางเกง  (กปก) พื้นเขียว สวนดอกไม้ L หลุด QC</v>
          </cell>
          <cell r="E3513">
            <v>0</v>
          </cell>
          <cell r="F3513">
            <v>890</v>
          </cell>
        </row>
        <row r="3514">
          <cell r="A3514" t="str">
            <v>QK0961-M</v>
          </cell>
          <cell r="B3514" t="str">
            <v>QK961</v>
          </cell>
          <cell r="C3514" t="str">
            <v>เดรสแขนสั้น+กางเกง  (กปก) พื้นเขียว สวนดอกไม้ M หลุด QC</v>
          </cell>
          <cell r="E3514">
            <v>0</v>
          </cell>
          <cell r="F3514">
            <v>890</v>
          </cell>
        </row>
        <row r="3515">
          <cell r="A3515" t="str">
            <v>QK0961-XL</v>
          </cell>
          <cell r="B3515" t="str">
            <v>QK961</v>
          </cell>
          <cell r="C3515" t="str">
            <v>เดรสแขนสั้น +กางเกง (กปก) พื้นเขียว สวนดอกไม้ XL หลุด QC</v>
          </cell>
          <cell r="E3515">
            <v>0</v>
          </cell>
          <cell r="F3515">
            <v>890</v>
          </cell>
        </row>
        <row r="3516">
          <cell r="A3516" t="str">
            <v>QK0962-2XL</v>
          </cell>
          <cell r="B3516" t="str">
            <v>QK962</v>
          </cell>
          <cell r="C3516" t="str">
            <v>ซาติน เดรสแขนสั้น+กางเกง พื้นครีม สตอเบอรี่ 2XL หลุด QC</v>
          </cell>
          <cell r="E3516">
            <v>0</v>
          </cell>
          <cell r="F3516">
            <v>890</v>
          </cell>
        </row>
        <row r="3517">
          <cell r="A3517" t="str">
            <v>QK0962-3XL</v>
          </cell>
          <cell r="B3517" t="str">
            <v>QK962</v>
          </cell>
          <cell r="C3517" t="str">
            <v>ซาติน เดรสแขนสั้น+กางเกง พื้นครีม สตอเบอรี่ 3XL หลุด QC</v>
          </cell>
          <cell r="E3517">
            <v>0</v>
          </cell>
          <cell r="F3517">
            <v>890</v>
          </cell>
        </row>
        <row r="3518">
          <cell r="A3518" t="str">
            <v>QK0962-L</v>
          </cell>
          <cell r="B3518" t="str">
            <v>QK962</v>
          </cell>
          <cell r="C3518" t="str">
            <v>ซาติน เดรสแขนสั้น+กางเกง พื้นครีม สตอเบอรี่ L QC</v>
          </cell>
          <cell r="E3518">
            <v>0</v>
          </cell>
          <cell r="F3518">
            <v>890</v>
          </cell>
        </row>
        <row r="3519">
          <cell r="A3519" t="str">
            <v>QK0962-M</v>
          </cell>
          <cell r="B3519" t="str">
            <v>QK962</v>
          </cell>
          <cell r="C3519" t="str">
            <v>ซาติน เดรสแขนสั้น+กางเกง พื้นครีม สตอเบอรี่ M หลุด QC</v>
          </cell>
          <cell r="E3519">
            <v>0</v>
          </cell>
          <cell r="F3519">
            <v>890</v>
          </cell>
        </row>
        <row r="3520">
          <cell r="A3520" t="str">
            <v>QK0962-XL</v>
          </cell>
          <cell r="B3520" t="str">
            <v>QK962</v>
          </cell>
          <cell r="C3520" t="str">
            <v>ซาติน เดรสแขนสั้น+กางเกง พื้นครีม สตอเบอรี่ XL หลุด QC</v>
          </cell>
          <cell r="E3520">
            <v>0</v>
          </cell>
          <cell r="F3520">
            <v>890</v>
          </cell>
        </row>
        <row r="3521">
          <cell r="A3521" t="str">
            <v>QK0963-3XL</v>
          </cell>
          <cell r="B3521" t="str">
            <v>QK963</v>
          </cell>
          <cell r="C3521" t="str">
            <v>ซาติน เดรสแขนสั้น+กางเกง  เทพีผมม่วง 3XL หลุด QC</v>
          </cell>
          <cell r="E3521">
            <v>0</v>
          </cell>
          <cell r="F3521">
            <v>890</v>
          </cell>
        </row>
        <row r="3522">
          <cell r="A3522" t="str">
            <v>QK0968-2XL</v>
          </cell>
          <cell r="B3522" t="str">
            <v>QK968</v>
          </cell>
          <cell r="C3522" t="str">
            <v>ซาติน เดรสแขนสั้น+กางเกง ดอกมะลิ พื้นเขียว 2XL หลุด QC</v>
          </cell>
          <cell r="E3522">
            <v>0</v>
          </cell>
          <cell r="F3522">
            <v>890</v>
          </cell>
        </row>
        <row r="3523">
          <cell r="A3523" t="str">
            <v>QK0968-3XL</v>
          </cell>
          <cell r="B3523" t="str">
            <v>QK968</v>
          </cell>
          <cell r="C3523" t="str">
            <v>ซาติน เดรสแขนสั้น+กางเกง ดอกมะลิ พื้นเขียว 3XL หลุด QC</v>
          </cell>
          <cell r="E3523">
            <v>0</v>
          </cell>
          <cell r="F3523">
            <v>890</v>
          </cell>
        </row>
        <row r="3524">
          <cell r="A3524" t="str">
            <v>QK0968-L</v>
          </cell>
          <cell r="B3524" t="str">
            <v>QK968</v>
          </cell>
          <cell r="C3524" t="str">
            <v>ซาติน เดรสแขนสั้น+กางเกง ดอกมะลิ พื้นเขียว L QC</v>
          </cell>
          <cell r="E3524">
            <v>0</v>
          </cell>
          <cell r="F3524">
            <v>890</v>
          </cell>
        </row>
        <row r="3525">
          <cell r="A3525" t="str">
            <v>QK0968-M</v>
          </cell>
          <cell r="B3525" t="str">
            <v>QK968</v>
          </cell>
          <cell r="C3525" t="str">
            <v>ซาติน เดรสแขนสั้น+กางเกง ดอกมะลิ พื้นเขียว M หลุด QC</v>
          </cell>
          <cell r="E3525">
            <v>0</v>
          </cell>
          <cell r="F3525">
            <v>890</v>
          </cell>
        </row>
        <row r="3526">
          <cell r="A3526" t="str">
            <v>QK0968-XL</v>
          </cell>
          <cell r="B3526" t="str">
            <v>QK968</v>
          </cell>
          <cell r="C3526" t="str">
            <v>ซาติน เดรสแขนสั้น+กางเกง ดอกมะลิ พื้นเขียว XL หลุด QC</v>
          </cell>
          <cell r="E3526">
            <v>0</v>
          </cell>
          <cell r="F3526">
            <v>890</v>
          </cell>
        </row>
        <row r="3527">
          <cell r="A3527" t="str">
            <v>QK0980-2XL</v>
          </cell>
          <cell r="B3527" t="str">
            <v>QK980</v>
          </cell>
          <cell r="C3527" t="str">
            <v>ซาติน เดรสแขนสั้น กางเกง โบว์ชมพู 2XL QC</v>
          </cell>
          <cell r="E3527">
            <v>0</v>
          </cell>
          <cell r="F3527">
            <v>890</v>
          </cell>
        </row>
        <row r="3528">
          <cell r="A3528" t="str">
            <v>QK0980-3XL</v>
          </cell>
          <cell r="B3528" t="str">
            <v>QK980</v>
          </cell>
          <cell r="C3528" t="str">
            <v>ซาติน เดรสแขนสั้น กางเกง โบว์ชมพู 3XL QC</v>
          </cell>
          <cell r="E3528">
            <v>0</v>
          </cell>
          <cell r="F3528">
            <v>890</v>
          </cell>
        </row>
        <row r="3529">
          <cell r="A3529" t="str">
            <v>QK0980-L</v>
          </cell>
          <cell r="B3529" t="str">
            <v>QK980</v>
          </cell>
          <cell r="C3529" t="str">
            <v>ซาติน เดรสแขนสั้น กางเกง โบว์ชมพู L หลุด QC</v>
          </cell>
          <cell r="E3529">
            <v>0</v>
          </cell>
          <cell r="F3529">
            <v>890</v>
          </cell>
        </row>
        <row r="3530">
          <cell r="A3530" t="str">
            <v>QK0980-M</v>
          </cell>
          <cell r="B3530" t="str">
            <v>QK980</v>
          </cell>
          <cell r="C3530" t="str">
            <v>ซาติน เดรสแขนสั้น กางเกง โบว์ชมพู M หลุด QC</v>
          </cell>
          <cell r="E3530">
            <v>0</v>
          </cell>
          <cell r="F3530">
            <v>890</v>
          </cell>
        </row>
        <row r="3531">
          <cell r="A3531" t="str">
            <v>QK0980-XL</v>
          </cell>
          <cell r="B3531" t="str">
            <v>QK980</v>
          </cell>
          <cell r="C3531" t="str">
            <v>ซาติน เดรสแขนสั้น กางเกง โบว์ชมพู XL หลุด QC</v>
          </cell>
          <cell r="E3531">
            <v>0</v>
          </cell>
          <cell r="F3531">
            <v>890</v>
          </cell>
        </row>
        <row r="3532">
          <cell r="A3532" t="str">
            <v>QK1036-2XL</v>
          </cell>
          <cell r="B3532" t="str">
            <v>QK1036</v>
          </cell>
          <cell r="C3532" t="str">
            <v>ซาติน เดรส กางเกง กระต่ายขาว ขอบชมพู 2XL QC</v>
          </cell>
          <cell r="E3532">
            <v>0</v>
          </cell>
          <cell r="F3532">
            <v>890</v>
          </cell>
        </row>
        <row r="3533">
          <cell r="A3533" t="str">
            <v>QK1036-M</v>
          </cell>
          <cell r="B3533" t="str">
            <v>QK1036</v>
          </cell>
          <cell r="C3533" t="str">
            <v>ซาติน เดรส กางเกง กระต่ายขาว ขอบชมพู M QC</v>
          </cell>
          <cell r="E3533">
            <v>0</v>
          </cell>
          <cell r="F3533">
            <v>890</v>
          </cell>
        </row>
        <row r="3534">
          <cell r="A3534" t="str">
            <v>QK1047-M</v>
          </cell>
          <cell r="B3534" t="str">
            <v>QK1047</v>
          </cell>
          <cell r="C3534" t="str">
            <v>ซาติน เดรสแขนสั้น Cute Bear พื้นขาว M QC</v>
          </cell>
          <cell r="E3534">
            <v>0</v>
          </cell>
          <cell r="F3534">
            <v>890</v>
          </cell>
        </row>
        <row r="3535">
          <cell r="A3535" t="str">
            <v>QK1062-2XL</v>
          </cell>
          <cell r="B3535" t="str">
            <v>QK1062</v>
          </cell>
          <cell r="C3535" t="str">
            <v>ซาติน เดรสแขนสั้น กางเกง คัพเค้ก เบบี้เกิร์ล 2XL QC</v>
          </cell>
          <cell r="E3535">
            <v>0</v>
          </cell>
          <cell r="F3535">
            <v>890</v>
          </cell>
        </row>
        <row r="3536">
          <cell r="A3536" t="str">
            <v>QK1062-L</v>
          </cell>
          <cell r="B3536" t="str">
            <v>QK1062</v>
          </cell>
          <cell r="C3536" t="str">
            <v>ซาติน เดรสแขนสั้น กางเกง คัพเค้ก เบบี้เกิร์ล L QC</v>
          </cell>
          <cell r="E3536">
            <v>0</v>
          </cell>
          <cell r="F3536">
            <v>890</v>
          </cell>
        </row>
        <row r="3537">
          <cell r="A3537" t="str">
            <v>QK1064-2XL</v>
          </cell>
          <cell r="B3537" t="str">
            <v>QK1064</v>
          </cell>
          <cell r="C3537" t="str">
            <v>ซาติน เดรสแขนสั้น กางเกง แมวทะเล พื้นครีม 2XL QC</v>
          </cell>
          <cell r="E3537">
            <v>0</v>
          </cell>
          <cell r="F3537">
            <v>890</v>
          </cell>
        </row>
        <row r="3538">
          <cell r="A3538" t="str">
            <v>QK1064-M</v>
          </cell>
          <cell r="B3538" t="str">
            <v>QK1064</v>
          </cell>
          <cell r="C3538" t="str">
            <v>ซาติน เดรสแขนสั้น กางเกง แมวทะเล พื้นครีม M QC</v>
          </cell>
          <cell r="E3538">
            <v>0</v>
          </cell>
          <cell r="F3538">
            <v>890</v>
          </cell>
        </row>
        <row r="3539">
          <cell r="A3539" t="str">
            <v>QK1065-XL</v>
          </cell>
          <cell r="B3539" t="str">
            <v>QK1065</v>
          </cell>
          <cell r="C3539" t="str">
            <v>ซาติน เดรสแขนสั้น กางเกง รวมสัตว์ อวกาศ พื้นครีม XL QC</v>
          </cell>
          <cell r="E3539">
            <v>0</v>
          </cell>
          <cell r="F3539">
            <v>890</v>
          </cell>
        </row>
        <row r="3540">
          <cell r="A3540" t="str">
            <v>QK1066-L</v>
          </cell>
          <cell r="B3540" t="str">
            <v>QK1066</v>
          </cell>
          <cell r="C3540" t="str">
            <v>ซาติน เดรสแขนสั้น กางเกง รวมสัตว์ อวกาศ พื้นเขียว L QC</v>
          </cell>
          <cell r="E3540">
            <v>0</v>
          </cell>
          <cell r="F3540">
            <v>890</v>
          </cell>
        </row>
        <row r="3541">
          <cell r="A3541" t="str">
            <v>QK1066-M</v>
          </cell>
          <cell r="B3541" t="str">
            <v>QK1066</v>
          </cell>
          <cell r="C3541" t="str">
            <v>ซาติน เดรสแขนสั้น กางเกง รวมสัตว์ อวกาศ พื้นเขียว M QC</v>
          </cell>
          <cell r="E3541">
            <v>0</v>
          </cell>
          <cell r="F3541">
            <v>890</v>
          </cell>
        </row>
        <row r="3542">
          <cell r="A3542" t="str">
            <v>QK1069-XL</v>
          </cell>
          <cell r="B3542" t="str">
            <v>QK1069</v>
          </cell>
          <cell r="C3542" t="str">
            <v>ซาติน เดรส แขนสั้น กางเกง เจ้าหญิงทานตะวัน XL QC</v>
          </cell>
          <cell r="E3542">
            <v>0</v>
          </cell>
          <cell r="F3542">
            <v>0</v>
          </cell>
        </row>
        <row r="3543">
          <cell r="A3543" t="str">
            <v>QK1083-M</v>
          </cell>
          <cell r="B3543" t="str">
            <v>QK1083</v>
          </cell>
          <cell r="C3543" t="str">
            <v>ซาติน เดรสแขนยาว พื้นดำ คอปก M QC</v>
          </cell>
          <cell r="E3543">
            <v>0</v>
          </cell>
          <cell r="F3543">
            <v>890</v>
          </cell>
        </row>
        <row r="3544">
          <cell r="A3544" t="str">
            <v>QK1109-M</v>
          </cell>
          <cell r="B3544" t="str">
            <v>QK1109</v>
          </cell>
          <cell r="C3544" t="str">
            <v>ซาติน เดรสแขนสั้น น้องหมีลายทาง ฟ้าขาว M QC</v>
          </cell>
          <cell r="E3544">
            <v>0</v>
          </cell>
          <cell r="F3544">
            <v>890</v>
          </cell>
        </row>
        <row r="3545">
          <cell r="A3545" t="str">
            <v>QK1129-L</v>
          </cell>
          <cell r="B3545" t="str">
            <v>QK1129</v>
          </cell>
          <cell r="C3545" t="str">
            <v>ซาติน เดรสแขนสั้น กางเกง ดอกไม้กาสะลอง พื้นดำ L QC</v>
          </cell>
          <cell r="E3545">
            <v>0</v>
          </cell>
          <cell r="F3545">
            <v>890</v>
          </cell>
        </row>
        <row r="3546">
          <cell r="A3546" t="str">
            <v>QK1129-M</v>
          </cell>
          <cell r="B3546" t="str">
            <v>QK1129</v>
          </cell>
          <cell r="C3546" t="str">
            <v>ซาติน เดรสแขนสั้น กางเกง ดอกไม้กาสะลอง พื้นดำ M QC</v>
          </cell>
          <cell r="E3546">
            <v>0</v>
          </cell>
          <cell r="F3546">
            <v>890</v>
          </cell>
        </row>
        <row r="3547">
          <cell r="A3547" t="str">
            <v>QK1129-XL</v>
          </cell>
          <cell r="B3547" t="str">
            <v>QK1129</v>
          </cell>
          <cell r="C3547" t="str">
            <v>ซาติน เดรสแขนสั้น กางเกง ดอกไม้กาสะลอง พื้นดำ XL QC</v>
          </cell>
          <cell r="E3547">
            <v>0</v>
          </cell>
          <cell r="F3547">
            <v>890</v>
          </cell>
        </row>
        <row r="3548">
          <cell r="A3548" t="str">
            <v>QK1130-2XL</v>
          </cell>
          <cell r="B3548" t="str">
            <v>QK1130</v>
          </cell>
          <cell r="C3548" t="str">
            <v>ซาติน เดรสแขนสั้น กางเกง นกกระยาง พื้นฟ้า 2XL QC</v>
          </cell>
          <cell r="E3548">
            <v>0</v>
          </cell>
          <cell r="F3548">
            <v>890</v>
          </cell>
        </row>
        <row r="3549">
          <cell r="A3549" t="str">
            <v>QK1130-L</v>
          </cell>
          <cell r="B3549" t="str">
            <v>QK1130</v>
          </cell>
          <cell r="C3549" t="str">
            <v>ซาติน เดรสแขนสั้น กางเกง นกกระยาง พื้นฟ้า L QC</v>
          </cell>
          <cell r="E3549">
            <v>0</v>
          </cell>
          <cell r="F3549">
            <v>890</v>
          </cell>
        </row>
        <row r="3550">
          <cell r="A3550" t="str">
            <v>QK1130-M</v>
          </cell>
          <cell r="B3550" t="str">
            <v>QK1130</v>
          </cell>
          <cell r="C3550" t="str">
            <v>ซาติน เดรสแขนสั้น กางเกง นกกระยาง พื้นฟ้า M QC</v>
          </cell>
          <cell r="E3550">
            <v>0</v>
          </cell>
          <cell r="F3550">
            <v>890</v>
          </cell>
        </row>
        <row r="3551">
          <cell r="A3551" t="str">
            <v>QK1131-S</v>
          </cell>
          <cell r="B3551" t="str">
            <v>QK1131</v>
          </cell>
          <cell r="C3551" t="str">
            <v>ซาติน เดรสสายเดี่ยว กุหลาบเทา พื้นครีม S QC</v>
          </cell>
          <cell r="E3551">
            <v>0</v>
          </cell>
          <cell r="F3551">
            <v>990</v>
          </cell>
        </row>
        <row r="3552">
          <cell r="A3552" t="str">
            <v>QK1146-M</v>
          </cell>
          <cell r="B3552" t="str">
            <v>QK1146</v>
          </cell>
          <cell r="C3552" t="str">
            <v>ซาติน เดรสแขนสั้น กางเกง Pinky Flowers คอปกชมพูอ่อน M QC</v>
          </cell>
          <cell r="E3552">
            <v>0</v>
          </cell>
          <cell r="F3552">
            <v>890</v>
          </cell>
        </row>
        <row r="3553">
          <cell r="A3553" t="str">
            <v>QK1152-M</v>
          </cell>
          <cell r="B3553" t="str">
            <v>QK1152</v>
          </cell>
          <cell r="C3553" t="str">
            <v>ซาติน เดรสแขนยาว ดอกชบา พื้นครีม M QC</v>
          </cell>
          <cell r="E3553">
            <v>0</v>
          </cell>
          <cell r="F3553">
            <v>990</v>
          </cell>
        </row>
        <row r="3554">
          <cell r="A3554" t="str">
            <v>QK1156-L</v>
          </cell>
          <cell r="B3554" t="str">
            <v>QK1156</v>
          </cell>
          <cell r="C3554" t="str">
            <v>ซาติน เดรสแขนสั้น กางเกง Beautiful Women White L QC</v>
          </cell>
          <cell r="E3554">
            <v>0</v>
          </cell>
          <cell r="F3554">
            <v>890</v>
          </cell>
        </row>
        <row r="3555">
          <cell r="A3555" t="str">
            <v>QK1157-2XL</v>
          </cell>
          <cell r="B3555" t="str">
            <v>QK1157</v>
          </cell>
          <cell r="C3555" t="str">
            <v>ซาติน เดรสแขนสั้น กางเกง ฟอนท์อังกฤษ พื้นขาว 2XL QC</v>
          </cell>
          <cell r="E3555">
            <v>0</v>
          </cell>
          <cell r="F3555">
            <v>890</v>
          </cell>
        </row>
        <row r="3556">
          <cell r="A3556" t="str">
            <v>QK1157-L</v>
          </cell>
          <cell r="B3556" t="str">
            <v>QK1157</v>
          </cell>
          <cell r="C3556" t="str">
            <v>ซาติน เดรสแขนสั้น กางเกง ฟอนท์อังกฤษ พื้นขาว L QC</v>
          </cell>
          <cell r="E3556">
            <v>0</v>
          </cell>
          <cell r="F3556">
            <v>890</v>
          </cell>
        </row>
        <row r="3557">
          <cell r="A3557" t="str">
            <v>QK1157-XL</v>
          </cell>
          <cell r="B3557" t="str">
            <v>QK1157</v>
          </cell>
          <cell r="C3557" t="str">
            <v>ซาติน เดรสแขนสั้น กางเกง ฟอนท์อังกฤษ พื้นขาว XL QC</v>
          </cell>
          <cell r="E3557">
            <v>0</v>
          </cell>
          <cell r="F3557">
            <v>890</v>
          </cell>
        </row>
        <row r="3558">
          <cell r="A3558" t="str">
            <v>QK1159-2XL</v>
          </cell>
          <cell r="B3558" t="str">
            <v>QK1159</v>
          </cell>
          <cell r="C3558" t="str">
            <v>ซาติน เดรสแขนสั้น กางเกง Violet Rose พื้นเขียวมินท์ 2XL (กปก) QC</v>
          </cell>
          <cell r="E3558">
            <v>0</v>
          </cell>
          <cell r="F3558">
            <v>890</v>
          </cell>
        </row>
        <row r="3559">
          <cell r="A3559" t="str">
            <v>QK1159-L</v>
          </cell>
          <cell r="B3559" t="str">
            <v>QK1159</v>
          </cell>
          <cell r="C3559" t="str">
            <v>ซาติน เดรสแขนสั้น กางเกง Violet Rose พื้นเขียวมินท์ L (กปก) QC</v>
          </cell>
          <cell r="E3559">
            <v>0</v>
          </cell>
          <cell r="F3559">
            <v>890</v>
          </cell>
        </row>
        <row r="3560">
          <cell r="A3560" t="str">
            <v>QK1175-2XL</v>
          </cell>
          <cell r="B3560" t="str">
            <v>QK1175</v>
          </cell>
          <cell r="C3560" t="str">
            <v>ซาติน เดรสแขนสั้น กางเกง กวางน้อย พื้นขาว ปกเทา 2XL QC</v>
          </cell>
          <cell r="E3560">
            <v>0</v>
          </cell>
          <cell r="F3560">
            <v>890</v>
          </cell>
        </row>
        <row r="3561">
          <cell r="A3561" t="str">
            <v>QK1175-XL</v>
          </cell>
          <cell r="B3561" t="str">
            <v>QK1175</v>
          </cell>
          <cell r="C3561" t="str">
            <v>ซาติน เดรสแขนสั้น กางเกง กวางน้อย พื้นขาว ปกเทา XL QC</v>
          </cell>
          <cell r="E3561">
            <v>0</v>
          </cell>
          <cell r="F3561">
            <v>890</v>
          </cell>
        </row>
        <row r="3562">
          <cell r="A3562" t="str">
            <v>QK1179-2XL</v>
          </cell>
          <cell r="B3562" t="str">
            <v>QK1179</v>
          </cell>
          <cell r="C3562" t="str">
            <v>ซาติน เดรสแขนสั้น กางเกง หมีเทา พื้นเขียว 2XL QC</v>
          </cell>
          <cell r="E3562">
            <v>0</v>
          </cell>
          <cell r="F3562">
            <v>890</v>
          </cell>
        </row>
        <row r="3563">
          <cell r="A3563" t="str">
            <v>QK1179-L</v>
          </cell>
          <cell r="B3563" t="str">
            <v>QK1179</v>
          </cell>
          <cell r="C3563" t="str">
            <v>ซาติน เดรสแขนสั้น กางเกง หมีเทา พื้นเขียว L QC</v>
          </cell>
          <cell r="E3563">
            <v>0</v>
          </cell>
          <cell r="F3563">
            <v>890</v>
          </cell>
        </row>
        <row r="3564">
          <cell r="A3564" t="str">
            <v>QK1179-M</v>
          </cell>
          <cell r="B3564" t="str">
            <v>QK1179</v>
          </cell>
          <cell r="C3564" t="str">
            <v>ซาติน เดรสแขนสั้น กางเกง หมีเทา พื้นเขียว M QC</v>
          </cell>
          <cell r="E3564">
            <v>0</v>
          </cell>
          <cell r="F3564">
            <v>890</v>
          </cell>
        </row>
        <row r="3565">
          <cell r="A3565" t="str">
            <v>QK1179-XL</v>
          </cell>
          <cell r="B3565" t="str">
            <v>QK1179</v>
          </cell>
          <cell r="C3565" t="str">
            <v>ซาติน เดรสแขนสั้น กางเกง หมีเทา พื้นเขียว XL QC</v>
          </cell>
          <cell r="E3565">
            <v>0</v>
          </cell>
          <cell r="F3565">
            <v>890</v>
          </cell>
        </row>
        <row r="3566">
          <cell r="A3566" t="str">
            <v>QK1182-2XL</v>
          </cell>
          <cell r="B3566" t="str">
            <v>QK1182</v>
          </cell>
          <cell r="C3566" t="str">
            <v>ซาติน เดรสแขนสั้น กางเกง หมีฟ้า พื้นฟ้า 2XL QC</v>
          </cell>
          <cell r="E3566">
            <v>0</v>
          </cell>
          <cell r="F3566">
            <v>890</v>
          </cell>
        </row>
        <row r="3567">
          <cell r="A3567" t="str">
            <v>QK1182-L</v>
          </cell>
          <cell r="B3567" t="str">
            <v>QK1182</v>
          </cell>
          <cell r="C3567" t="str">
            <v>ซาติน เดรสแขนสั้น กางเกง หมีฟ้า พื้นฟ้า L QC</v>
          </cell>
          <cell r="E3567">
            <v>0</v>
          </cell>
          <cell r="F3567">
            <v>890</v>
          </cell>
        </row>
        <row r="3568">
          <cell r="A3568" t="str">
            <v>QK1182-M</v>
          </cell>
          <cell r="B3568" t="str">
            <v>QK1182</v>
          </cell>
          <cell r="C3568" t="str">
            <v>ซาติน เดรสแขนสั้น กางเกง หมีฟ้า พื้นฟ้า M QC</v>
          </cell>
          <cell r="E3568">
            <v>0</v>
          </cell>
          <cell r="F3568">
            <v>890</v>
          </cell>
        </row>
        <row r="3569">
          <cell r="A3569" t="str">
            <v>QK1182-XL</v>
          </cell>
          <cell r="B3569" t="str">
            <v>QK1182</v>
          </cell>
          <cell r="C3569" t="str">
            <v>ซาติน เดรสแขนสั้น กางเกง หมีฟ้า พื้นฟ้า XL QC</v>
          </cell>
          <cell r="E3569">
            <v>0</v>
          </cell>
          <cell r="F3569">
            <v>890</v>
          </cell>
        </row>
        <row r="3570">
          <cell r="A3570" t="str">
            <v>QK1188-2XL</v>
          </cell>
          <cell r="B3570" t="str">
            <v>QK1188</v>
          </cell>
          <cell r="C3570" t="str">
            <v>ซาติน เดรสแขนสั้น กางเกง เงือกน้อยพื้นขาว ปกม่วง 2XL QC</v>
          </cell>
          <cell r="E3570">
            <v>0</v>
          </cell>
          <cell r="F3570">
            <v>890</v>
          </cell>
        </row>
        <row r="3571">
          <cell r="A3571" t="str">
            <v>QK1188-L</v>
          </cell>
          <cell r="B3571" t="str">
            <v>QK1188</v>
          </cell>
          <cell r="C3571" t="str">
            <v>ซาติน เดรสแขนสั้น กางเกง เงือกน้อยพื้นขาว ปกม่วง L QC</v>
          </cell>
          <cell r="E3571">
            <v>0</v>
          </cell>
          <cell r="F3571">
            <v>890</v>
          </cell>
        </row>
        <row r="3572">
          <cell r="A3572" t="str">
            <v>QK1188-M</v>
          </cell>
          <cell r="B3572" t="str">
            <v>QK1188</v>
          </cell>
          <cell r="C3572" t="str">
            <v>ซาติน เดรสแขนสั้น กางเกง เงือกน้อยพื้นขาว ปกม่วง M QC</v>
          </cell>
          <cell r="E3572">
            <v>0</v>
          </cell>
          <cell r="F3572">
            <v>890</v>
          </cell>
        </row>
        <row r="3573">
          <cell r="A3573" t="str">
            <v>QK1189-2XL</v>
          </cell>
          <cell r="B3573" t="str">
            <v>QK1189</v>
          </cell>
          <cell r="C3573" t="str">
            <v>ซาติน เดรสแขนสั้น กางเกง เสือดาว พื้นน้ำเงิน 2XL QC</v>
          </cell>
          <cell r="E3573">
            <v>0</v>
          </cell>
          <cell r="F3573">
            <v>890</v>
          </cell>
        </row>
        <row r="3574">
          <cell r="A3574" t="str">
            <v>QK1189-L</v>
          </cell>
          <cell r="B3574" t="str">
            <v>QK1189</v>
          </cell>
          <cell r="C3574" t="str">
            <v>ซาติน เดรสแขนสั้น กางเกง เสือดาว พื้นน้ำเงิน L QC</v>
          </cell>
          <cell r="E3574">
            <v>0</v>
          </cell>
          <cell r="F3574">
            <v>890</v>
          </cell>
        </row>
        <row r="3575">
          <cell r="A3575" t="str">
            <v>QK1189-M</v>
          </cell>
          <cell r="B3575" t="str">
            <v>QK1189</v>
          </cell>
          <cell r="C3575" t="str">
            <v>ซาติน เดรสแขนสั้น กางเกง เสือดาว พื้นน้ำเงิน M QC</v>
          </cell>
          <cell r="E3575">
            <v>0</v>
          </cell>
          <cell r="F3575">
            <v>890</v>
          </cell>
        </row>
        <row r="3576">
          <cell r="A3576" t="str">
            <v>QK1189-XL</v>
          </cell>
          <cell r="B3576" t="str">
            <v>QK1189</v>
          </cell>
          <cell r="C3576" t="str">
            <v>ซาติน เดรสแขนสั้น กางเกง เสือดาว พื้นน้ำเงิน XL QC</v>
          </cell>
          <cell r="E3576">
            <v>0</v>
          </cell>
          <cell r="F3576">
            <v>890</v>
          </cell>
        </row>
        <row r="3577">
          <cell r="A3577" t="str">
            <v>QK1198-L</v>
          </cell>
          <cell r="B3577" t="str">
            <v>QK1198</v>
          </cell>
          <cell r="C3577" t="str">
            <v>ซาติน เดรสแขนสั้น กางเกง กระต่ายขาว พื้นชมพู ขอบเขียว L QC</v>
          </cell>
          <cell r="E3577">
            <v>0</v>
          </cell>
          <cell r="F3577">
            <v>890</v>
          </cell>
        </row>
        <row r="3578">
          <cell r="A3578" t="str">
            <v>QK1200-2XL</v>
          </cell>
          <cell r="B3578" t="str">
            <v>QK1200</v>
          </cell>
          <cell r="C3578" t="str">
            <v>ซาติน เดรสแขนสั้น กางเกง น้องหมา พื้นเทา 2XL QC</v>
          </cell>
          <cell r="E3578">
            <v>0</v>
          </cell>
          <cell r="F3578">
            <v>890</v>
          </cell>
        </row>
        <row r="3579">
          <cell r="A3579" t="str">
            <v>QK1200-XL</v>
          </cell>
          <cell r="B3579" t="str">
            <v>QK1200</v>
          </cell>
          <cell r="C3579" t="str">
            <v>ซาติน เดรสแขนสั้น กางเกง น้องหมา พื้นเทา XL QC</v>
          </cell>
          <cell r="E3579">
            <v>0</v>
          </cell>
          <cell r="F3579">
            <v>890</v>
          </cell>
        </row>
        <row r="3580">
          <cell r="A3580" t="str">
            <v>QK1218-M</v>
          </cell>
          <cell r="B3580" t="str">
            <v>QK1218</v>
          </cell>
          <cell r="C3580" t="str">
            <v>ซาติน เดรสแขนสั้น กางเกง ช้างชมพู พื้นครีม M QC</v>
          </cell>
          <cell r="E3580">
            <v>0</v>
          </cell>
          <cell r="F3580">
            <v>890</v>
          </cell>
        </row>
        <row r="3581">
          <cell r="A3581" t="str">
            <v>QK1232-2XL</v>
          </cell>
          <cell r="B3581" t="str">
            <v>QK1232</v>
          </cell>
          <cell r="C3581" t="str">
            <v>ซาติน เดรสแขนสั้น กางเกง น้องแกะ พื้นครีม ขอบเขียว 2XL QC</v>
          </cell>
          <cell r="E3581">
            <v>0</v>
          </cell>
          <cell r="F3581">
            <v>890</v>
          </cell>
        </row>
        <row r="3582">
          <cell r="A3582" t="str">
            <v>QK1232-L</v>
          </cell>
          <cell r="B3582" t="str">
            <v>QK1232</v>
          </cell>
          <cell r="C3582" t="str">
            <v>ซาติน เดรสแขนสั้น กางเกง น้องแกะ พื้นครีม ขอบเขียว L QC</v>
          </cell>
          <cell r="E3582">
            <v>0</v>
          </cell>
          <cell r="F3582">
            <v>890</v>
          </cell>
        </row>
        <row r="3583">
          <cell r="A3583" t="str">
            <v>QK1232-XL</v>
          </cell>
          <cell r="B3583" t="str">
            <v>QK1232</v>
          </cell>
          <cell r="C3583" t="str">
            <v>ซาติน เดรสแขนสั้น กางเกง น้องแกะ พื้นครีม ขอบเขียว XL QC</v>
          </cell>
          <cell r="E3583">
            <v>0</v>
          </cell>
          <cell r="F3583">
            <v>890</v>
          </cell>
        </row>
        <row r="3584">
          <cell r="A3584" t="str">
            <v>QK1234-L</v>
          </cell>
          <cell r="B3584" t="str">
            <v>QK1234</v>
          </cell>
          <cell r="C3584" t="str">
            <v>ซาติน เดรสแขนสั้น กางเกง หนูน้อย sweet dream L QC</v>
          </cell>
          <cell r="E3584">
            <v>0</v>
          </cell>
          <cell r="F3584">
            <v>890</v>
          </cell>
        </row>
        <row r="3585">
          <cell r="A3585" t="str">
            <v>QL0005-2XL</v>
          </cell>
          <cell r="B3585" t="str">
            <v>QL5</v>
          </cell>
          <cell r="C3585" t="str">
            <v>ซาติน สี่ส่วน พื้นชมพูอ่อน ลูกไม้ 2XL หลุด QC</v>
          </cell>
          <cell r="E3585">
            <v>0</v>
          </cell>
          <cell r="F3585">
            <v>850</v>
          </cell>
        </row>
        <row r="3586">
          <cell r="A3586" t="str">
            <v>QL0006-2XL</v>
          </cell>
          <cell r="B3586" t="str">
            <v>QL6</v>
          </cell>
          <cell r="C3586" t="str">
            <v>ซาติน แขนสั้นขาสี่ส่วน Pancake And Flowers 2XL (กปก) หลุด QC</v>
          </cell>
          <cell r="E3586">
            <v>0</v>
          </cell>
          <cell r="F3586">
            <v>850</v>
          </cell>
        </row>
        <row r="3587">
          <cell r="A3587" t="str">
            <v>QL0006-3XL</v>
          </cell>
          <cell r="B3587" t="str">
            <v>QL6</v>
          </cell>
          <cell r="C3587" t="str">
            <v>ซาติน แขนสั้นขาสี่ส่วน Pancake And Flowers 3XL (กปก) หลุด QC</v>
          </cell>
          <cell r="E3587">
            <v>0</v>
          </cell>
          <cell r="F3587">
            <v>850</v>
          </cell>
        </row>
        <row r="3588">
          <cell r="A3588" t="str">
            <v>QL0006-L</v>
          </cell>
          <cell r="B3588" t="str">
            <v>QL6</v>
          </cell>
          <cell r="C3588" t="str">
            <v>ซาติน แขนสั้นขาสี่ส่วน Pancake And Flowers L (กปก) หลุด QC</v>
          </cell>
          <cell r="E3588">
            <v>0</v>
          </cell>
          <cell r="F3588">
            <v>850</v>
          </cell>
        </row>
        <row r="3589">
          <cell r="A3589" t="str">
            <v>QL0006-M</v>
          </cell>
          <cell r="B3589" t="str">
            <v>QL6</v>
          </cell>
          <cell r="C3589" t="str">
            <v>ซาติน แขนสั้นขาสี่ส่วน Pancake And Flowers M (กปก) หลุด QC</v>
          </cell>
          <cell r="E3589">
            <v>0</v>
          </cell>
          <cell r="F3589">
            <v>850</v>
          </cell>
        </row>
        <row r="3590">
          <cell r="A3590" t="str">
            <v>QL0006-XL</v>
          </cell>
          <cell r="B3590" t="str">
            <v>QL6</v>
          </cell>
          <cell r="C3590" t="str">
            <v>ซาติน แขนสั้นขาสี่ส่วน Pancake And Flowers XL (กปก) หลุด QC</v>
          </cell>
          <cell r="E3590">
            <v>0</v>
          </cell>
          <cell r="F3590">
            <v>850</v>
          </cell>
        </row>
        <row r="3591">
          <cell r="A3591" t="str">
            <v>QL0007-M</v>
          </cell>
          <cell r="B3591" t="str">
            <v>QL7</v>
          </cell>
          <cell r="C3591" t="str">
            <v>ซาติน แขนสั้นขาสี่ส่วน ควีน สตรอเบอร์รี่ พื้นชมพู M (กปก) QC</v>
          </cell>
          <cell r="E3591">
            <v>0</v>
          </cell>
          <cell r="F3591">
            <v>890</v>
          </cell>
        </row>
        <row r="3592">
          <cell r="A3592" t="str">
            <v>QL0330-L</v>
          </cell>
          <cell r="B3592" t="str">
            <v>QL330</v>
          </cell>
          <cell r="C3592" t="str">
            <v>ซาติน แขนสั้นขาสี่ส่วน ปีกัสโซ่ L (กปก) QC</v>
          </cell>
          <cell r="E3592">
            <v>0</v>
          </cell>
          <cell r="F3592">
            <v>890</v>
          </cell>
        </row>
        <row r="3593">
          <cell r="A3593" t="str">
            <v>QL0330-M</v>
          </cell>
          <cell r="B3593" t="str">
            <v>QL330</v>
          </cell>
          <cell r="C3593" t="str">
            <v>ซาติน แขนสั้นขาสี่ส่วน ปีกัสโซ่ M (กปก) QC</v>
          </cell>
          <cell r="E3593">
            <v>0</v>
          </cell>
          <cell r="F3593">
            <v>890</v>
          </cell>
        </row>
        <row r="3594">
          <cell r="A3594" t="str">
            <v>QL0330-XL</v>
          </cell>
          <cell r="B3594" t="str">
            <v>QL330</v>
          </cell>
          <cell r="C3594" t="str">
            <v>ซาติน แขนสั้นขาสี่ส่วน ปีกัสโซ่ XL (กปก) QC</v>
          </cell>
          <cell r="E3594">
            <v>0</v>
          </cell>
          <cell r="F3594">
            <v>890</v>
          </cell>
        </row>
        <row r="3595">
          <cell r="A3595" t="str">
            <v>QL0347-M</v>
          </cell>
          <cell r="B3595" t="str">
            <v>QL347</v>
          </cell>
          <cell r="C3595" t="str">
            <v>ซาติน แขนสั้นขาสี่ส่วน Coral Sea M (กปก) QC</v>
          </cell>
          <cell r="E3595">
            <v>0</v>
          </cell>
          <cell r="F3595">
            <v>890</v>
          </cell>
        </row>
        <row r="3596">
          <cell r="A3596" t="str">
            <v>QL0362-2XL</v>
          </cell>
          <cell r="B3596" t="str">
            <v>QL362</v>
          </cell>
          <cell r="C3596" t="str">
            <v>ซาติน แขนสั้นขาสี่ส่วน New moon Art 2XL หลุด QC</v>
          </cell>
          <cell r="E3596">
            <v>0</v>
          </cell>
          <cell r="F3596">
            <v>850</v>
          </cell>
        </row>
        <row r="3597">
          <cell r="A3597" t="str">
            <v>QL0362-3XL</v>
          </cell>
          <cell r="B3597" t="str">
            <v>QL362</v>
          </cell>
          <cell r="C3597" t="str">
            <v>ซาติน แขนสั้นขาสี่ส่วน New moon Art 3XL QC</v>
          </cell>
          <cell r="E3597">
            <v>0</v>
          </cell>
          <cell r="F3597">
            <v>890</v>
          </cell>
        </row>
        <row r="3598">
          <cell r="A3598" t="str">
            <v>QL0362-L</v>
          </cell>
          <cell r="B3598" t="str">
            <v>QL362</v>
          </cell>
          <cell r="C3598" t="str">
            <v>ซาติน แขนสั้นขาสี่ส่วน New moon Art L QC</v>
          </cell>
          <cell r="E3598">
            <v>0</v>
          </cell>
          <cell r="F3598">
            <v>890</v>
          </cell>
        </row>
        <row r="3599">
          <cell r="A3599" t="str">
            <v>QL0362-M</v>
          </cell>
          <cell r="B3599" t="str">
            <v>QL362</v>
          </cell>
          <cell r="C3599" t="str">
            <v>ซาติน แขนสั้นขาสี่ส่วน New moon Art M QC</v>
          </cell>
          <cell r="E3599">
            <v>0</v>
          </cell>
          <cell r="F3599">
            <v>890</v>
          </cell>
        </row>
        <row r="3600">
          <cell r="A3600" t="str">
            <v>QL0362-XL</v>
          </cell>
          <cell r="B3600" t="str">
            <v>QL362</v>
          </cell>
          <cell r="C3600" t="str">
            <v>ซาติน แขนสั้นขาสี่ส่วน New moon Art XL QC</v>
          </cell>
          <cell r="E3600">
            <v>0</v>
          </cell>
          <cell r="F3600">
            <v>890</v>
          </cell>
        </row>
        <row r="3601">
          <cell r="A3601" t="str">
            <v>QL0368-2XL</v>
          </cell>
          <cell r="B3601" t="str">
            <v>QL368</v>
          </cell>
          <cell r="C3601" t="str">
            <v>ซาติน แขนสั้นขาสี่ส่วน เสือ เขียว (กปก) 2XL หลุด QC</v>
          </cell>
          <cell r="E3601">
            <v>0</v>
          </cell>
          <cell r="F3601">
            <v>850</v>
          </cell>
        </row>
        <row r="3602">
          <cell r="A3602" t="str">
            <v>QL0368-3XL</v>
          </cell>
          <cell r="B3602" t="str">
            <v>QL368</v>
          </cell>
          <cell r="C3602" t="str">
            <v>ซาติน แขนสั้นขาสี่ส่วน เสือ เขียว (กปก) 3XL QC</v>
          </cell>
          <cell r="E3602">
            <v>0</v>
          </cell>
          <cell r="F3602">
            <v>890</v>
          </cell>
        </row>
        <row r="3603">
          <cell r="A3603" t="str">
            <v>QL0368-L</v>
          </cell>
          <cell r="B3603" t="str">
            <v>QL368</v>
          </cell>
          <cell r="C3603" t="str">
            <v>ซาติน แขนสั้นขาสี่ส่วน เสือ เขียว (กปก) L หลุด QC</v>
          </cell>
          <cell r="E3603">
            <v>0</v>
          </cell>
          <cell r="F3603">
            <v>850</v>
          </cell>
        </row>
        <row r="3604">
          <cell r="A3604" t="str">
            <v>QL0368-M</v>
          </cell>
          <cell r="B3604" t="str">
            <v>QL368</v>
          </cell>
          <cell r="C3604" t="str">
            <v>ซาติน แขนสั้นขาสี่ส่วน เสือ เขียว (กปก) M หลุด QC</v>
          </cell>
          <cell r="E3604">
            <v>0</v>
          </cell>
          <cell r="F3604">
            <v>850</v>
          </cell>
        </row>
        <row r="3605">
          <cell r="A3605" t="str">
            <v>QL0368-XL</v>
          </cell>
          <cell r="B3605" t="str">
            <v>QL368</v>
          </cell>
          <cell r="C3605" t="str">
            <v>ซาติน แขนสั้นขาสี่ส่วน เสือ เขียว (กปก) XL หลุด QC</v>
          </cell>
          <cell r="E3605">
            <v>0</v>
          </cell>
          <cell r="F3605">
            <v>850</v>
          </cell>
        </row>
        <row r="3606">
          <cell r="A3606" t="str">
            <v>QL0482-2XL</v>
          </cell>
          <cell r="B3606" t="str">
            <v>QL482</v>
          </cell>
          <cell r="C3606" t="str">
            <v>ซาติน แขนสั้นขาสี่ส่วน Sleep Cat พื้นฟ้า 2XL (กปก) QC</v>
          </cell>
          <cell r="E3606">
            <v>0</v>
          </cell>
          <cell r="F3606">
            <v>890</v>
          </cell>
        </row>
        <row r="3607">
          <cell r="A3607" t="str">
            <v>QL0482-L</v>
          </cell>
          <cell r="B3607" t="str">
            <v>QL482</v>
          </cell>
          <cell r="C3607" t="str">
            <v>ซาติน แขนสั้นขาสี่ส่วน Sleep Cat พื้นฟ้า L (กปก) QC</v>
          </cell>
          <cell r="E3607">
            <v>0</v>
          </cell>
          <cell r="F3607">
            <v>890</v>
          </cell>
        </row>
        <row r="3608">
          <cell r="A3608" t="str">
            <v>QL0482-M</v>
          </cell>
          <cell r="B3608" t="str">
            <v>QL482</v>
          </cell>
          <cell r="C3608" t="str">
            <v>ซาติน แขนสั้นขาสี่ส่วน Sleep Cat พื้นฟ้า M (กปก) QC</v>
          </cell>
          <cell r="E3608">
            <v>0</v>
          </cell>
          <cell r="F3608">
            <v>890</v>
          </cell>
        </row>
        <row r="3609">
          <cell r="A3609" t="str">
            <v>QL0482-XL</v>
          </cell>
          <cell r="B3609" t="str">
            <v>QL482</v>
          </cell>
          <cell r="C3609" t="str">
            <v>ซาติน แขนสั้นขาสี่ส่วน Sleep Cat พื้นฟ้า XL (กปก) QC</v>
          </cell>
          <cell r="E3609">
            <v>0</v>
          </cell>
          <cell r="F3609">
            <v>890</v>
          </cell>
        </row>
        <row r="3610">
          <cell r="A3610" t="str">
            <v>QL0606-XL</v>
          </cell>
          <cell r="B3610" t="str">
            <v>QL606</v>
          </cell>
          <cell r="C3610" t="str">
            <v>ซาติน แขนสั้นขาสี่ส่วน มอนสเตอร่า พื้นเขียวมินท์ XL (กปก) หลุด QC</v>
          </cell>
          <cell r="E3610">
            <v>0</v>
          </cell>
          <cell r="F3610">
            <v>850</v>
          </cell>
        </row>
        <row r="3611">
          <cell r="A3611" t="str">
            <v>QL0780-L</v>
          </cell>
          <cell r="B3611" t="str">
            <v>QL780</v>
          </cell>
          <cell r="C3611" t="str">
            <v>ซาติน แขนสั้นขาสี่ส่วน พื้นฟ้า เถาวัลย์ฟ้า L (กปก) QC</v>
          </cell>
          <cell r="E3611">
            <v>0</v>
          </cell>
          <cell r="F3611">
            <v>890</v>
          </cell>
        </row>
        <row r="3612">
          <cell r="A3612" t="str">
            <v>QL0780-XL</v>
          </cell>
          <cell r="B3612" t="str">
            <v>QL780</v>
          </cell>
          <cell r="C3612" t="str">
            <v>ซาติน แขนสั้นขาสี่ส่วน พื้นฟ้า เถาวัลย์ฟ้า XL (กปก) QC</v>
          </cell>
          <cell r="E3612">
            <v>0</v>
          </cell>
          <cell r="F3612">
            <v>890</v>
          </cell>
        </row>
        <row r="3613">
          <cell r="A3613" t="str">
            <v>QL0798-2XL</v>
          </cell>
          <cell r="B3613" t="str">
            <v>QL798</v>
          </cell>
          <cell r="C3613" t="str">
            <v>ซาติน แขนสั้นขาสี่ส่วน Red Village 2XL หลุด QC</v>
          </cell>
          <cell r="E3613">
            <v>0</v>
          </cell>
          <cell r="F3613">
            <v>850</v>
          </cell>
        </row>
        <row r="3614">
          <cell r="A3614" t="str">
            <v>QL0798-3XL</v>
          </cell>
          <cell r="B3614" t="str">
            <v>QL798</v>
          </cell>
          <cell r="C3614" t="str">
            <v>ซาติน แขนสั้นขาสี่ส่วน Red Village 3XL หลุด QC</v>
          </cell>
          <cell r="E3614">
            <v>0</v>
          </cell>
          <cell r="F3614">
            <v>850</v>
          </cell>
        </row>
        <row r="3615">
          <cell r="A3615" t="str">
            <v>QL0798-L</v>
          </cell>
          <cell r="B3615" t="str">
            <v>QL798</v>
          </cell>
          <cell r="C3615" t="str">
            <v>ซาติน แขนสั้นขาสี่ส่วน Red Village L หลุด QC</v>
          </cell>
          <cell r="E3615">
            <v>0</v>
          </cell>
          <cell r="F3615">
            <v>850</v>
          </cell>
        </row>
        <row r="3616">
          <cell r="A3616" t="str">
            <v>QL0798-M</v>
          </cell>
          <cell r="B3616" t="str">
            <v>QL798</v>
          </cell>
          <cell r="C3616" t="str">
            <v>ซาติน แขนสั้นขาสี่ส่วน Red Village M QC</v>
          </cell>
          <cell r="E3616">
            <v>0</v>
          </cell>
          <cell r="F3616">
            <v>890</v>
          </cell>
        </row>
        <row r="3617">
          <cell r="A3617" t="str">
            <v>QL0798-XL</v>
          </cell>
          <cell r="B3617" t="str">
            <v>QL798</v>
          </cell>
          <cell r="C3617" t="str">
            <v>ซาติน แขนสั้นขาสี่ส่วน Red Village XL หลุด QC</v>
          </cell>
          <cell r="E3617">
            <v>0</v>
          </cell>
          <cell r="F3617">
            <v>850</v>
          </cell>
        </row>
        <row r="3618">
          <cell r="A3618" t="str">
            <v>QL0880-M</v>
          </cell>
          <cell r="B3618" t="str">
            <v>QL880</v>
          </cell>
          <cell r="C3618" t="str">
            <v>ซาติน แขนสั้นขาสี่ส่วน ฮัมมิ่งเบิร์ด พื้นเขียว ขอบส้ม M QC</v>
          </cell>
          <cell r="E3618">
            <v>0</v>
          </cell>
          <cell r="F3618">
            <v>890</v>
          </cell>
        </row>
        <row r="3619">
          <cell r="A3619" t="str">
            <v>QL0884-2XL</v>
          </cell>
          <cell r="B3619" t="str">
            <v>QL884</v>
          </cell>
          <cell r="C3619" t="str">
            <v>ซาติน แขนสั้นขาสี่ส่วน สวนดอกไม้ พื้นเขียว 2XL (กปก) หลุด QC</v>
          </cell>
          <cell r="E3619">
            <v>0</v>
          </cell>
          <cell r="F3619">
            <v>850</v>
          </cell>
        </row>
        <row r="3620">
          <cell r="A3620" t="str">
            <v>QL0884-3XL</v>
          </cell>
          <cell r="B3620" t="str">
            <v>QL884</v>
          </cell>
          <cell r="C3620" t="str">
            <v>ซาติน แขนสั้นขาสี่ส่วน สวนดอกไม้ พื้นเขียว 3XL (กปก) หลุด QC</v>
          </cell>
          <cell r="E3620">
            <v>0</v>
          </cell>
          <cell r="F3620">
            <v>850</v>
          </cell>
        </row>
        <row r="3621">
          <cell r="A3621" t="str">
            <v>QL0884-L</v>
          </cell>
          <cell r="B3621" t="str">
            <v>QL884</v>
          </cell>
          <cell r="C3621" t="str">
            <v>ซาติน แขนสั้นขาสี่ส่วน สวนดอกไม้ พื้นเขียว L (กปก) QC</v>
          </cell>
          <cell r="E3621">
            <v>0</v>
          </cell>
          <cell r="F3621">
            <v>890</v>
          </cell>
        </row>
        <row r="3622">
          <cell r="A3622" t="str">
            <v>QL0884-M</v>
          </cell>
          <cell r="B3622" t="str">
            <v>QL884</v>
          </cell>
          <cell r="C3622" t="str">
            <v>ซาติน แขนสั้นขาสี่ส่วน สวนดอกไม้ พื้นเขียว M (กปก) หลุด QC</v>
          </cell>
          <cell r="E3622">
            <v>0</v>
          </cell>
          <cell r="F3622">
            <v>850</v>
          </cell>
        </row>
        <row r="3623">
          <cell r="A3623" t="str">
            <v>QL0884-XL</v>
          </cell>
          <cell r="B3623" t="str">
            <v>QL884</v>
          </cell>
          <cell r="C3623" t="str">
            <v>ซาติน แขนสั้นขาสี่ส่วน สวนดอกไม้ พื้นเขียว XL (กปก) QC</v>
          </cell>
          <cell r="E3623">
            <v>0</v>
          </cell>
          <cell r="F3623">
            <v>890</v>
          </cell>
        </row>
        <row r="3624">
          <cell r="A3624" t="str">
            <v>QL0890-2XL</v>
          </cell>
          <cell r="B3624" t="str">
            <v>QL890</v>
          </cell>
          <cell r="C3624" t="str">
            <v>ซาติน แขนสั้นขาสี่ส่วน Centella Asiatica (กปก) 2XL หลุด QC</v>
          </cell>
          <cell r="E3624">
            <v>0</v>
          </cell>
          <cell r="F3624">
            <v>850</v>
          </cell>
        </row>
        <row r="3625">
          <cell r="A3625" t="str">
            <v>QL0906-2XL</v>
          </cell>
          <cell r="B3625" t="str">
            <v>QL906</v>
          </cell>
          <cell r="C3625" t="str">
            <v>ซาติน แขนสั้นขาสี่ส่วน ใบไม้ขาว พื้นดำ 2XL (กปก) หลุด QC</v>
          </cell>
          <cell r="E3625">
            <v>0</v>
          </cell>
          <cell r="F3625">
            <v>850</v>
          </cell>
        </row>
        <row r="3626">
          <cell r="A3626" t="str">
            <v>QL0906-3XL</v>
          </cell>
          <cell r="B3626" t="str">
            <v>QL906</v>
          </cell>
          <cell r="C3626" t="str">
            <v>ซาติน แขนสั้นขาสี่ส่วน ใบไม้ขาว พื้นดำ 3XL (กปก) หลุด QC</v>
          </cell>
          <cell r="E3626">
            <v>0</v>
          </cell>
          <cell r="F3626">
            <v>850</v>
          </cell>
        </row>
        <row r="3627">
          <cell r="A3627" t="str">
            <v>QL0906-L</v>
          </cell>
          <cell r="B3627" t="str">
            <v>QL906</v>
          </cell>
          <cell r="C3627" t="str">
            <v>ซาติน แขนสั้นขาสี่ส่วน ใบไม้ขาว พื้นดำ L (กปก) หลุด QC</v>
          </cell>
          <cell r="E3627">
            <v>0</v>
          </cell>
          <cell r="F3627">
            <v>850</v>
          </cell>
        </row>
        <row r="3628">
          <cell r="A3628" t="str">
            <v>QL0906-M</v>
          </cell>
          <cell r="B3628" t="str">
            <v>QL906</v>
          </cell>
          <cell r="C3628" t="str">
            <v>ซาติน แขนสั้นขาสี่ส่วน ใบไม้ขาว พื้นดำ M (กปก) QC</v>
          </cell>
          <cell r="E3628">
            <v>0</v>
          </cell>
          <cell r="F3628">
            <v>890</v>
          </cell>
        </row>
        <row r="3629">
          <cell r="A3629" t="str">
            <v>QL0906-XL</v>
          </cell>
          <cell r="B3629" t="str">
            <v>QL906</v>
          </cell>
          <cell r="C3629" t="str">
            <v>ซาติน แขนสั้นขาสี่ส่วน ใบไม้ขาว พื้นดำ XL (กปก) QC</v>
          </cell>
          <cell r="E3629">
            <v>0</v>
          </cell>
          <cell r="F3629">
            <v>890</v>
          </cell>
        </row>
        <row r="3630">
          <cell r="A3630" t="str">
            <v>QL0920-2XL</v>
          </cell>
          <cell r="B3630" t="str">
            <v>QL920</v>
          </cell>
          <cell r="C3630" t="str">
            <v>ซาติน แขนสั้นขาสี่ส่วน Butterfly พื้นเขียว 2XL (กปก) หลุด QC</v>
          </cell>
          <cell r="E3630">
            <v>0</v>
          </cell>
          <cell r="F3630">
            <v>850</v>
          </cell>
        </row>
        <row r="3631">
          <cell r="A3631" t="str">
            <v>QL0920-L</v>
          </cell>
          <cell r="B3631" t="str">
            <v>QL920</v>
          </cell>
          <cell r="C3631" t="str">
            <v>ซาติน แขนสั้นขาสี่ส่วน Butterfly พื้นเขียว L (กปก) QC</v>
          </cell>
          <cell r="E3631">
            <v>0</v>
          </cell>
          <cell r="F3631">
            <v>890</v>
          </cell>
        </row>
        <row r="3632">
          <cell r="A3632" t="str">
            <v>QL0920-M</v>
          </cell>
          <cell r="B3632" t="str">
            <v>QL920</v>
          </cell>
          <cell r="C3632" t="str">
            <v>ซาติน แขนสั้นขาสี่ส่วน Butterfly พื้นเขียว M (กปก) หลุด QC</v>
          </cell>
          <cell r="E3632">
            <v>0</v>
          </cell>
          <cell r="F3632">
            <v>850</v>
          </cell>
        </row>
        <row r="3633">
          <cell r="A3633" t="str">
            <v>QL0920-XL</v>
          </cell>
          <cell r="B3633" t="str">
            <v>QL920</v>
          </cell>
          <cell r="C3633" t="str">
            <v>ซาติน แขนสั้นขาสี่ส่วน Butterfly พื้นเขียว XL (กปก) QC</v>
          </cell>
          <cell r="E3633">
            <v>0</v>
          </cell>
          <cell r="F3633">
            <v>890</v>
          </cell>
        </row>
        <row r="3634">
          <cell r="A3634" t="str">
            <v>QL0922-2XL</v>
          </cell>
          <cell r="B3634" t="str">
            <v>QL922</v>
          </cell>
          <cell r="C3634" t="str">
            <v>ซาติน แขนสั้นขาสี่ส่วน Bird Orchid พื้นขาว 2XL  (กปก) QC</v>
          </cell>
          <cell r="E3634">
            <v>0</v>
          </cell>
          <cell r="F3634">
            <v>890</v>
          </cell>
        </row>
        <row r="3635">
          <cell r="A3635" t="str">
            <v>QL0922-L</v>
          </cell>
          <cell r="B3635" t="str">
            <v>QL922</v>
          </cell>
          <cell r="C3635" t="str">
            <v>ซาติน แขนสั้นขาสี่ส่วน Bird Orchid พื้นขาว L (กปก) หลุด QC</v>
          </cell>
          <cell r="E3635">
            <v>0</v>
          </cell>
          <cell r="F3635">
            <v>850</v>
          </cell>
        </row>
        <row r="3636">
          <cell r="A3636" t="str">
            <v>QL0922-M</v>
          </cell>
          <cell r="B3636" t="str">
            <v>QL922</v>
          </cell>
          <cell r="C3636" t="str">
            <v>ซาติน แขนสั้นขาสี่ส่วน Bird Orchid พื้นขาว M (กปก) QC</v>
          </cell>
          <cell r="E3636">
            <v>0</v>
          </cell>
          <cell r="F3636">
            <v>890</v>
          </cell>
        </row>
        <row r="3637">
          <cell r="A3637" t="str">
            <v>QL0922-XL</v>
          </cell>
          <cell r="B3637" t="str">
            <v>QL922</v>
          </cell>
          <cell r="C3637" t="str">
            <v>ซาติน แขนสั้นขาสี่ส่วน Bird Orchid พื้นขาว XL (กปก) หลุด QC</v>
          </cell>
          <cell r="E3637">
            <v>0</v>
          </cell>
          <cell r="F3637">
            <v>850</v>
          </cell>
        </row>
        <row r="3638">
          <cell r="A3638" t="str">
            <v>QL0926-3XL</v>
          </cell>
          <cell r="B3638" t="str">
            <v>QL926</v>
          </cell>
          <cell r="C3638" t="str">
            <v>ซาติน แขนสั้นขาสี่ส่วน พื้นกรม ลายม้าลาย 3XL (กปก) หลุด QC</v>
          </cell>
          <cell r="E3638">
            <v>0</v>
          </cell>
          <cell r="F3638">
            <v>850</v>
          </cell>
        </row>
        <row r="3639">
          <cell r="A3639" t="str">
            <v>QL0932-2XL</v>
          </cell>
          <cell r="B3639" t="str">
            <v>QL932</v>
          </cell>
          <cell r="C3639" t="str">
            <v>ซาติน แขนสั้นขาสี่ส่วน violet 2XL (กปก) หลุด QC</v>
          </cell>
          <cell r="E3639">
            <v>0</v>
          </cell>
          <cell r="F3639">
            <v>850</v>
          </cell>
        </row>
        <row r="3640">
          <cell r="A3640" t="str">
            <v>QL0932-3XL</v>
          </cell>
          <cell r="B3640" t="str">
            <v>QL932</v>
          </cell>
          <cell r="C3640" t="str">
            <v>ซาติน แขนสั้นขาสี่ส่วน violet 3XL (กปก) หลุด QC</v>
          </cell>
          <cell r="E3640">
            <v>0</v>
          </cell>
          <cell r="F3640">
            <v>850</v>
          </cell>
        </row>
        <row r="3641">
          <cell r="A3641" t="str">
            <v>QL0932-L</v>
          </cell>
          <cell r="B3641" t="str">
            <v>QL932</v>
          </cell>
          <cell r="C3641" t="str">
            <v>ซาติน แขนสั้นขาสี่ส่วน violet L (กปก) หลุด QC</v>
          </cell>
          <cell r="E3641">
            <v>0</v>
          </cell>
          <cell r="F3641">
            <v>850</v>
          </cell>
        </row>
        <row r="3642">
          <cell r="A3642" t="str">
            <v>QL0932-M</v>
          </cell>
          <cell r="B3642" t="str">
            <v>QL932</v>
          </cell>
          <cell r="C3642" t="str">
            <v>ซาติน แขนสั้นขาสี่ส่วน violet M (กปก) หลุด QC</v>
          </cell>
          <cell r="E3642">
            <v>0</v>
          </cell>
          <cell r="F3642">
            <v>850</v>
          </cell>
        </row>
        <row r="3643">
          <cell r="A3643" t="str">
            <v>QL0932-XL</v>
          </cell>
          <cell r="B3643" t="str">
            <v>QL932</v>
          </cell>
          <cell r="C3643" t="str">
            <v>ซาติน แขนสั้นขาสี่ส่วน violet XL (กปก) หลุด QC</v>
          </cell>
          <cell r="E3643">
            <v>0</v>
          </cell>
          <cell r="F3643">
            <v>850</v>
          </cell>
        </row>
        <row r="3644">
          <cell r="A3644" t="str">
            <v>QL0934-2XL</v>
          </cell>
          <cell r="B3644" t="str">
            <v>QL934</v>
          </cell>
          <cell r="C3644" t="str">
            <v>ซาติน แขนสั้นขาสี่ส่วน navy 2XL (กปก) หลุด QC</v>
          </cell>
          <cell r="E3644">
            <v>0</v>
          </cell>
          <cell r="F3644">
            <v>850</v>
          </cell>
        </row>
        <row r="3645">
          <cell r="A3645" t="str">
            <v>QL0934-3XL</v>
          </cell>
          <cell r="B3645" t="str">
            <v>QL934</v>
          </cell>
          <cell r="C3645" t="str">
            <v>ซาติน แขนสั้นขาสี่ส่วน navy 3XL (กปก) หลุด QC</v>
          </cell>
          <cell r="E3645">
            <v>0</v>
          </cell>
          <cell r="F3645">
            <v>850</v>
          </cell>
        </row>
        <row r="3646">
          <cell r="A3646" t="str">
            <v>QL0934-L</v>
          </cell>
          <cell r="B3646" t="str">
            <v>QL934</v>
          </cell>
          <cell r="C3646" t="str">
            <v>ซาติน แขนสั้นขาสี่ส่วน navy L (กปก) หลุด QC</v>
          </cell>
          <cell r="E3646">
            <v>0</v>
          </cell>
          <cell r="F3646">
            <v>850</v>
          </cell>
        </row>
        <row r="3647">
          <cell r="A3647" t="str">
            <v>QL0934-M</v>
          </cell>
          <cell r="B3647" t="str">
            <v>QL934</v>
          </cell>
          <cell r="C3647" t="str">
            <v>ซาติน แขนสั้นขาสี่ส่วน navy M (กปก) หลุด QC</v>
          </cell>
          <cell r="E3647">
            <v>0</v>
          </cell>
          <cell r="F3647">
            <v>850</v>
          </cell>
        </row>
        <row r="3648">
          <cell r="A3648" t="str">
            <v>QL0934-XL</v>
          </cell>
          <cell r="B3648" t="str">
            <v>QL934</v>
          </cell>
          <cell r="C3648" t="str">
            <v>ซาติน แขนสั้นขาสี่ส่วน navy XL (กปก) หลุด QC</v>
          </cell>
          <cell r="E3648">
            <v>0</v>
          </cell>
          <cell r="F3648">
            <v>850</v>
          </cell>
        </row>
        <row r="3649">
          <cell r="A3649" t="str">
            <v>QL0935-2XL</v>
          </cell>
          <cell r="B3649" t="str">
            <v>QL935</v>
          </cell>
          <cell r="C3649" t="str">
            <v>ซาติน แขนสั้นขาสี่ส่วน Cute old totoro 2XL (กปก) หลุด QC</v>
          </cell>
          <cell r="E3649">
            <v>0</v>
          </cell>
          <cell r="F3649">
            <v>850</v>
          </cell>
        </row>
        <row r="3650">
          <cell r="A3650" t="str">
            <v>QL0935-3XL</v>
          </cell>
          <cell r="B3650" t="str">
            <v>QL935</v>
          </cell>
          <cell r="C3650" t="str">
            <v>ซาติน แขนสั้นขาสี่ส่วน Cute old totoro 3XL (กปก) หลุด QC</v>
          </cell>
          <cell r="E3650">
            <v>0</v>
          </cell>
          <cell r="F3650">
            <v>850</v>
          </cell>
        </row>
        <row r="3651">
          <cell r="A3651" t="str">
            <v>QL0935-L</v>
          </cell>
          <cell r="B3651" t="str">
            <v>QL935</v>
          </cell>
          <cell r="C3651" t="str">
            <v>ซาติน แขนสั้นขาสี่ส่วน Cute old totoro L (กปก) หลุด QC</v>
          </cell>
          <cell r="E3651">
            <v>0</v>
          </cell>
          <cell r="F3651">
            <v>850</v>
          </cell>
        </row>
        <row r="3652">
          <cell r="A3652" t="str">
            <v>QL0935-M</v>
          </cell>
          <cell r="B3652" t="str">
            <v>QL935</v>
          </cell>
          <cell r="C3652" t="str">
            <v>ซาติน แขนสั้นขาสี่ส่วน Cute old totoro M (กปก) หลุด QC</v>
          </cell>
          <cell r="E3652">
            <v>0</v>
          </cell>
          <cell r="F3652">
            <v>850</v>
          </cell>
        </row>
        <row r="3653">
          <cell r="A3653" t="str">
            <v>QL0935-XL</v>
          </cell>
          <cell r="B3653" t="str">
            <v>QL935</v>
          </cell>
          <cell r="C3653" t="str">
            <v>ซาติน แขนสั้นขาสี่ส่วน Cute old totoro XL (กปก) หลุด QC</v>
          </cell>
          <cell r="E3653">
            <v>0</v>
          </cell>
          <cell r="F3653">
            <v>850</v>
          </cell>
        </row>
        <row r="3654">
          <cell r="A3654" t="str">
            <v>QL0938-M</v>
          </cell>
          <cell r="B3654" t="str">
            <v>QL938</v>
          </cell>
          <cell r="C3654" t="str">
            <v>ซาติน แขนสั้นขาสี่ส่วน Black forest M QC</v>
          </cell>
          <cell r="E3654">
            <v>0</v>
          </cell>
          <cell r="F3654">
            <v>890</v>
          </cell>
        </row>
        <row r="3655">
          <cell r="A3655" t="str">
            <v>QL0945-2XL</v>
          </cell>
          <cell r="B3655" t="str">
            <v>QL945</v>
          </cell>
          <cell r="C3655" t="str">
            <v>ซาติน แขนสั้นขาสี่ส่วน พื้นกรม ดอกกุหลาบแดง กล้วยไม้ 2XL (กปก) หลุด QC</v>
          </cell>
          <cell r="E3655">
            <v>0</v>
          </cell>
          <cell r="F3655">
            <v>850</v>
          </cell>
        </row>
        <row r="3656">
          <cell r="A3656" t="str">
            <v>QL0945-3XL</v>
          </cell>
          <cell r="B3656" t="str">
            <v>QL945</v>
          </cell>
          <cell r="C3656" t="str">
            <v>ซาติน แขนสั้นขาสี่ส่วน พื้นกรม ดอกกุหลาบแดง กล้วยไม้ 3XL (กปก) หลุด QC</v>
          </cell>
          <cell r="E3656">
            <v>0</v>
          </cell>
          <cell r="F3656">
            <v>850</v>
          </cell>
        </row>
        <row r="3657">
          <cell r="A3657" t="str">
            <v>QL0945-L</v>
          </cell>
          <cell r="B3657" t="str">
            <v>QL945</v>
          </cell>
          <cell r="C3657" t="str">
            <v>ซาติน แขนสั้นขาสี่ส่วน พื้นกรม ดอกกุหลาบแดง กล้วยไม้ L (กปก) QC</v>
          </cell>
          <cell r="E3657">
            <v>0</v>
          </cell>
          <cell r="F3657">
            <v>890</v>
          </cell>
        </row>
        <row r="3658">
          <cell r="A3658" t="str">
            <v>QL0945-M</v>
          </cell>
          <cell r="B3658" t="str">
            <v>QL945</v>
          </cell>
          <cell r="C3658" t="str">
            <v>ซาติน แขนสั้นขาสี่ส่วน พื้นกรม ดอกกุหลาบแดง กล้วยไม้ M (กปก) QC</v>
          </cell>
          <cell r="E3658">
            <v>0</v>
          </cell>
          <cell r="F3658">
            <v>890</v>
          </cell>
        </row>
        <row r="3659">
          <cell r="A3659" t="str">
            <v>QL0945-XL</v>
          </cell>
          <cell r="B3659" t="str">
            <v>QL945</v>
          </cell>
          <cell r="C3659" t="str">
            <v>ซาติน แขนสั้นขาสี่ส่วน พื้นกรม ดอกกุหลาบแดง กล้วยไม้ XL (กปก) QC</v>
          </cell>
          <cell r="E3659">
            <v>0</v>
          </cell>
          <cell r="F3659">
            <v>890</v>
          </cell>
        </row>
        <row r="3660">
          <cell r="A3660" t="str">
            <v>QL0946-2XL</v>
          </cell>
          <cell r="B3660" t="str">
            <v>QL946</v>
          </cell>
          <cell r="C3660" t="str">
            <v>ซาติน แขนสั้นขาสี่ส่วน เกสรดอกไม้ พื้นขาว 2XL (กปก) หลุด QC</v>
          </cell>
          <cell r="E3660">
            <v>0</v>
          </cell>
          <cell r="F3660">
            <v>850</v>
          </cell>
        </row>
        <row r="3661">
          <cell r="A3661" t="str">
            <v>QL0946-3XL</v>
          </cell>
          <cell r="B3661" t="str">
            <v>QL946</v>
          </cell>
          <cell r="C3661" t="str">
            <v>ซาติน แขนสั้นขาสี่ส่วน เกสรดอกไม้ พื้นขาว 3XL (กปก) หลุด QC</v>
          </cell>
          <cell r="E3661">
            <v>0</v>
          </cell>
          <cell r="F3661">
            <v>850</v>
          </cell>
        </row>
        <row r="3662">
          <cell r="A3662" t="str">
            <v>QL0946-L</v>
          </cell>
          <cell r="B3662" t="str">
            <v>QL946</v>
          </cell>
          <cell r="C3662" t="str">
            <v>ซาติน แขนสั้นขาสี่ส่วน เกสรดอกไม้ พื้นขาว L (กปก) หลุด QC</v>
          </cell>
          <cell r="E3662">
            <v>0</v>
          </cell>
          <cell r="F3662">
            <v>850</v>
          </cell>
        </row>
        <row r="3663">
          <cell r="A3663" t="str">
            <v>QL0946-M</v>
          </cell>
          <cell r="B3663" t="str">
            <v>QL946</v>
          </cell>
          <cell r="C3663" t="str">
            <v>ซาติน แขนสั้นขาสี่ส่วน เกสรดอกไม้ พื้นขาว M (กปก) หลุด QC</v>
          </cell>
          <cell r="E3663">
            <v>0</v>
          </cell>
          <cell r="F3663">
            <v>850</v>
          </cell>
        </row>
        <row r="3664">
          <cell r="A3664" t="str">
            <v>QL0946-XL</v>
          </cell>
          <cell r="B3664" t="str">
            <v>QL946</v>
          </cell>
          <cell r="C3664" t="str">
            <v>ซาติน แขนสั้นขาสี่ส่วน เกสรดอกไม้ พื้นขาว XL (กปก) หลุด QC</v>
          </cell>
          <cell r="E3664">
            <v>0</v>
          </cell>
          <cell r="F3664">
            <v>850</v>
          </cell>
        </row>
        <row r="3665">
          <cell r="A3665" t="str">
            <v>QL0947-2XL</v>
          </cell>
          <cell r="B3665" t="str">
            <v>QL947</v>
          </cell>
          <cell r="C3665" t="str">
            <v>ซาติน แขนสั้นขาสี่ส่วน ลายทางฟ้า 2XL (กปก) QC</v>
          </cell>
          <cell r="E3665">
            <v>0</v>
          </cell>
          <cell r="F3665">
            <v>890</v>
          </cell>
        </row>
        <row r="3666">
          <cell r="A3666" t="str">
            <v>QL0947-3XL</v>
          </cell>
          <cell r="B3666" t="str">
            <v>QL947</v>
          </cell>
          <cell r="C3666" t="str">
            <v>ซาติน แขนสั้นขาสี่ส่วน ลายทางฟ้า 3XL (กปก) หลุด QC</v>
          </cell>
          <cell r="E3666">
            <v>0</v>
          </cell>
          <cell r="F3666">
            <v>850</v>
          </cell>
        </row>
        <row r="3667">
          <cell r="A3667" t="str">
            <v>QL0947-L</v>
          </cell>
          <cell r="B3667" t="str">
            <v>QL947</v>
          </cell>
          <cell r="C3667" t="str">
            <v>ซาติน แขนสั้นขาสี่ส่วน ลายทางฟ้า L (กปก) หลุด QC</v>
          </cell>
          <cell r="E3667">
            <v>0</v>
          </cell>
          <cell r="F3667">
            <v>850</v>
          </cell>
        </row>
        <row r="3668">
          <cell r="A3668" t="str">
            <v>QL0947-M</v>
          </cell>
          <cell r="B3668" t="str">
            <v>QL947</v>
          </cell>
          <cell r="C3668" t="str">
            <v>ซาติน แขนสั้นขาสี่ส่วน ลายทางฟ้า M (กปก) QC</v>
          </cell>
          <cell r="E3668">
            <v>0</v>
          </cell>
          <cell r="F3668">
            <v>890</v>
          </cell>
        </row>
        <row r="3669">
          <cell r="A3669" t="str">
            <v>QL0947-XL</v>
          </cell>
          <cell r="B3669" t="str">
            <v>QL947</v>
          </cell>
          <cell r="C3669" t="str">
            <v>ซาติน แขนสั้นขาสี่ส่วน ลายทางฟ้า XL (กปก) หลุด QC</v>
          </cell>
          <cell r="E3669">
            <v>0</v>
          </cell>
          <cell r="F3669">
            <v>850</v>
          </cell>
        </row>
        <row r="3670">
          <cell r="A3670" t="str">
            <v>QL0948-2XL</v>
          </cell>
          <cell r="B3670" t="str">
            <v>QL948</v>
          </cell>
          <cell r="C3670" t="str">
            <v>ซาติน แขนสั้นขาสี่ส่วน แมวดำ พื้นชมพู 2XL (กปก) หลุด QC</v>
          </cell>
          <cell r="E3670">
            <v>0</v>
          </cell>
          <cell r="F3670">
            <v>850</v>
          </cell>
        </row>
        <row r="3671">
          <cell r="A3671" t="str">
            <v>QL0948-3XL</v>
          </cell>
          <cell r="B3671" t="str">
            <v>QL948</v>
          </cell>
          <cell r="C3671" t="str">
            <v>ซาติน แขนสั้นขาสี่ส่วน แมวดำ พื้นชมพู 3XL (กปก) หลุด QC</v>
          </cell>
          <cell r="E3671">
            <v>0</v>
          </cell>
          <cell r="F3671">
            <v>850</v>
          </cell>
        </row>
        <row r="3672">
          <cell r="A3672" t="str">
            <v>QL0948-L</v>
          </cell>
          <cell r="B3672" t="str">
            <v>QL948</v>
          </cell>
          <cell r="C3672" t="str">
            <v>ซาติน แขนสั้นขาสี่ส่วน แมวดำ พื้นชมพู L (กปก) หลุด QC</v>
          </cell>
          <cell r="E3672">
            <v>0</v>
          </cell>
          <cell r="F3672">
            <v>850</v>
          </cell>
        </row>
        <row r="3673">
          <cell r="A3673" t="str">
            <v>QL0948-M</v>
          </cell>
          <cell r="B3673" t="str">
            <v>QL948</v>
          </cell>
          <cell r="C3673" t="str">
            <v>ซาติน แขนสั้นขาสี่ส่วน แมวดำ พื้นชมพู M (กปก) หลุด QC</v>
          </cell>
          <cell r="E3673">
            <v>0</v>
          </cell>
          <cell r="F3673">
            <v>850</v>
          </cell>
        </row>
        <row r="3674">
          <cell r="A3674" t="str">
            <v>QL0948-XL</v>
          </cell>
          <cell r="B3674" t="str">
            <v>QL948</v>
          </cell>
          <cell r="C3674" t="str">
            <v>ซาติน แขนสั้นขาสี่ส่วน แมวดำ พื้นชมพู XL (กปก) หลุด QC</v>
          </cell>
          <cell r="E3674">
            <v>0</v>
          </cell>
          <cell r="F3674">
            <v>850</v>
          </cell>
        </row>
        <row r="3675">
          <cell r="A3675" t="str">
            <v>QL0955-M</v>
          </cell>
          <cell r="B3675" t="str">
            <v>QL955</v>
          </cell>
          <cell r="C3675" t="str">
            <v>ซาติน แขนสั้นขาสี่ส่วน ภาพถ่ายวิวเมือง (กปก) M QC</v>
          </cell>
          <cell r="E3675">
            <v>0</v>
          </cell>
          <cell r="F3675">
            <v>890</v>
          </cell>
        </row>
        <row r="3676">
          <cell r="A3676" t="str">
            <v>QL0961-2XL</v>
          </cell>
          <cell r="B3676" t="str">
            <v>QL961</v>
          </cell>
          <cell r="C3676" t="str">
            <v>แขนสั้นขาสี่ส่วน (กปก) พื้นเขียว สวนดอกไม้ 2XL หลุด QC</v>
          </cell>
          <cell r="E3676">
            <v>0</v>
          </cell>
          <cell r="F3676">
            <v>850</v>
          </cell>
        </row>
        <row r="3677">
          <cell r="A3677" t="str">
            <v>QL0961-3XL</v>
          </cell>
          <cell r="B3677" t="str">
            <v>QL961</v>
          </cell>
          <cell r="C3677" t="str">
            <v>แขนสั้นขาสี่ส่วน (กปก) พื้นเขียว สวนดอกไม้ 3XL หลุด QC</v>
          </cell>
          <cell r="E3677">
            <v>0</v>
          </cell>
          <cell r="F3677">
            <v>850</v>
          </cell>
        </row>
        <row r="3678">
          <cell r="A3678" t="str">
            <v>QL0961-L</v>
          </cell>
          <cell r="B3678" t="str">
            <v>QL961</v>
          </cell>
          <cell r="C3678" t="str">
            <v>แขนสั้นขาสี่ส่วน (กปก) พื้นเขียว สวนดอกไม้ L หลุด QC</v>
          </cell>
          <cell r="E3678">
            <v>0</v>
          </cell>
          <cell r="F3678">
            <v>850</v>
          </cell>
        </row>
        <row r="3679">
          <cell r="A3679" t="str">
            <v>QL0961-M</v>
          </cell>
          <cell r="B3679" t="str">
            <v>QL961</v>
          </cell>
          <cell r="C3679" t="str">
            <v>แขนสั้นขาสี่ส่วน (กปก) พื้นเขียว สวนดอกไม้ M หลุด QC</v>
          </cell>
          <cell r="E3679">
            <v>0</v>
          </cell>
          <cell r="F3679">
            <v>850</v>
          </cell>
        </row>
        <row r="3680">
          <cell r="A3680" t="str">
            <v>QL0961-XL</v>
          </cell>
          <cell r="B3680" t="str">
            <v>QL961</v>
          </cell>
          <cell r="C3680" t="str">
            <v>แขนสั้นขาสี่ส่วน (กปก) พื้นเขียว สวนดอกไม้ XL หลุด QC</v>
          </cell>
          <cell r="E3680">
            <v>0</v>
          </cell>
          <cell r="F3680">
            <v>850</v>
          </cell>
        </row>
        <row r="3681">
          <cell r="A3681" t="str">
            <v>QL0962-2XL</v>
          </cell>
          <cell r="B3681" t="str">
            <v>QL962</v>
          </cell>
          <cell r="C3681" t="str">
            <v>ซาติน แขนสั้น ขาสี่ส่วน พื้นครีม สตอเบอรี่ 2XL หลุด QC</v>
          </cell>
          <cell r="E3681">
            <v>0</v>
          </cell>
          <cell r="F3681">
            <v>850</v>
          </cell>
        </row>
        <row r="3682">
          <cell r="A3682" t="str">
            <v>QL0962-3XL</v>
          </cell>
          <cell r="B3682" t="str">
            <v>QL962</v>
          </cell>
          <cell r="C3682" t="str">
            <v>ซาติน แขนสั้น ขาสี่ส่วน พื้นครีม สตอเบอรี่ 3XL หลุด QC</v>
          </cell>
          <cell r="E3682">
            <v>0</v>
          </cell>
          <cell r="F3682">
            <v>850</v>
          </cell>
        </row>
        <row r="3683">
          <cell r="A3683" t="str">
            <v>QL0962-L</v>
          </cell>
          <cell r="B3683" t="str">
            <v>QL962</v>
          </cell>
          <cell r="C3683" t="str">
            <v>ซาติน แขนสั้น ขาสี่ส่วน พื้นครีม สตอเบอรี่ L หลุด QC</v>
          </cell>
          <cell r="E3683">
            <v>0</v>
          </cell>
          <cell r="F3683">
            <v>850</v>
          </cell>
        </row>
        <row r="3684">
          <cell r="A3684" t="str">
            <v>QL0962-M</v>
          </cell>
          <cell r="B3684" t="str">
            <v>QL962</v>
          </cell>
          <cell r="C3684" t="str">
            <v>ซาติน แขนสั้น ขาสี่ส่วน พื้นครีม สตอเบอรี่ M หลุด QC</v>
          </cell>
          <cell r="E3684">
            <v>0</v>
          </cell>
          <cell r="F3684">
            <v>850</v>
          </cell>
        </row>
        <row r="3685">
          <cell r="A3685" t="str">
            <v>QL0962-XL</v>
          </cell>
          <cell r="B3685" t="str">
            <v>QL962</v>
          </cell>
          <cell r="C3685" t="str">
            <v>ซาติน แขนสั้น ขาสี่ส่วน พื้นครีม สตอเบอรี่ XL หลุด QC</v>
          </cell>
          <cell r="E3685">
            <v>0</v>
          </cell>
          <cell r="F3685">
            <v>850</v>
          </cell>
        </row>
        <row r="3686">
          <cell r="A3686" t="str">
            <v>QL0963-L</v>
          </cell>
          <cell r="B3686" t="str">
            <v>QL963</v>
          </cell>
          <cell r="C3686" t="str">
            <v>ซาติน แขนสั้นขาสี่ส่วน เทพีผมม่วง L (กปก) QC</v>
          </cell>
          <cell r="E3686">
            <v>0</v>
          </cell>
          <cell r="F3686">
            <v>890</v>
          </cell>
        </row>
        <row r="3687">
          <cell r="A3687" t="str">
            <v>QL0963-XL</v>
          </cell>
          <cell r="B3687" t="str">
            <v>QL963</v>
          </cell>
          <cell r="C3687" t="str">
            <v>ซาติน แขนสั้นขาสี่ส่วน เทพีผมม่วง XL (กปก) QC</v>
          </cell>
          <cell r="E3687">
            <v>0</v>
          </cell>
          <cell r="F3687">
            <v>890</v>
          </cell>
        </row>
        <row r="3688">
          <cell r="A3688" t="str">
            <v>QL0973-2XL</v>
          </cell>
          <cell r="B3688" t="str">
            <v>QL973</v>
          </cell>
          <cell r="C3688" t="str">
            <v>ซาติน แขนสั้นขาสี่ส่วน Rabbit Flower พื้นขาว (กปก) 2XL หลุด QC</v>
          </cell>
          <cell r="E3688">
            <v>0</v>
          </cell>
          <cell r="F3688">
            <v>850</v>
          </cell>
        </row>
        <row r="3689">
          <cell r="A3689" t="str">
            <v>QL0976-2XL</v>
          </cell>
          <cell r="B3689" t="str">
            <v>QL976</v>
          </cell>
          <cell r="C3689" t="str">
            <v>ซาติน แขนสั้นขาสี่ส่วน ฟลามิงโก้ พื้นเขียว (กปก) 2XL หลุด QC</v>
          </cell>
          <cell r="E3689">
            <v>0</v>
          </cell>
          <cell r="F3689">
            <v>850</v>
          </cell>
        </row>
        <row r="3690">
          <cell r="A3690" t="str">
            <v>QL0976-3XL</v>
          </cell>
          <cell r="B3690" t="str">
            <v>QL976</v>
          </cell>
          <cell r="C3690" t="str">
            <v>ซาติน แขนสั้นขาสี่ส่วน ฟลามิงโก้ พื้นเขียว (กปก) 3XL หลุด QC</v>
          </cell>
          <cell r="E3690">
            <v>0</v>
          </cell>
          <cell r="F3690">
            <v>850</v>
          </cell>
        </row>
        <row r="3691">
          <cell r="A3691" t="str">
            <v>QL0976-L</v>
          </cell>
          <cell r="B3691" t="str">
            <v>QL976</v>
          </cell>
          <cell r="C3691" t="str">
            <v>ซาติน แขนสั้นขาสี่ส่วน ฟลามิงโก้ พื้นเขียว (กปก) L หลุด QC</v>
          </cell>
          <cell r="E3691">
            <v>0</v>
          </cell>
          <cell r="F3691">
            <v>850</v>
          </cell>
        </row>
        <row r="3692">
          <cell r="A3692" t="str">
            <v>QL0976-M</v>
          </cell>
          <cell r="B3692" t="str">
            <v>QL976</v>
          </cell>
          <cell r="C3692" t="str">
            <v>ซาติน แขนสั้นขาสี่ส่วน ฟลามิงโก้ พื้นเขียว (กปก) M หลุด QC</v>
          </cell>
          <cell r="E3692">
            <v>0</v>
          </cell>
          <cell r="F3692">
            <v>850</v>
          </cell>
        </row>
        <row r="3693">
          <cell r="A3693" t="str">
            <v>QL0976-XL</v>
          </cell>
          <cell r="B3693" t="str">
            <v>QL976</v>
          </cell>
          <cell r="C3693" t="str">
            <v>ซาติน แขนสั้นขาสี่ส่วน ฟลามิงโก้ พื้นเขียว (กปก) XL หลุด QC</v>
          </cell>
          <cell r="E3693">
            <v>0</v>
          </cell>
          <cell r="F3693">
            <v>850</v>
          </cell>
        </row>
        <row r="3694">
          <cell r="A3694" t="str">
            <v>QL0978-2XL</v>
          </cell>
          <cell r="B3694" t="str">
            <v>QL978</v>
          </cell>
          <cell r="C3694" t="str">
            <v>ซาติน แขนสั้นขาสี่ส่วน กล้วยไม้น้ำตาล 2XL (กปก) QC</v>
          </cell>
          <cell r="E3694">
            <v>0</v>
          </cell>
          <cell r="F3694">
            <v>890</v>
          </cell>
        </row>
        <row r="3695">
          <cell r="A3695" t="str">
            <v>QL0978-3XL</v>
          </cell>
          <cell r="B3695" t="str">
            <v>QL978</v>
          </cell>
          <cell r="C3695" t="str">
            <v>ซาติน แขนสั้นขาสี่ส่วน กล้วยไม้น้ำตาล 3XL (กปก) หลุด QC</v>
          </cell>
          <cell r="E3695">
            <v>0</v>
          </cell>
          <cell r="F3695">
            <v>850</v>
          </cell>
        </row>
        <row r="3696">
          <cell r="A3696" t="str">
            <v>QL0978-L</v>
          </cell>
          <cell r="B3696" t="str">
            <v>QL978</v>
          </cell>
          <cell r="C3696" t="str">
            <v>ซาติน แขนสั้นขาสี่ส่วน กล้วยไม้น้ำตาล L (กปก) หลุด QC</v>
          </cell>
          <cell r="E3696">
            <v>0</v>
          </cell>
          <cell r="F3696">
            <v>850</v>
          </cell>
        </row>
        <row r="3697">
          <cell r="A3697" t="str">
            <v>QL0978-M</v>
          </cell>
          <cell r="B3697" t="str">
            <v>QL978</v>
          </cell>
          <cell r="C3697" t="str">
            <v>ซาติน แขนสั้นขาสี่ส่วน กล้วยไม้น้ำตาล M (กปก) หลุด QC</v>
          </cell>
          <cell r="E3697">
            <v>0</v>
          </cell>
          <cell r="F3697">
            <v>850</v>
          </cell>
        </row>
        <row r="3698">
          <cell r="A3698" t="str">
            <v>QL0978-XL</v>
          </cell>
          <cell r="B3698" t="str">
            <v>QL978</v>
          </cell>
          <cell r="C3698" t="str">
            <v>ซาติน แขนสั้นขาสี่ส่วน กล้วยไม้น้ำตาล XL (กปก) หลุด QC</v>
          </cell>
          <cell r="E3698">
            <v>0</v>
          </cell>
          <cell r="F3698">
            <v>850</v>
          </cell>
        </row>
        <row r="3699">
          <cell r="A3699" t="str">
            <v>QL0980-2XL</v>
          </cell>
          <cell r="B3699" t="str">
            <v>QL980</v>
          </cell>
          <cell r="C3699" t="str">
            <v>ซาติน แขนสั้นขาสี่ส่วน โบว์ชมพู (กปก) 2XL QC</v>
          </cell>
          <cell r="E3699">
            <v>0</v>
          </cell>
          <cell r="F3699">
            <v>890</v>
          </cell>
        </row>
        <row r="3700">
          <cell r="A3700" t="str">
            <v>QL0980-3XL</v>
          </cell>
          <cell r="B3700" t="str">
            <v>QL980</v>
          </cell>
          <cell r="C3700" t="str">
            <v>ซาติน แขนสั้นขาสี่ส่วน โบว์ชมพู (กปก) 3XL QC</v>
          </cell>
          <cell r="E3700">
            <v>0</v>
          </cell>
          <cell r="F3700">
            <v>890</v>
          </cell>
        </row>
        <row r="3701">
          <cell r="A3701" t="str">
            <v>QL0980-L</v>
          </cell>
          <cell r="B3701" t="str">
            <v>QL980</v>
          </cell>
          <cell r="C3701" t="str">
            <v>ซาติน แขนสั้นขาสี่ส่วน โบว์ชมพู (กปก) L หลุด QC</v>
          </cell>
          <cell r="E3701">
            <v>0</v>
          </cell>
          <cell r="F3701">
            <v>850</v>
          </cell>
        </row>
        <row r="3702">
          <cell r="A3702" t="str">
            <v>QL0980-M</v>
          </cell>
          <cell r="B3702" t="str">
            <v>QL980</v>
          </cell>
          <cell r="C3702" t="str">
            <v>ซาติน แขนสั้นขาสี่ส่วน โบว์ชมพู (กปก) M หลุด QC</v>
          </cell>
          <cell r="E3702">
            <v>0</v>
          </cell>
          <cell r="F3702">
            <v>850</v>
          </cell>
        </row>
        <row r="3703">
          <cell r="A3703" t="str">
            <v>QL0980-XL</v>
          </cell>
          <cell r="B3703" t="str">
            <v>QL980</v>
          </cell>
          <cell r="C3703" t="str">
            <v>ซาติน แขนสั้นขาสี่ส่วน โบว์ชมพู (กปก) XL QC</v>
          </cell>
          <cell r="E3703">
            <v>0</v>
          </cell>
          <cell r="F3703">
            <v>890</v>
          </cell>
        </row>
        <row r="3704">
          <cell r="A3704" t="str">
            <v>QL0981-2XL</v>
          </cell>
          <cell r="B3704" t="str">
            <v>QL981</v>
          </cell>
          <cell r="C3704" t="str">
            <v>ซาติน แขนสั้นขาสี่ส่วน กระต่ายลายทาง ชมพู (กปก) 2XL หลุด QC</v>
          </cell>
          <cell r="E3704">
            <v>0</v>
          </cell>
          <cell r="F3704">
            <v>850</v>
          </cell>
        </row>
        <row r="3705">
          <cell r="A3705" t="str">
            <v>QL0981-3XL</v>
          </cell>
          <cell r="B3705" t="str">
            <v>QL981</v>
          </cell>
          <cell r="C3705" t="str">
            <v>ซาติน แขนสั้นขาสี่ส่วน กระต่ายลายทาง ชมพู (กปก) 3XL หลุด QC</v>
          </cell>
          <cell r="E3705">
            <v>0</v>
          </cell>
          <cell r="F3705">
            <v>850</v>
          </cell>
        </row>
        <row r="3706">
          <cell r="A3706" t="str">
            <v>QL0981-L</v>
          </cell>
          <cell r="B3706" t="str">
            <v>QL981</v>
          </cell>
          <cell r="C3706" t="str">
            <v>ซาติน แขนสั้นขาสี่ส่วน กระต่ายลายทาง ชมพู (กปก) L หลุด QC</v>
          </cell>
          <cell r="E3706">
            <v>0</v>
          </cell>
          <cell r="F3706">
            <v>850</v>
          </cell>
        </row>
        <row r="3707">
          <cell r="A3707" t="str">
            <v>QL0981-M</v>
          </cell>
          <cell r="B3707" t="str">
            <v>QL981</v>
          </cell>
          <cell r="C3707" t="str">
            <v>ซาติน แขนสั้นขาสี่ส่วน กระต่ายลายทาง ชมพู (กปก) M หลุด QC</v>
          </cell>
          <cell r="E3707">
            <v>0</v>
          </cell>
          <cell r="F3707">
            <v>850</v>
          </cell>
        </row>
        <row r="3708">
          <cell r="A3708" t="str">
            <v>QL0981-XL</v>
          </cell>
          <cell r="B3708" t="str">
            <v>QL981</v>
          </cell>
          <cell r="C3708" t="str">
            <v>ซาติน แขนสั้นขาสี่ส่วน กระต่ายลายทาง ชมพู (กปก) XL QC</v>
          </cell>
          <cell r="E3708">
            <v>0</v>
          </cell>
          <cell r="F3708">
            <v>890</v>
          </cell>
        </row>
        <row r="3709">
          <cell r="A3709" t="str">
            <v>QL0992-M</v>
          </cell>
          <cell r="B3709" t="str">
            <v>QL992</v>
          </cell>
          <cell r="C3709" t="str">
            <v>ซาติน แขนสั้นขาสี่ส่วน Colorful พื้นครีม ชมพู M QC</v>
          </cell>
          <cell r="E3709">
            <v>0</v>
          </cell>
          <cell r="F3709">
            <v>890</v>
          </cell>
        </row>
        <row r="3710">
          <cell r="A3710" t="str">
            <v>QL0993-M</v>
          </cell>
          <cell r="B3710" t="str">
            <v>QL993</v>
          </cell>
          <cell r="C3710" t="str">
            <v>ซาติน แขนสั้นขาสี่ส่วน Colorful พื้นชมพู ครีม M QC</v>
          </cell>
          <cell r="E3710">
            <v>0</v>
          </cell>
          <cell r="F3710">
            <v>890</v>
          </cell>
        </row>
        <row r="3711">
          <cell r="A3711" t="str">
            <v>QL1003-M</v>
          </cell>
          <cell r="B3711" t="str">
            <v>QL1003</v>
          </cell>
          <cell r="C3711" t="str">
            <v>ซาติน แขนสั้นขาสี่ส่วน Rabbit Flower พื้นครีม M (กปก) QC</v>
          </cell>
          <cell r="E3711">
            <v>0</v>
          </cell>
          <cell r="F3711">
            <v>890</v>
          </cell>
        </row>
        <row r="3712">
          <cell r="A3712" t="str">
            <v>QL1010-M</v>
          </cell>
          <cell r="B3712" t="str">
            <v>QL1010</v>
          </cell>
          <cell r="C3712" t="str">
            <v>ซาติน แขนสั้นขาสี่ส่วน น้องแมว พื้นเทา M (กปก) QC</v>
          </cell>
          <cell r="E3712">
            <v>0</v>
          </cell>
          <cell r="F3712">
            <v>890</v>
          </cell>
        </row>
        <row r="3713">
          <cell r="A3713" t="str">
            <v>QL1015-2XL</v>
          </cell>
          <cell r="B3713" t="str">
            <v>QL1015</v>
          </cell>
          <cell r="C3713" t="str">
            <v>ซาติน แขนสั้นขาสี่ส่วน Flower Pink พื้นชมพู 2XL (กปก) QC</v>
          </cell>
          <cell r="E3713">
            <v>0</v>
          </cell>
          <cell r="F3713">
            <v>890</v>
          </cell>
        </row>
        <row r="3714">
          <cell r="A3714" t="str">
            <v>QL1016-M</v>
          </cell>
          <cell r="B3714" t="str">
            <v>QL1016</v>
          </cell>
          <cell r="C3714" t="str">
            <v>ซาติน แขนสั้นขาสี่ส่วน Flower Blue พื้นขาว M (กปก) QC</v>
          </cell>
          <cell r="E3714">
            <v>0</v>
          </cell>
          <cell r="F3714">
            <v>890</v>
          </cell>
        </row>
        <row r="3715">
          <cell r="A3715" t="str">
            <v>QL1017-L</v>
          </cell>
          <cell r="B3715" t="str">
            <v>QL1017</v>
          </cell>
          <cell r="C3715" t="str">
            <v>ซาติน แขนสั้นขาสี่ส่วน Flower Green พื้นครีม L (กปก) QC</v>
          </cell>
          <cell r="E3715">
            <v>0</v>
          </cell>
          <cell r="F3715">
            <v>890</v>
          </cell>
        </row>
        <row r="3716">
          <cell r="A3716" t="str">
            <v>QL1017-M</v>
          </cell>
          <cell r="B3716" t="str">
            <v>QL1017</v>
          </cell>
          <cell r="C3716" t="str">
            <v>ซาติน แขนสั้นขาสี่ส่วน Flower Green พื้นครีม M (กปก) QC</v>
          </cell>
          <cell r="E3716">
            <v>0</v>
          </cell>
          <cell r="F3716">
            <v>890</v>
          </cell>
        </row>
        <row r="3717">
          <cell r="A3717" t="str">
            <v>QL1025-L</v>
          </cell>
          <cell r="B3717" t="str">
            <v>QL1025</v>
          </cell>
          <cell r="C3717" t="str">
            <v>ซาติน แขนสั้นขาสี่ส่วน ยีราฟ พื้นเขียว L (กปก) QC</v>
          </cell>
          <cell r="E3717">
            <v>0</v>
          </cell>
          <cell r="F3717">
            <v>890</v>
          </cell>
        </row>
        <row r="3718">
          <cell r="A3718" t="str">
            <v>QL1025-M</v>
          </cell>
          <cell r="B3718" t="str">
            <v>QL1025</v>
          </cell>
          <cell r="C3718" t="str">
            <v>ซาติน แขนสั้นขาสี่ส่วน ยีราฟ พื้นเขียว M (กปก) QC</v>
          </cell>
          <cell r="E3718">
            <v>0</v>
          </cell>
          <cell r="F3718">
            <v>890</v>
          </cell>
        </row>
        <row r="3719">
          <cell r="A3719" t="str">
            <v>QL1036-2XL</v>
          </cell>
          <cell r="B3719" t="str">
            <v>QL1036</v>
          </cell>
          <cell r="C3719" t="str">
            <v>ซาติน แขนสั้นขาสี่ส่วน กระต่ายขาว ขอบชมพู 2XL QC</v>
          </cell>
          <cell r="E3719">
            <v>0</v>
          </cell>
          <cell r="F3719">
            <v>890</v>
          </cell>
        </row>
        <row r="3720">
          <cell r="A3720" t="str">
            <v>QL1042-XL</v>
          </cell>
          <cell r="B3720" t="str">
            <v>QL1042</v>
          </cell>
          <cell r="C3720" t="str">
            <v>ซาติน แขนสั้นขาสี่ส่วน เสิอน้อย พื้นครีม XL (กปก) QC</v>
          </cell>
          <cell r="E3720">
            <v>0</v>
          </cell>
          <cell r="F3720">
            <v>890</v>
          </cell>
        </row>
        <row r="3721">
          <cell r="A3721" t="str">
            <v>QL1043-L</v>
          </cell>
          <cell r="B3721" t="str">
            <v>QL1043</v>
          </cell>
          <cell r="C3721" t="str">
            <v>ซาติน แขนสั้นขาสี่ส่วน กราฟฟิก ขาวดำ L (กปก) QC</v>
          </cell>
          <cell r="E3721">
            <v>0</v>
          </cell>
          <cell r="F3721">
            <v>890</v>
          </cell>
        </row>
        <row r="3722">
          <cell r="A3722" t="str">
            <v>QL1043-XL</v>
          </cell>
          <cell r="B3722" t="str">
            <v>QL1043</v>
          </cell>
          <cell r="C3722" t="str">
            <v>ซาติน แขนสั้นขาสี่ส่วน กราฟฟิก ขาวดำ XL (กปก) QC</v>
          </cell>
          <cell r="E3722">
            <v>0</v>
          </cell>
          <cell r="F3722">
            <v>890</v>
          </cell>
        </row>
        <row r="3723">
          <cell r="A3723" t="str">
            <v>QL1044-M</v>
          </cell>
          <cell r="B3723" t="str">
            <v>QL1044</v>
          </cell>
          <cell r="C3723" t="str">
            <v>ซาติน แขนสั้นขาสี่ส่วน อาร์ทหน้ายิ้ม พื้นส้ม M (กปก) QC</v>
          </cell>
          <cell r="E3723">
            <v>0</v>
          </cell>
          <cell r="F3723">
            <v>890</v>
          </cell>
        </row>
        <row r="3724">
          <cell r="A3724" t="str">
            <v>QL1057-XL</v>
          </cell>
          <cell r="B3724" t="str">
            <v>QL1057</v>
          </cell>
          <cell r="C3724" t="str">
            <v>ซาติน แขนสั้นขาสี่ส่วน สุนัขลายทาง เขียวอ่อน XL (กปก) QC</v>
          </cell>
          <cell r="E3724">
            <v>0</v>
          </cell>
          <cell r="F3724">
            <v>890</v>
          </cell>
        </row>
        <row r="3725">
          <cell r="A3725" t="str">
            <v>QL1068-L</v>
          </cell>
          <cell r="B3725" t="str">
            <v>QL1068</v>
          </cell>
          <cell r="C3725" t="str">
            <v>ซาติน แขนสั้นขาสี่ส่วน ดอกไม้แดง ขอบเขียว กระดุม L QC</v>
          </cell>
          <cell r="E3725">
            <v>0</v>
          </cell>
          <cell r="F3725">
            <v>890</v>
          </cell>
        </row>
        <row r="3726">
          <cell r="A3726" t="str">
            <v>QL1085-2XL</v>
          </cell>
          <cell r="B3726" t="str">
            <v>QL1085</v>
          </cell>
          <cell r="C3726" t="str">
            <v>ซาติน แขนสั้นขาสี่ส่วน Flower Red พื้นครีม 2XL (กปก) QC</v>
          </cell>
          <cell r="E3726">
            <v>0</v>
          </cell>
          <cell r="F3726">
            <v>890</v>
          </cell>
        </row>
        <row r="3727">
          <cell r="A3727" t="str">
            <v>QL1085-L</v>
          </cell>
          <cell r="B3727" t="str">
            <v>QL1085</v>
          </cell>
          <cell r="C3727" t="str">
            <v>ซาติน แขนสั้นขาสี่ส่วน Flower Red พื้นครีม L (กปก) QC</v>
          </cell>
          <cell r="E3727">
            <v>0</v>
          </cell>
          <cell r="F3727">
            <v>890</v>
          </cell>
        </row>
        <row r="3728">
          <cell r="A3728" t="str">
            <v>QL1085-M</v>
          </cell>
          <cell r="B3728" t="str">
            <v>QL1085</v>
          </cell>
          <cell r="C3728" t="str">
            <v>ซาติน แขนสั้นขาสี่ส่วน Flower Red พื้นครีม M (กปก) QC</v>
          </cell>
          <cell r="E3728">
            <v>0</v>
          </cell>
          <cell r="F3728">
            <v>890</v>
          </cell>
        </row>
        <row r="3729">
          <cell r="A3729" t="str">
            <v>QL1085-XL</v>
          </cell>
          <cell r="B3729" t="str">
            <v>QL1085</v>
          </cell>
          <cell r="C3729" t="str">
            <v>ซาติน แขนสั้นขาสี่ส่วน Flower Red พื้นครีม XL (กปก) QC</v>
          </cell>
          <cell r="E3729">
            <v>0</v>
          </cell>
          <cell r="F3729">
            <v>890</v>
          </cell>
        </row>
        <row r="3730">
          <cell r="A3730" t="str">
            <v>QL1086-2XL</v>
          </cell>
          <cell r="B3730" t="str">
            <v>QL1086</v>
          </cell>
          <cell r="C3730" t="str">
            <v>ซาติน แขนสั้นขาสี่ส่วน Flower Blue พื้นครีม 2XL (กปก) QC</v>
          </cell>
          <cell r="E3730">
            <v>0</v>
          </cell>
          <cell r="F3730">
            <v>890</v>
          </cell>
        </row>
        <row r="3731">
          <cell r="A3731" t="str">
            <v>QL1086-L</v>
          </cell>
          <cell r="B3731" t="str">
            <v>QL1086</v>
          </cell>
          <cell r="C3731" t="str">
            <v>ซาติน แขนสั้นขาสี่ส่วน Flower Blue พื้นครีม L (กปก) QC</v>
          </cell>
          <cell r="E3731">
            <v>0</v>
          </cell>
          <cell r="F3731">
            <v>890</v>
          </cell>
        </row>
        <row r="3732">
          <cell r="A3732" t="str">
            <v>QL1086-M</v>
          </cell>
          <cell r="B3732" t="str">
            <v>QL1086</v>
          </cell>
          <cell r="C3732" t="str">
            <v>ซาติน แขนสั้นขาสี่ส่วน Flower Blue พื้นครีม M (กปก) QC</v>
          </cell>
          <cell r="E3732">
            <v>0</v>
          </cell>
          <cell r="F3732">
            <v>890</v>
          </cell>
        </row>
        <row r="3733">
          <cell r="A3733" t="str">
            <v>QL1087-L</v>
          </cell>
          <cell r="B3733" t="str">
            <v>QL1087</v>
          </cell>
          <cell r="C3733" t="str">
            <v>ซาติน แขนสั้นขาสี่ส่วน Flower White&amp;Brown พื้นครีม L (กปก) QC</v>
          </cell>
          <cell r="E3733">
            <v>0</v>
          </cell>
          <cell r="F3733">
            <v>890</v>
          </cell>
        </row>
        <row r="3734">
          <cell r="A3734" t="str">
            <v>QL1088-L</v>
          </cell>
          <cell r="B3734" t="str">
            <v>QL1088</v>
          </cell>
          <cell r="C3734" t="str">
            <v>ซาติน แขนสั้นขาสี่ส่วน Flower Pink พื้นครีม L (กปก) QC</v>
          </cell>
          <cell r="E3734">
            <v>0</v>
          </cell>
          <cell r="F3734">
            <v>890</v>
          </cell>
        </row>
        <row r="3735">
          <cell r="A3735" t="str">
            <v>QL1089-L</v>
          </cell>
          <cell r="B3735" t="str">
            <v>QL1089</v>
          </cell>
          <cell r="C3735" t="str">
            <v>ซาติน แขนสี่ส่วนขาสี่ส่วน กราฟฟิกแดงฟ้า L (กปก) QC</v>
          </cell>
          <cell r="E3735">
            <v>0</v>
          </cell>
          <cell r="F3735">
            <v>890</v>
          </cell>
        </row>
        <row r="3736">
          <cell r="A3736" t="str">
            <v>QL1089-M</v>
          </cell>
          <cell r="B3736" t="str">
            <v>QL1089</v>
          </cell>
          <cell r="C3736" t="str">
            <v>ซาติน แขนสี่ส่วนขาสี่ส่วน กราฟฟิกแดงฟ้า M (กปก) QC</v>
          </cell>
          <cell r="E3736">
            <v>0</v>
          </cell>
          <cell r="F3736">
            <v>890</v>
          </cell>
        </row>
        <row r="3737">
          <cell r="A3737" t="str">
            <v>QL1095-2XL</v>
          </cell>
          <cell r="B3737" t="str">
            <v>QL1095</v>
          </cell>
          <cell r="C3737" t="str">
            <v>ซาติน แขนสั้นขาสี่ส่วน สิงโตพื้นส้ม (กปก) 2XL QC</v>
          </cell>
          <cell r="E3737">
            <v>0</v>
          </cell>
          <cell r="F3737">
            <v>890</v>
          </cell>
        </row>
        <row r="3738">
          <cell r="A3738" t="str">
            <v>QL1095-XL</v>
          </cell>
          <cell r="B3738" t="str">
            <v>QL1095</v>
          </cell>
          <cell r="C3738" t="str">
            <v>ซาติน แขนสั้นขาสี่ส่วน สิงโตพื้นส้ม (กปก) XL QC</v>
          </cell>
          <cell r="E3738">
            <v>0</v>
          </cell>
          <cell r="F3738">
            <v>890</v>
          </cell>
        </row>
        <row r="3739">
          <cell r="A3739" t="str">
            <v>QL1096-2XL</v>
          </cell>
          <cell r="B3739" t="str">
            <v>QL1096</v>
          </cell>
          <cell r="C3739" t="str">
            <v>ซาติน แขนสั้นขาสี่ส่วน สีน้ำคัลเลอร์ฟลู (กปก) 2XL QC</v>
          </cell>
          <cell r="E3739">
            <v>0</v>
          </cell>
          <cell r="F3739">
            <v>890</v>
          </cell>
        </row>
        <row r="3740">
          <cell r="A3740" t="str">
            <v>QL1096-L</v>
          </cell>
          <cell r="B3740" t="str">
            <v>QL1096</v>
          </cell>
          <cell r="C3740" t="str">
            <v>ซาติน แขนสั้นขาสี่ส่วน สีน้ำคัลเลอร์ฟลู (กปก) L QC</v>
          </cell>
          <cell r="E3740">
            <v>0</v>
          </cell>
          <cell r="F3740">
            <v>890</v>
          </cell>
        </row>
        <row r="3741">
          <cell r="A3741" t="str">
            <v>QL1097-M</v>
          </cell>
          <cell r="B3741" t="str">
            <v>QL1097</v>
          </cell>
          <cell r="C3741" t="str">
            <v>ซาติน แขนสั้นขาสี่ส่วน เสือดาวอเมซอน พื้นดำ M (กปก) QC</v>
          </cell>
          <cell r="E3741">
            <v>0</v>
          </cell>
          <cell r="F3741">
            <v>890</v>
          </cell>
        </row>
        <row r="3742">
          <cell r="A3742" t="str">
            <v>QL1098-M</v>
          </cell>
          <cell r="B3742" t="str">
            <v>QL1098</v>
          </cell>
          <cell r="C3742" t="str">
            <v>ซาติน แขนสั้นขาสี่ส่วน นกหงส์หยก พื้นดำ ปกเขียว M (กปก) QC</v>
          </cell>
          <cell r="E3742">
            <v>0</v>
          </cell>
          <cell r="F3742">
            <v>890</v>
          </cell>
        </row>
        <row r="3743">
          <cell r="A3743" t="str">
            <v>QL1111-L</v>
          </cell>
          <cell r="B3743" t="str">
            <v>QL1111</v>
          </cell>
          <cell r="C3743" t="str">
            <v>ซาติน แขนสั้นขาสี่ส่วน แมวฟ้า กุ๊นขอบ L (กปก) QC</v>
          </cell>
          <cell r="E3743">
            <v>0</v>
          </cell>
          <cell r="F3743">
            <v>890</v>
          </cell>
        </row>
        <row r="3744">
          <cell r="A3744" t="str">
            <v>QL1127-2XL</v>
          </cell>
          <cell r="B3744" t="str">
            <v>QL1127</v>
          </cell>
          <cell r="C3744" t="str">
            <v>ซาติน แขนสั้นขาสี่ส่วน สีรุ้ง พาสเทล 2XL (กปก) QC</v>
          </cell>
          <cell r="E3744">
            <v>0</v>
          </cell>
          <cell r="F3744">
            <v>890</v>
          </cell>
        </row>
        <row r="3745">
          <cell r="A3745" t="str">
            <v>QL1129-2XL</v>
          </cell>
          <cell r="B3745" t="str">
            <v>QL1129</v>
          </cell>
          <cell r="C3745" t="str">
            <v>ซาติน แขนสั้นขาสี่ส่วน ดอกไม้กาสะลอง พื้นดำ (กปก) 2XL QC</v>
          </cell>
          <cell r="E3745">
            <v>0</v>
          </cell>
          <cell r="F3745">
            <v>890</v>
          </cell>
        </row>
        <row r="3746">
          <cell r="A3746" t="str">
            <v>QL1129-L</v>
          </cell>
          <cell r="B3746" t="str">
            <v>QL1129</v>
          </cell>
          <cell r="C3746" t="str">
            <v>ซาติน แขนสั้นขาสี่ส่วน ดอกไม้กาสะลอง พื้นดำ (กปก) L QC</v>
          </cell>
          <cell r="E3746">
            <v>0</v>
          </cell>
          <cell r="F3746">
            <v>890</v>
          </cell>
        </row>
        <row r="3747">
          <cell r="A3747" t="str">
            <v>QL1129-M</v>
          </cell>
          <cell r="B3747" t="str">
            <v>QL1129</v>
          </cell>
          <cell r="C3747" t="str">
            <v>ซาติน แขนสั้นขาสี่ส่วน ดอกไม้กาสะลอง พื้นดำ (กปก) M QC</v>
          </cell>
          <cell r="E3747">
            <v>0</v>
          </cell>
          <cell r="F3747">
            <v>890</v>
          </cell>
        </row>
        <row r="3748">
          <cell r="A3748" t="str">
            <v>QL1129-XL</v>
          </cell>
          <cell r="B3748" t="str">
            <v>QL1129</v>
          </cell>
          <cell r="C3748" t="str">
            <v>ซาติน แขนสั้นขาสี่ส่วน ดอกไม้กาสะลอง พื้นดำ (กปก) XL QC</v>
          </cell>
          <cell r="E3748">
            <v>0</v>
          </cell>
          <cell r="F3748">
            <v>890</v>
          </cell>
        </row>
        <row r="3749">
          <cell r="A3749" t="str">
            <v>QL1130-2XL</v>
          </cell>
          <cell r="B3749" t="str">
            <v>QL1130</v>
          </cell>
          <cell r="C3749" t="str">
            <v>ซาติน แขนสั้นขาสี่ส่วน นกกระยาง พื้นฟ้า (กปก) 2XL QC</v>
          </cell>
          <cell r="E3749">
            <v>0</v>
          </cell>
          <cell r="F3749">
            <v>890</v>
          </cell>
        </row>
        <row r="3750">
          <cell r="A3750" t="str">
            <v>QL1130-M</v>
          </cell>
          <cell r="B3750" t="str">
            <v>QL1130</v>
          </cell>
          <cell r="C3750" t="str">
            <v>ซาติน แขนสั้นขาสี่ส่วน นกกระยาง พื้นฟ้า (กปก) M QC</v>
          </cell>
          <cell r="E3750">
            <v>0</v>
          </cell>
          <cell r="F3750">
            <v>890</v>
          </cell>
        </row>
        <row r="3751">
          <cell r="A3751" t="str">
            <v>QL1133-M</v>
          </cell>
          <cell r="B3751" t="str">
            <v>QL1133</v>
          </cell>
          <cell r="C3751" t="str">
            <v>ซาติน แขนสั้นขาสี่ส่วน แมว ชมพู กุ้นชอบขาว (กปก) M QC</v>
          </cell>
          <cell r="E3751">
            <v>0</v>
          </cell>
          <cell r="F3751">
            <v>890</v>
          </cell>
        </row>
        <row r="3752">
          <cell r="A3752" t="str">
            <v>QL1134-2XL</v>
          </cell>
          <cell r="B3752" t="str">
            <v>QL1134</v>
          </cell>
          <cell r="C3752" t="str">
            <v>ซาติน แขนสั้นขาสี่ส่วน น้องแมว พื้นครีม (กปก) 2XL QC</v>
          </cell>
          <cell r="E3752">
            <v>0</v>
          </cell>
          <cell r="F3752">
            <v>890</v>
          </cell>
        </row>
        <row r="3753">
          <cell r="A3753" t="str">
            <v>QL1134-L</v>
          </cell>
          <cell r="B3753" t="str">
            <v>QL1134</v>
          </cell>
          <cell r="C3753" t="str">
            <v>ซาติน แขนสั้นขาสี่ส่วน น้องแมว พื้นครีม (กปก) L QC</v>
          </cell>
          <cell r="E3753">
            <v>0</v>
          </cell>
          <cell r="F3753">
            <v>890</v>
          </cell>
        </row>
        <row r="3754">
          <cell r="A3754" t="str">
            <v>QL1134-M</v>
          </cell>
          <cell r="B3754" t="str">
            <v>QL1134</v>
          </cell>
          <cell r="C3754" t="str">
            <v>ซาติน แขนสั้นขาสี่ส่วน น้องแมว พื้นครีม (กปก) M QC</v>
          </cell>
          <cell r="E3754">
            <v>0</v>
          </cell>
          <cell r="F3754">
            <v>890</v>
          </cell>
        </row>
        <row r="3755">
          <cell r="A3755" t="str">
            <v>QL1134-XL</v>
          </cell>
          <cell r="B3755" t="str">
            <v>QL1134</v>
          </cell>
          <cell r="C3755" t="str">
            <v>ซาติน แขนสั้นขาสี่ส่วน น้องแมว พื้นครีม (กปก) XL QC</v>
          </cell>
          <cell r="E3755">
            <v>0</v>
          </cell>
          <cell r="F3755">
            <v>890</v>
          </cell>
        </row>
        <row r="3756">
          <cell r="A3756" t="str">
            <v>QL1149-2XL</v>
          </cell>
          <cell r="B3756" t="str">
            <v>QL1149</v>
          </cell>
          <cell r="C3756" t="str">
            <v>ซาติน แขนสั้นขาสี่ส่วน 12 ราศี พื้นกรม 2XL QC</v>
          </cell>
          <cell r="E3756">
            <v>0</v>
          </cell>
          <cell r="F3756">
            <v>890</v>
          </cell>
        </row>
        <row r="3757">
          <cell r="A3757" t="str">
            <v>QL1149-XL</v>
          </cell>
          <cell r="B3757" t="str">
            <v>QL1149</v>
          </cell>
          <cell r="C3757" t="str">
            <v>ซาติน แขนสั้นขาสี่ส่วน 12 ราศี พื้นกรม XL QC</v>
          </cell>
          <cell r="E3757">
            <v>0</v>
          </cell>
          <cell r="F3757">
            <v>890</v>
          </cell>
        </row>
        <row r="3758">
          <cell r="A3758" t="str">
            <v>QL1150-L</v>
          </cell>
          <cell r="B3758" t="str">
            <v>QL1150</v>
          </cell>
          <cell r="C3758" t="str">
            <v>ซาติน แขนสั้นขาสี่ส่วน 12 ราศี พื้นเขียว L QC</v>
          </cell>
          <cell r="E3758">
            <v>0</v>
          </cell>
          <cell r="F3758">
            <v>890</v>
          </cell>
        </row>
        <row r="3759">
          <cell r="A3759" t="str">
            <v>QL1156-2XL</v>
          </cell>
          <cell r="B3759" t="str">
            <v>QL1156</v>
          </cell>
          <cell r="C3759" t="str">
            <v>ซาติน แขนสั้นขาสี่ส่วน Beautiful Women White 2XL (กปก) QC</v>
          </cell>
          <cell r="E3759">
            <v>0</v>
          </cell>
          <cell r="F3759">
            <v>890</v>
          </cell>
        </row>
        <row r="3760">
          <cell r="A3760" t="str">
            <v>QL1156-L</v>
          </cell>
          <cell r="B3760" t="str">
            <v>QL1156</v>
          </cell>
          <cell r="C3760" t="str">
            <v>ซาติน แขนสั้นขาสี่ส่วน Beautiful Women White L (กปก) QC</v>
          </cell>
          <cell r="E3760">
            <v>0</v>
          </cell>
          <cell r="F3760">
            <v>890</v>
          </cell>
        </row>
        <row r="3761">
          <cell r="A3761" t="str">
            <v>QL1156-M</v>
          </cell>
          <cell r="B3761" t="str">
            <v>QL1156</v>
          </cell>
          <cell r="C3761" t="str">
            <v>ซาติน แขนสั้นขาสี่ส่วน Beautiful Women White M (กปก) QC</v>
          </cell>
          <cell r="E3761">
            <v>0</v>
          </cell>
          <cell r="F3761">
            <v>890</v>
          </cell>
        </row>
        <row r="3762">
          <cell r="A3762" t="str">
            <v>QL1156-XL</v>
          </cell>
          <cell r="B3762" t="str">
            <v>QL1156</v>
          </cell>
          <cell r="C3762" t="str">
            <v>ซาติน แขนสั้นขาสี่ส่วน Beautiful Women White XL (กปก) QC</v>
          </cell>
          <cell r="E3762">
            <v>0</v>
          </cell>
          <cell r="F3762">
            <v>890</v>
          </cell>
        </row>
        <row r="3763">
          <cell r="A3763" t="str">
            <v>QL1157-XL</v>
          </cell>
          <cell r="B3763" t="str">
            <v>QL1157</v>
          </cell>
          <cell r="C3763" t="str">
            <v>ซาติน แขนสั้นขาสี่ส่วน ฟอนท์อังกฤษ พื้นขาว XL (กปก) QC</v>
          </cell>
          <cell r="E3763">
            <v>0</v>
          </cell>
          <cell r="F3763">
            <v>890</v>
          </cell>
        </row>
        <row r="3764">
          <cell r="A3764" t="str">
            <v>QL1158-2XL</v>
          </cell>
          <cell r="B3764" t="str">
            <v>QL1158</v>
          </cell>
          <cell r="C3764" t="str">
            <v>ซาติน แขนสั้นขาสี่ส่วน Beautiful Women Pink 2XL (กปก) QC</v>
          </cell>
          <cell r="E3764">
            <v>0</v>
          </cell>
          <cell r="F3764">
            <v>890</v>
          </cell>
        </row>
        <row r="3765">
          <cell r="A3765" t="str">
            <v>QL1158-XL</v>
          </cell>
          <cell r="B3765" t="str">
            <v>QL1158</v>
          </cell>
          <cell r="C3765" t="str">
            <v>ซาติน แขนสั้นขาสี่ส่วน Beautiful Women Pink XL (กปก) QC</v>
          </cell>
          <cell r="E3765">
            <v>0</v>
          </cell>
          <cell r="F3765">
            <v>890</v>
          </cell>
        </row>
        <row r="3766">
          <cell r="A3766" t="str">
            <v>QL1159-L</v>
          </cell>
          <cell r="B3766" t="str">
            <v>QL1159</v>
          </cell>
          <cell r="C3766" t="str">
            <v>ซาติน แขนสั้นขาสี่ส่วน Violet Rose พื้นเขียวมินท์ L (กปก) QC</v>
          </cell>
          <cell r="E3766">
            <v>0</v>
          </cell>
          <cell r="F3766">
            <v>890</v>
          </cell>
        </row>
        <row r="3767">
          <cell r="A3767" t="str">
            <v>QL1160-M</v>
          </cell>
          <cell r="B3767" t="str">
            <v>QL1160</v>
          </cell>
          <cell r="C3767" t="str">
            <v>ซาติน แขนสั้นขาสี่ส่วน Muslin Yellow (กปก) M QC</v>
          </cell>
          <cell r="E3767">
            <v>0</v>
          </cell>
          <cell r="F3767">
            <v>890</v>
          </cell>
        </row>
        <row r="3768">
          <cell r="A3768" t="str">
            <v>QL1161-XL</v>
          </cell>
          <cell r="B3768" t="str">
            <v>QL1161</v>
          </cell>
          <cell r="C3768" t="str">
            <v>ซาติน แขนสั้นขาสี่ส่วน Muslin Light Blue (กปก) XL QC</v>
          </cell>
          <cell r="E3768">
            <v>0</v>
          </cell>
          <cell r="F3768">
            <v>890</v>
          </cell>
        </row>
        <row r="3769">
          <cell r="A3769" t="str">
            <v>QL1168-XL</v>
          </cell>
          <cell r="B3769" t="str">
            <v>QL1168</v>
          </cell>
          <cell r="C3769" t="str">
            <v>ซาติน แขนสั้นขาสี่ส่วน Mini Cute เขียวขาว XL (กปก) QC</v>
          </cell>
          <cell r="E3769">
            <v>0</v>
          </cell>
          <cell r="F3769">
            <v>890</v>
          </cell>
        </row>
        <row r="3770">
          <cell r="A3770" t="str">
            <v>QL1170-2XL</v>
          </cell>
          <cell r="B3770" t="str">
            <v>QL1170</v>
          </cell>
          <cell r="C3770" t="str">
            <v>ซาติน แขนสั้นขาสี่ส่วน Mini Cute โอโรสขาว 2XL (กปก) QC</v>
          </cell>
          <cell r="E3770">
            <v>0</v>
          </cell>
          <cell r="F3770">
            <v>890</v>
          </cell>
        </row>
        <row r="3771">
          <cell r="A3771" t="str">
            <v>QL1170-XL</v>
          </cell>
          <cell r="B3771" t="str">
            <v>QL1170</v>
          </cell>
          <cell r="C3771" t="str">
            <v>ซาติน แขนสั้นขาสี่ส่วน Mini Cute โอโรสขาว XL (กปก) QC</v>
          </cell>
          <cell r="E3771">
            <v>0</v>
          </cell>
          <cell r="F3771">
            <v>890</v>
          </cell>
        </row>
        <row r="3772">
          <cell r="A3772" t="str">
            <v>QL1175-2XL</v>
          </cell>
          <cell r="B3772" t="str">
            <v>QL1175</v>
          </cell>
          <cell r="C3772" t="str">
            <v>ซาติน แขนสั้นขาสี่ส่วน กวางน้อย พื้นขาว ปกเทา 2XL  (กปก) QC</v>
          </cell>
          <cell r="E3772">
            <v>0</v>
          </cell>
          <cell r="F3772">
            <v>890</v>
          </cell>
        </row>
        <row r="3773">
          <cell r="A3773" t="str">
            <v>QL1175-L</v>
          </cell>
          <cell r="B3773" t="str">
            <v>QL1175</v>
          </cell>
          <cell r="C3773" t="str">
            <v>ซาติน แขนสั้นขาสี่ส่วน กวางน้อย พื้นขาว ปกเทา L (กปก) QC</v>
          </cell>
          <cell r="E3773">
            <v>0</v>
          </cell>
          <cell r="F3773">
            <v>890</v>
          </cell>
        </row>
        <row r="3774">
          <cell r="A3774" t="str">
            <v>QL1175-M</v>
          </cell>
          <cell r="B3774" t="str">
            <v>QL1175</v>
          </cell>
          <cell r="C3774" t="str">
            <v>ซาติน แขนสั้นขาสี่ส่วน กวางน้อย พื้นขาว ปกเทา M (กปก) QC</v>
          </cell>
          <cell r="E3774">
            <v>0</v>
          </cell>
          <cell r="F3774">
            <v>890</v>
          </cell>
        </row>
        <row r="3775">
          <cell r="A3775" t="str">
            <v>QL1175-XL</v>
          </cell>
          <cell r="B3775" t="str">
            <v>QL1175</v>
          </cell>
          <cell r="C3775" t="str">
            <v>ซาติน แขนสั้นขาสี่ส่วน กวางน้อย พื้นขาว ปกเทา XL (กปก) QC</v>
          </cell>
          <cell r="E3775">
            <v>0</v>
          </cell>
          <cell r="F3775">
            <v>890</v>
          </cell>
        </row>
        <row r="3776">
          <cell r="A3776" t="str">
            <v>QL1189-2XL</v>
          </cell>
          <cell r="B3776" t="str">
            <v>QL1189</v>
          </cell>
          <cell r="C3776" t="str">
            <v>ซาติน แขนสั้นขาสี่ส่วน เสือดาว พื้นน้ำเงิน (กปก) 2XL QC</v>
          </cell>
          <cell r="E3776">
            <v>0</v>
          </cell>
          <cell r="F3776">
            <v>890</v>
          </cell>
        </row>
        <row r="3777">
          <cell r="A3777" t="str">
            <v>QL1189-3XL</v>
          </cell>
          <cell r="B3777" t="str">
            <v>QL1189</v>
          </cell>
          <cell r="C3777" t="str">
            <v>ซาติน แขนสั้นขาสี่ส่วน เสือดาว พื้นน้ำเงิน (กปก) 3XL QC</v>
          </cell>
          <cell r="E3777">
            <v>0</v>
          </cell>
          <cell r="F3777">
            <v>890</v>
          </cell>
        </row>
        <row r="3778">
          <cell r="A3778" t="str">
            <v>QL1189-L</v>
          </cell>
          <cell r="B3778" t="str">
            <v>QL1189</v>
          </cell>
          <cell r="C3778" t="str">
            <v>ซาติน แขนสั้นขาสี่ส่วน เสือดาว พื้นน้ำเงิน (กปก) L QC</v>
          </cell>
          <cell r="E3778">
            <v>0</v>
          </cell>
          <cell r="F3778">
            <v>890</v>
          </cell>
        </row>
        <row r="3779">
          <cell r="A3779" t="str">
            <v>QL1189-M</v>
          </cell>
          <cell r="B3779" t="str">
            <v>QL1189</v>
          </cell>
          <cell r="C3779" t="str">
            <v>ซาติน แขนสั้นขาสี่ส่วน เสือดาว พื้นน้ำเงิน (กปก) M QC</v>
          </cell>
          <cell r="E3779">
            <v>0</v>
          </cell>
          <cell r="F3779">
            <v>890</v>
          </cell>
        </row>
        <row r="3780">
          <cell r="A3780" t="str">
            <v>QL1189-XL</v>
          </cell>
          <cell r="B3780" t="str">
            <v>QL1189</v>
          </cell>
          <cell r="C3780" t="str">
            <v>ซาติน แขนสั้นขาสี่ส่วน เสือดาว พื้นน้ำเงิน (กปก) XL QC</v>
          </cell>
          <cell r="E3780">
            <v>0</v>
          </cell>
          <cell r="F3780">
            <v>890</v>
          </cell>
        </row>
        <row r="3781">
          <cell r="A3781" t="str">
            <v>QL1208-M</v>
          </cell>
          <cell r="B3781" t="str">
            <v>QL1208</v>
          </cell>
          <cell r="C3781" t="str">
            <v>ซาติน แขนสั้นขาสี่ส่วน Tiger flower พื้นดำ (กปก) M QC</v>
          </cell>
          <cell r="E3781">
            <v>0</v>
          </cell>
          <cell r="F3781">
            <v>890</v>
          </cell>
        </row>
        <row r="3782">
          <cell r="A3782" t="str">
            <v>QL1220-M</v>
          </cell>
          <cell r="B3782" t="str">
            <v>QL1220</v>
          </cell>
          <cell r="C3782" t="str">
            <v>ซาติน แขนสั้นขาสี่ส่วน อิฐบ็อกเหลือง M (กปก) QC</v>
          </cell>
          <cell r="E3782">
            <v>0</v>
          </cell>
          <cell r="F3782">
            <v>890</v>
          </cell>
        </row>
        <row r="3783">
          <cell r="A3783" t="str">
            <v>QL1221-3XL</v>
          </cell>
          <cell r="B3783" t="str">
            <v>QL1221</v>
          </cell>
          <cell r="C3783" t="str">
            <v>ซาติน แขนสั้นขาสั้น เสือส้ม พื้นชมพู 3XL QC</v>
          </cell>
          <cell r="E3783">
            <v>0</v>
          </cell>
          <cell r="F3783">
            <v>890</v>
          </cell>
        </row>
        <row r="3784">
          <cell r="A3784" t="str">
            <v>QL1221-M</v>
          </cell>
          <cell r="B3784" t="str">
            <v>QL1221</v>
          </cell>
          <cell r="C3784" t="str">
            <v>ซาติน แขนสั้นขาสี่ส่วน เสือส้ม พื้นชมพู M QC</v>
          </cell>
          <cell r="E3784">
            <v>0</v>
          </cell>
          <cell r="F3784">
            <v>890</v>
          </cell>
        </row>
        <row r="3785">
          <cell r="A3785" t="str">
            <v>QM0002-120</v>
          </cell>
          <cell r="B3785" t="str">
            <v>QM2</v>
          </cell>
          <cell r="C3785" t="str">
            <v>ซาติน แขนยาวขายาว Totoro พื้นฟ้า เด็ก 120 หลุด QC</v>
          </cell>
          <cell r="E3785">
            <v>0</v>
          </cell>
          <cell r="F3785">
            <v>790</v>
          </cell>
        </row>
        <row r="3786">
          <cell r="A3786" t="str">
            <v>QM0002-140</v>
          </cell>
          <cell r="B3786" t="str">
            <v>QM2</v>
          </cell>
          <cell r="C3786" t="str">
            <v>ซาติน แขนยาวขายาว Totoro พื้นฟ้า เด็ก 140 QC</v>
          </cell>
          <cell r="E3786">
            <v>0</v>
          </cell>
          <cell r="F3786">
            <v>790</v>
          </cell>
        </row>
        <row r="3787">
          <cell r="A3787" t="str">
            <v>QM0005-120</v>
          </cell>
          <cell r="B3787" t="str">
            <v>QM5</v>
          </cell>
          <cell r="C3787" t="str">
            <v>ซาติน แขนสั้นขายาว Totoro พื้นฟ้า เด็ก 120 QC</v>
          </cell>
          <cell r="E3787">
            <v>0</v>
          </cell>
          <cell r="F3787">
            <v>750</v>
          </cell>
        </row>
        <row r="3788">
          <cell r="A3788" t="str">
            <v>QM0006-120</v>
          </cell>
          <cell r="B3788" t="str">
            <v>QM6</v>
          </cell>
          <cell r="C3788" t="str">
            <v>ซาติน แขนสั้นขายาว Totoro พื้นชมพู เด็ก 120 หลุด QC</v>
          </cell>
          <cell r="E3788">
            <v>0</v>
          </cell>
          <cell r="F3788">
            <v>750</v>
          </cell>
        </row>
        <row r="3789">
          <cell r="A3789" t="str">
            <v>QM0009-2XL</v>
          </cell>
          <cell r="B3789" t="str">
            <v>QM9</v>
          </cell>
          <cell r="C3789" t="str">
            <v>ซาติน แขนยาวขายาว Color FULL เด็ก 2XL หลุด QC</v>
          </cell>
          <cell r="E3789">
            <v>0</v>
          </cell>
          <cell r="F3789">
            <v>790</v>
          </cell>
        </row>
        <row r="3790">
          <cell r="A3790" t="str">
            <v>QM0009-L</v>
          </cell>
          <cell r="B3790" t="str">
            <v>QM9</v>
          </cell>
          <cell r="C3790" t="str">
            <v>ซาติน แขนยาวขายาว Color FULL เด็ก L หลุด QC</v>
          </cell>
          <cell r="E3790">
            <v>0</v>
          </cell>
          <cell r="F3790">
            <v>790</v>
          </cell>
        </row>
        <row r="3791">
          <cell r="A3791" t="str">
            <v>QM0009-M</v>
          </cell>
          <cell r="B3791" t="str">
            <v>QM9</v>
          </cell>
          <cell r="C3791" t="str">
            <v>ซาติน แขนยาวขายาว Color FULL เด็ก M หลุด QC</v>
          </cell>
          <cell r="E3791">
            <v>0</v>
          </cell>
          <cell r="F3791">
            <v>790</v>
          </cell>
        </row>
        <row r="3792">
          <cell r="A3792" t="str">
            <v>QM0009-S</v>
          </cell>
          <cell r="B3792" t="str">
            <v>QM9</v>
          </cell>
          <cell r="C3792" t="str">
            <v>ซาติน แขนยาวขายาว Color FULL เด็ก S QC</v>
          </cell>
          <cell r="E3792">
            <v>0</v>
          </cell>
          <cell r="F3792">
            <v>790</v>
          </cell>
        </row>
        <row r="3793">
          <cell r="A3793" t="str">
            <v>QM0009-XL</v>
          </cell>
          <cell r="B3793" t="str">
            <v>QM9</v>
          </cell>
          <cell r="C3793" t="str">
            <v>ซาติน แขนยาวขายาว Color FULL เด็ก XL QC</v>
          </cell>
          <cell r="E3793">
            <v>0</v>
          </cell>
          <cell r="F3793">
            <v>790</v>
          </cell>
        </row>
        <row r="3794">
          <cell r="A3794" t="str">
            <v>QM0010-2XL</v>
          </cell>
          <cell r="B3794" t="str">
            <v>QM10</v>
          </cell>
          <cell r="C3794" t="str">
            <v>ซาติน แขนสั้นขายาว ผักรวม พื้นชมพู เด็ก 2XL หลุด QC</v>
          </cell>
          <cell r="E3794">
            <v>0</v>
          </cell>
          <cell r="F3794">
            <v>750</v>
          </cell>
        </row>
        <row r="3795">
          <cell r="A3795" t="str">
            <v>QM0010-L</v>
          </cell>
          <cell r="B3795" t="str">
            <v>QM10</v>
          </cell>
          <cell r="C3795" t="str">
            <v>ซาติน แขนสั้นขายาว ผักรวม พื้นชมพู เด็ก L หลุด QC</v>
          </cell>
          <cell r="E3795">
            <v>0</v>
          </cell>
          <cell r="F3795">
            <v>750</v>
          </cell>
        </row>
        <row r="3796">
          <cell r="A3796" t="str">
            <v>QM0010-M</v>
          </cell>
          <cell r="B3796" t="str">
            <v>QM10</v>
          </cell>
          <cell r="C3796" t="str">
            <v>ซาติน แขนสั้นขายาว ผักรวม พื้นชมพู เด็ก M หลุด QC</v>
          </cell>
          <cell r="E3796">
            <v>0</v>
          </cell>
          <cell r="F3796">
            <v>750</v>
          </cell>
        </row>
        <row r="3797">
          <cell r="A3797" t="str">
            <v>QM0010-S</v>
          </cell>
          <cell r="B3797" t="str">
            <v>QM10</v>
          </cell>
          <cell r="C3797" t="str">
            <v>ซาติน แขนสั้นขายาว ผักรวม พื้นชมพู เด็ก S หลุด QC</v>
          </cell>
          <cell r="E3797">
            <v>0</v>
          </cell>
          <cell r="F3797">
            <v>750</v>
          </cell>
        </row>
        <row r="3798">
          <cell r="A3798" t="str">
            <v>QM0010-XL</v>
          </cell>
          <cell r="B3798" t="str">
            <v>QM10</v>
          </cell>
          <cell r="C3798" t="str">
            <v>ซาติน แขนสั้นขายาว ผักรวม พื้นชมพู เด็ก XL หลุด QC</v>
          </cell>
          <cell r="E3798">
            <v>0</v>
          </cell>
          <cell r="F3798">
            <v>750</v>
          </cell>
        </row>
        <row r="3799">
          <cell r="A3799" t="str">
            <v>QM0013-2XL</v>
          </cell>
          <cell r="B3799" t="str">
            <v>QM13</v>
          </cell>
          <cell r="C3799" t="str">
            <v>ซาติน แขนสั้นขายาว แพนกวินรวม พื้นเขียว เด็ก 2XL หลุด QC</v>
          </cell>
          <cell r="E3799">
            <v>0</v>
          </cell>
          <cell r="F3799">
            <v>750</v>
          </cell>
        </row>
        <row r="3800">
          <cell r="A3800" t="str">
            <v>QM0013-L</v>
          </cell>
          <cell r="B3800" t="str">
            <v>QM13</v>
          </cell>
          <cell r="C3800" t="str">
            <v>ซาติน แขนสั้นขายาว แพนกวินรวม พื้นเขียว เด็ก L หลุด QC</v>
          </cell>
          <cell r="E3800">
            <v>0</v>
          </cell>
          <cell r="F3800">
            <v>750</v>
          </cell>
        </row>
        <row r="3801">
          <cell r="A3801" t="str">
            <v>QM0013-M</v>
          </cell>
          <cell r="B3801" t="str">
            <v>QM13</v>
          </cell>
          <cell r="C3801" t="str">
            <v>ซาติน แขนสั้นขายาว แพนกวินรวม พื้นเขียว เด็ก M หลุด QC</v>
          </cell>
          <cell r="E3801">
            <v>0</v>
          </cell>
          <cell r="F3801">
            <v>750</v>
          </cell>
        </row>
        <row r="3802">
          <cell r="A3802" t="str">
            <v>QM0013-S</v>
          </cell>
          <cell r="B3802" t="str">
            <v>QM13</v>
          </cell>
          <cell r="C3802" t="str">
            <v>ซาติน แขนสั้นขายาว แพนกวินรวม พื้นเขียว เด็ก S หลุด QC</v>
          </cell>
          <cell r="E3802">
            <v>0</v>
          </cell>
          <cell r="F3802">
            <v>750</v>
          </cell>
        </row>
        <row r="3803">
          <cell r="A3803" t="str">
            <v>QM0013-XL</v>
          </cell>
          <cell r="B3803" t="str">
            <v>QM13</v>
          </cell>
          <cell r="C3803" t="str">
            <v>ซาติน แขนสั้นขายาว แพนกวินรวม พื้นเขียว เด็ก XL หลุด QC</v>
          </cell>
          <cell r="E3803">
            <v>0</v>
          </cell>
          <cell r="F3803">
            <v>750</v>
          </cell>
        </row>
        <row r="3804">
          <cell r="A3804" t="str">
            <v>QM0017-2XL</v>
          </cell>
          <cell r="B3804" t="str">
            <v>QM17</v>
          </cell>
          <cell r="C3804" t="str">
            <v>ซาติน แขนยาวขายาว แพนกวินรวม พื้นเขียว เด็ก 2XL หลุด QC</v>
          </cell>
          <cell r="E3804">
            <v>0</v>
          </cell>
          <cell r="F3804">
            <v>790</v>
          </cell>
        </row>
        <row r="3805">
          <cell r="A3805" t="str">
            <v>QM0017-L</v>
          </cell>
          <cell r="B3805" t="str">
            <v>QM17</v>
          </cell>
          <cell r="C3805" t="str">
            <v>ซาติน แขนยาวขายาว แพนกวินรวม พื้นเขียว เด็ก L หลุด QC</v>
          </cell>
          <cell r="E3805">
            <v>0</v>
          </cell>
          <cell r="F3805">
            <v>790</v>
          </cell>
        </row>
        <row r="3806">
          <cell r="A3806" t="str">
            <v>QM0017-M</v>
          </cell>
          <cell r="B3806" t="str">
            <v>QM17</v>
          </cell>
          <cell r="C3806" t="str">
            <v>ซาติน แขนยาวขายาว แพนกวินรวม พื้นเขียว เด็ก M QC</v>
          </cell>
          <cell r="E3806">
            <v>0</v>
          </cell>
          <cell r="F3806">
            <v>790</v>
          </cell>
        </row>
        <row r="3807">
          <cell r="A3807" t="str">
            <v>QM0017-S</v>
          </cell>
          <cell r="B3807" t="str">
            <v>QM17</v>
          </cell>
          <cell r="C3807" t="str">
            <v>ซาติน แขนยาวขายาว แพนกวินรวม พื้นเขียว เด็ก S QC</v>
          </cell>
          <cell r="E3807">
            <v>0</v>
          </cell>
          <cell r="F3807">
            <v>790</v>
          </cell>
        </row>
        <row r="3808">
          <cell r="A3808" t="str">
            <v>QM0017-XL</v>
          </cell>
          <cell r="B3808" t="str">
            <v>QM17</v>
          </cell>
          <cell r="C3808" t="str">
            <v>ซาติน แขนยาวขายาว แพนกวินรวม พื้นเขียว เด็ก XL QC</v>
          </cell>
          <cell r="E3808">
            <v>0</v>
          </cell>
          <cell r="F3808">
            <v>790</v>
          </cell>
        </row>
        <row r="3809">
          <cell r="A3809" t="str">
            <v>QM0018-2XL</v>
          </cell>
          <cell r="B3809" t="str">
            <v>QM18</v>
          </cell>
          <cell r="C3809" t="str">
            <v>ซาติน แขนยาวขายาว ผักรวม พื้นชมพู เด็ก 2XL หลุด QC</v>
          </cell>
          <cell r="E3809">
            <v>0</v>
          </cell>
          <cell r="F3809">
            <v>790</v>
          </cell>
        </row>
        <row r="3810">
          <cell r="A3810" t="str">
            <v>QM0018-L</v>
          </cell>
          <cell r="B3810" t="str">
            <v>QM18</v>
          </cell>
          <cell r="C3810" t="str">
            <v>ซาติน แขนยาวขายาว ผักรวม พื้นชมพู เด็ก L หลุด QC</v>
          </cell>
          <cell r="E3810">
            <v>0</v>
          </cell>
          <cell r="F3810">
            <v>790</v>
          </cell>
        </row>
        <row r="3811">
          <cell r="A3811" t="str">
            <v>QM0018-M</v>
          </cell>
          <cell r="B3811" t="str">
            <v>QM18</v>
          </cell>
          <cell r="C3811" t="str">
            <v>ซาติน แขนยาวขายาว ผักรวม พื้นชมพู เด็ก M QC</v>
          </cell>
          <cell r="E3811">
            <v>0</v>
          </cell>
          <cell r="F3811">
            <v>790</v>
          </cell>
        </row>
        <row r="3812">
          <cell r="A3812" t="str">
            <v>QM0018-S</v>
          </cell>
          <cell r="B3812" t="str">
            <v>QM18</v>
          </cell>
          <cell r="C3812" t="str">
            <v>ซาติน แขนยาวขายาว ผักรวม พื้นชมพู เด็ก S QC</v>
          </cell>
          <cell r="E3812">
            <v>0</v>
          </cell>
          <cell r="F3812">
            <v>790</v>
          </cell>
        </row>
        <row r="3813">
          <cell r="A3813" t="str">
            <v>QM0018-XL</v>
          </cell>
          <cell r="B3813" t="str">
            <v>QM18</v>
          </cell>
          <cell r="C3813" t="str">
            <v>ซาติน แขนยาวขายาว ผักรวม พื้นชมพู เด็ก XL หลุด QC</v>
          </cell>
          <cell r="E3813">
            <v>0</v>
          </cell>
          <cell r="F3813">
            <v>790</v>
          </cell>
        </row>
        <row r="3814">
          <cell r="A3814" t="str">
            <v>QM0019-2XL</v>
          </cell>
          <cell r="B3814" t="str">
            <v>QM19</v>
          </cell>
          <cell r="C3814" t="str">
            <v>ซาติน แขนยาวขายาว แมวรวม พื้นดำ เด็ก 2XL หลุด QC</v>
          </cell>
          <cell r="E3814">
            <v>0</v>
          </cell>
          <cell r="F3814">
            <v>790</v>
          </cell>
        </row>
        <row r="3815">
          <cell r="A3815" t="str">
            <v>QM0019-L</v>
          </cell>
          <cell r="B3815" t="str">
            <v>QM19</v>
          </cell>
          <cell r="C3815" t="str">
            <v>ซาติน แขนยาวขายาว แมวรวม พื้นดำ เด็ก L หลุด QC</v>
          </cell>
          <cell r="E3815">
            <v>0</v>
          </cell>
          <cell r="F3815">
            <v>790</v>
          </cell>
        </row>
        <row r="3816">
          <cell r="A3816" t="str">
            <v>QM0019-M</v>
          </cell>
          <cell r="B3816" t="str">
            <v>QM19</v>
          </cell>
          <cell r="C3816" t="str">
            <v>ซาติน แขนยาวขายาว แมวรวม พื้นดำ เด็ก M หลุด QC</v>
          </cell>
          <cell r="E3816">
            <v>0</v>
          </cell>
          <cell r="F3816">
            <v>790</v>
          </cell>
        </row>
        <row r="3817">
          <cell r="A3817" t="str">
            <v>QM0019-S</v>
          </cell>
          <cell r="B3817" t="str">
            <v>QM19</v>
          </cell>
          <cell r="C3817" t="str">
            <v>ซาติน แขนยาวขายาว แมวรวม พื้นดำ เด็ก S หลุด QC</v>
          </cell>
          <cell r="E3817">
            <v>0</v>
          </cell>
          <cell r="F3817">
            <v>790</v>
          </cell>
        </row>
        <row r="3818">
          <cell r="A3818" t="str">
            <v>QM0019-XL</v>
          </cell>
          <cell r="B3818" t="str">
            <v>QM19</v>
          </cell>
          <cell r="C3818" t="str">
            <v>ซาติน แขนยาวขายาว แมวรวม พื้นดำ เด็ก XL หลุด QC</v>
          </cell>
          <cell r="E3818">
            <v>0</v>
          </cell>
          <cell r="F3818">
            <v>790</v>
          </cell>
        </row>
        <row r="3819">
          <cell r="A3819" t="str">
            <v>QM0021-L</v>
          </cell>
          <cell r="B3819" t="str">
            <v>QM21</v>
          </cell>
          <cell r="C3819" t="str">
            <v>ซาติน แขนสั้นขาสั้น ปีกัสโซ่ เด็ก L หลุด QC</v>
          </cell>
          <cell r="E3819">
            <v>0</v>
          </cell>
          <cell r="F3819">
            <v>690</v>
          </cell>
        </row>
        <row r="3820">
          <cell r="A3820" t="str">
            <v>QM0021-M</v>
          </cell>
          <cell r="B3820" t="str">
            <v>QM21</v>
          </cell>
          <cell r="C3820" t="str">
            <v>ซาติน แขนสั้นขาสั้น ปีกัสโซ่ เด็ก M QC</v>
          </cell>
          <cell r="E3820">
            <v>0</v>
          </cell>
          <cell r="F3820">
            <v>690</v>
          </cell>
        </row>
        <row r="3821">
          <cell r="A3821" t="str">
            <v>QM0021-S</v>
          </cell>
          <cell r="B3821" t="str">
            <v>QM21</v>
          </cell>
          <cell r="C3821" t="str">
            <v>ซาติน แขนสั้นขาสั้น ปีกัสโซ่ เด็ก S หลุด QC</v>
          </cell>
          <cell r="E3821">
            <v>0</v>
          </cell>
          <cell r="F3821">
            <v>690</v>
          </cell>
        </row>
        <row r="3822">
          <cell r="A3822" t="str">
            <v>QN0005-XL</v>
          </cell>
          <cell r="B3822" t="str">
            <v>QN5</v>
          </cell>
          <cell r="C3822" t="str">
            <v>[AE]   ซาติน แขนสั้นขาสั้น pinkky cat (กปก) XL QC</v>
          </cell>
          <cell r="E3822">
            <v>0</v>
          </cell>
          <cell r="F3822">
            <v>790</v>
          </cell>
        </row>
        <row r="3823">
          <cell r="A3823" t="str">
            <v>QN0011-XL</v>
          </cell>
          <cell r="B3823" t="str">
            <v>QN11</v>
          </cell>
          <cell r="C3823" t="str">
            <v>ซาติน แขนสั้นขาสั้น Totoro ชมพู XL QC</v>
          </cell>
          <cell r="E3823">
            <v>0</v>
          </cell>
          <cell r="F3823">
            <v>790</v>
          </cell>
        </row>
        <row r="3824">
          <cell r="A3824" t="str">
            <v>QN0048-L</v>
          </cell>
          <cell r="B3824" t="str">
            <v>QN48</v>
          </cell>
          <cell r="C3824" t="str">
            <v>ซาติน แขนสั้นขาสั้น สีกรม ขอบชมพู L QC</v>
          </cell>
          <cell r="E3824">
            <v>0</v>
          </cell>
          <cell r="F3824">
            <v>790</v>
          </cell>
        </row>
        <row r="3825">
          <cell r="A3825" t="str">
            <v>QN0112-M</v>
          </cell>
          <cell r="B3825" t="str">
            <v>QN112</v>
          </cell>
          <cell r="C3825" t="str">
            <v>ซาติน แขนสั้นขาสั้น สีฟ้า ระบายชมพู M QC</v>
          </cell>
          <cell r="E3825">
            <v>0</v>
          </cell>
          <cell r="F3825">
            <v>790</v>
          </cell>
        </row>
        <row r="3826">
          <cell r="A3826" t="str">
            <v>QN0181-L</v>
          </cell>
          <cell r="B3826" t="str">
            <v>QN181</v>
          </cell>
          <cell r="C3826" t="str">
            <v>ซาติน แขนสั้นขาสั้น สีครีม ขอบเงิน L QC</v>
          </cell>
          <cell r="E3826">
            <v>0</v>
          </cell>
          <cell r="F3826">
            <v>790</v>
          </cell>
        </row>
        <row r="3827">
          <cell r="A3827" t="str">
            <v>QN0187-M</v>
          </cell>
          <cell r="B3827" t="str">
            <v>QN187</v>
          </cell>
          <cell r="C3827" t="str">
            <v>ซาตินแขนสั้นขาสั้น สีฟ้า ขอบชมพู M QC</v>
          </cell>
          <cell r="E3827">
            <v>0</v>
          </cell>
          <cell r="F3827">
            <v>790</v>
          </cell>
        </row>
        <row r="3828">
          <cell r="A3828" t="str">
            <v>QN0347-2XL</v>
          </cell>
          <cell r="B3828" t="str">
            <v>QN347</v>
          </cell>
          <cell r="C3828" t="str">
            <v>ซาติน แขนสั้นขาสั้น Coral Sea 2XL QC</v>
          </cell>
          <cell r="E3828">
            <v>0</v>
          </cell>
          <cell r="F3828">
            <v>790</v>
          </cell>
        </row>
        <row r="3829">
          <cell r="A3829" t="str">
            <v>QN0347-3XL</v>
          </cell>
          <cell r="B3829" t="str">
            <v>QN347</v>
          </cell>
          <cell r="C3829" t="str">
            <v>ซาติน แขนสั้นขาสั้น Coral Sea 3XL QC</v>
          </cell>
          <cell r="E3829">
            <v>0</v>
          </cell>
          <cell r="F3829">
            <v>790</v>
          </cell>
        </row>
        <row r="3830">
          <cell r="A3830" t="str">
            <v>QN0347-L</v>
          </cell>
          <cell r="B3830" t="str">
            <v>QN347</v>
          </cell>
          <cell r="C3830" t="str">
            <v>ซาติน แขนสั้นขาสั้น Coral Sea L QC</v>
          </cell>
          <cell r="E3830">
            <v>0</v>
          </cell>
          <cell r="F3830">
            <v>790</v>
          </cell>
        </row>
        <row r="3831">
          <cell r="A3831" t="str">
            <v>QN0347-M</v>
          </cell>
          <cell r="B3831" t="str">
            <v>QN347</v>
          </cell>
          <cell r="C3831" t="str">
            <v>ซาติน แขนสั้นขาสั้น Coral Sea M QC</v>
          </cell>
          <cell r="E3831">
            <v>0</v>
          </cell>
          <cell r="F3831">
            <v>790</v>
          </cell>
        </row>
        <row r="3832">
          <cell r="A3832" t="str">
            <v>QN0360-2XL</v>
          </cell>
          <cell r="B3832" t="str">
            <v>QN360</v>
          </cell>
          <cell r="C3832" t="str">
            <v>ซาติน แขนสั้นขาสั้น Comic book 2XL QC</v>
          </cell>
          <cell r="E3832">
            <v>0</v>
          </cell>
          <cell r="F3832">
            <v>790</v>
          </cell>
        </row>
        <row r="3833">
          <cell r="A3833" t="str">
            <v>QN0482-2XL</v>
          </cell>
          <cell r="B3833" t="str">
            <v>QN482</v>
          </cell>
          <cell r="C3833" t="str">
            <v>[AD]  ซาติน แขนสั้นขาสั้น Sleep Cat พื้นฟ้า 2XL QC</v>
          </cell>
          <cell r="E3833">
            <v>0</v>
          </cell>
          <cell r="F3833">
            <v>790</v>
          </cell>
        </row>
        <row r="3834">
          <cell r="A3834" t="str">
            <v>QN0482-L</v>
          </cell>
          <cell r="B3834" t="str">
            <v>QN482</v>
          </cell>
          <cell r="C3834" t="str">
            <v>ซาติน แขนสั้นขาสั้น Sleep Cat พื้นฟ้า L QC</v>
          </cell>
          <cell r="E3834">
            <v>0</v>
          </cell>
          <cell r="F3834">
            <v>790</v>
          </cell>
        </row>
        <row r="3835">
          <cell r="A3835" t="str">
            <v>QN0482-XL</v>
          </cell>
          <cell r="B3835" t="str">
            <v>QN482</v>
          </cell>
          <cell r="C3835" t="str">
            <v>ซาติน แขนสั้นขาสั้น Sleep Cat พื้นฟ้า XL QC</v>
          </cell>
          <cell r="E3835">
            <v>0</v>
          </cell>
          <cell r="F3835">
            <v>790</v>
          </cell>
        </row>
        <row r="3836">
          <cell r="A3836" t="str">
            <v>QN0490-3XL</v>
          </cell>
          <cell r="B3836" t="str">
            <v>QN490</v>
          </cell>
          <cell r="C3836" t="str">
            <v>ซาติน แขนสั้นขาสั้น Summer Tiger (มีกปก) 3XL QC</v>
          </cell>
          <cell r="E3836">
            <v>0</v>
          </cell>
          <cell r="F3836">
            <v>790</v>
          </cell>
        </row>
        <row r="3837">
          <cell r="A3837" t="str">
            <v>QN0490-L</v>
          </cell>
          <cell r="B3837" t="str">
            <v>QN490</v>
          </cell>
          <cell r="C3837" t="str">
            <v>ซาติน แขนสั้นขาสั้น Summer Tiger  (มีกปก) L QC</v>
          </cell>
          <cell r="E3837">
            <v>0</v>
          </cell>
          <cell r="F3837">
            <v>790</v>
          </cell>
        </row>
        <row r="3838">
          <cell r="A3838" t="str">
            <v>QN0490-M</v>
          </cell>
          <cell r="B3838" t="str">
            <v>QN490</v>
          </cell>
          <cell r="C3838" t="str">
            <v>ซาติน แขนสั้นขาสั้น Summer Tiger  (มีกปก) M QC</v>
          </cell>
          <cell r="E3838">
            <v>0</v>
          </cell>
          <cell r="F3838">
            <v>790</v>
          </cell>
        </row>
        <row r="3839">
          <cell r="A3839" t="str">
            <v>QN0490-XL</v>
          </cell>
          <cell r="B3839" t="str">
            <v>QN490</v>
          </cell>
          <cell r="C3839" t="str">
            <v>ซาติน แขนสั้นขาสั้น Summer Tiger  (มีกปก) XL QC</v>
          </cell>
          <cell r="E3839">
            <v>0</v>
          </cell>
          <cell r="F3839">
            <v>790</v>
          </cell>
        </row>
        <row r="3840">
          <cell r="A3840" t="str">
            <v>QN0494-L</v>
          </cell>
          <cell r="B3840" t="str">
            <v>QN494</v>
          </cell>
          <cell r="C3840" t="str">
            <v>ซาติน แขนสั้นขาสั้น Angel Bow L QC</v>
          </cell>
          <cell r="E3840">
            <v>0</v>
          </cell>
          <cell r="F3840">
            <v>790</v>
          </cell>
        </row>
        <row r="3841">
          <cell r="A3841" t="str">
            <v>QN0526-2XL</v>
          </cell>
          <cell r="B3841" t="str">
            <v>QN526</v>
          </cell>
          <cell r="C3841" t="str">
            <v>AA  ซาติน แขนสั้นขาสั้น Royal Art 2XL QC</v>
          </cell>
          <cell r="E3841">
            <v>0</v>
          </cell>
          <cell r="F3841">
            <v>790</v>
          </cell>
        </row>
        <row r="3842">
          <cell r="A3842" t="str">
            <v>QN0526-3XL</v>
          </cell>
          <cell r="B3842" t="str">
            <v>QN526</v>
          </cell>
          <cell r="C3842" t="str">
            <v>ซาติน แขนสั้นขาสั้น Royal Art 3XL QC</v>
          </cell>
          <cell r="E3842">
            <v>0</v>
          </cell>
          <cell r="F3842">
            <v>790</v>
          </cell>
        </row>
        <row r="3843">
          <cell r="A3843" t="str">
            <v>QN0526-M</v>
          </cell>
          <cell r="B3843" t="str">
            <v>QN526</v>
          </cell>
          <cell r="C3843" t="str">
            <v>ซาติน แขนสั้นขาสั้น Royal Art M QC</v>
          </cell>
          <cell r="E3843">
            <v>0</v>
          </cell>
          <cell r="F3843">
            <v>790</v>
          </cell>
        </row>
        <row r="3844">
          <cell r="A3844" t="str">
            <v>QN0526-XL</v>
          </cell>
          <cell r="B3844" t="str">
            <v>QN526</v>
          </cell>
          <cell r="C3844" t="str">
            <v>ซาติน แขนสั้นขาสั้น Royal Art XL QC</v>
          </cell>
          <cell r="E3844">
            <v>0</v>
          </cell>
          <cell r="F3844">
            <v>790</v>
          </cell>
        </row>
        <row r="3845">
          <cell r="A3845" t="str">
            <v>QN0542-L</v>
          </cell>
          <cell r="B3845" t="str">
            <v>QN542</v>
          </cell>
          <cell r="C3845" t="str">
            <v>ซาติน แขนสั้นขาสั้น Green Garden ปกชมพูจุด L QC</v>
          </cell>
          <cell r="E3845">
            <v>0</v>
          </cell>
          <cell r="F3845">
            <v>790</v>
          </cell>
        </row>
        <row r="3846">
          <cell r="A3846" t="str">
            <v>QN0780-2XL</v>
          </cell>
          <cell r="B3846" t="str">
            <v>QN780</v>
          </cell>
          <cell r="C3846" t="str">
            <v>ซาติน แขนสั้นขาสั้น พื้นฟ้า เถาวัลย์ฟ้า 2XL QC</v>
          </cell>
          <cell r="E3846">
            <v>0</v>
          </cell>
          <cell r="F3846">
            <v>790</v>
          </cell>
        </row>
        <row r="3847">
          <cell r="A3847" t="str">
            <v>QN0780-M</v>
          </cell>
          <cell r="B3847" t="str">
            <v>QN780</v>
          </cell>
          <cell r="C3847" t="str">
            <v>ซาติน แขนสั้นขาสั้น พื้นฟ้า เถาวัลย์ฟ้า M QC</v>
          </cell>
          <cell r="E3847">
            <v>0</v>
          </cell>
          <cell r="F3847">
            <v>790</v>
          </cell>
        </row>
        <row r="3848">
          <cell r="A3848" t="str">
            <v>QN0780-XL</v>
          </cell>
          <cell r="B3848" t="str">
            <v>QN780</v>
          </cell>
          <cell r="C3848" t="str">
            <v>ซาติน แขนสั้นขาสั้น พื้นฟ้า เถาวัลย์ฟ้า XL QC</v>
          </cell>
          <cell r="E3848">
            <v>0</v>
          </cell>
          <cell r="F3848">
            <v>790</v>
          </cell>
        </row>
        <row r="3849">
          <cell r="A3849" t="str">
            <v>QN0798-3XL</v>
          </cell>
          <cell r="B3849" t="str">
            <v>QN798</v>
          </cell>
          <cell r="C3849" t="str">
            <v>ซาติน แขนสั้นขาสั้น Red Village 3XL QC</v>
          </cell>
          <cell r="E3849">
            <v>0</v>
          </cell>
          <cell r="F3849">
            <v>790</v>
          </cell>
        </row>
        <row r="3850">
          <cell r="A3850" t="str">
            <v>QN0800-2XL</v>
          </cell>
          <cell r="B3850" t="str">
            <v>QN800</v>
          </cell>
          <cell r="C3850" t="str">
            <v>ซิลค์แจ็คการ์ด แขนสั้นขาขาสั้น กุหลาบ พื้นขาว ปกชมพู 2XL QC</v>
          </cell>
          <cell r="E3850">
            <v>0</v>
          </cell>
          <cell r="F3850">
            <v>790</v>
          </cell>
        </row>
        <row r="3851">
          <cell r="A3851" t="str">
            <v>QN0800-L</v>
          </cell>
          <cell r="B3851" t="str">
            <v>QN800</v>
          </cell>
          <cell r="C3851" t="str">
            <v>ซิลค์แจ็คการ์ด แขนสั้นขาสั้น กุหลาบ พื้นขาว ปกชมพู L QC</v>
          </cell>
          <cell r="E3851">
            <v>0</v>
          </cell>
          <cell r="F3851">
            <v>790</v>
          </cell>
        </row>
        <row r="3852">
          <cell r="A3852" t="str">
            <v>QN0818-2XL</v>
          </cell>
          <cell r="B3852" t="str">
            <v>QN818</v>
          </cell>
          <cell r="C3852" t="str">
            <v>ซาติน แขนสั้นขาสั้น Royal Green Art 2XL QC</v>
          </cell>
          <cell r="E3852">
            <v>0</v>
          </cell>
          <cell r="F3852">
            <v>790</v>
          </cell>
        </row>
        <row r="3853">
          <cell r="A3853" t="str">
            <v>QN0818-3XL</v>
          </cell>
          <cell r="B3853" t="str">
            <v>QN818</v>
          </cell>
          <cell r="C3853" t="str">
            <v>ซาติน แขนสั้นขาสั้น Royal Green Art 3XL หลุด QC</v>
          </cell>
          <cell r="E3853">
            <v>0</v>
          </cell>
          <cell r="F3853">
            <v>790</v>
          </cell>
        </row>
        <row r="3854">
          <cell r="A3854" t="str">
            <v>QN0818-L</v>
          </cell>
          <cell r="B3854" t="str">
            <v>QN818</v>
          </cell>
          <cell r="C3854" t="str">
            <v>ซาติน แขนสั้นขาสั้น Royal Green Art L หลุด QC</v>
          </cell>
          <cell r="E3854">
            <v>0</v>
          </cell>
          <cell r="F3854">
            <v>790</v>
          </cell>
        </row>
        <row r="3855">
          <cell r="A3855" t="str">
            <v>QN0818-M</v>
          </cell>
          <cell r="B3855" t="str">
            <v>QN818</v>
          </cell>
          <cell r="C3855" t="str">
            <v>ซาติน แขนสั้นขาสั้น Royal Green Art M หลุด QC</v>
          </cell>
          <cell r="E3855">
            <v>0</v>
          </cell>
          <cell r="F3855">
            <v>790</v>
          </cell>
        </row>
        <row r="3856">
          <cell r="A3856" t="str">
            <v>QN0818-S</v>
          </cell>
          <cell r="B3856" t="str">
            <v>QN818</v>
          </cell>
          <cell r="C3856" t="str">
            <v>ซาติน แขนสั้นขาสั้น Royal Green Art S หลุด QC</v>
          </cell>
          <cell r="E3856">
            <v>0</v>
          </cell>
          <cell r="F3856">
            <v>790</v>
          </cell>
        </row>
        <row r="3857">
          <cell r="A3857" t="str">
            <v>QN0818-XL</v>
          </cell>
          <cell r="B3857" t="str">
            <v>QN818</v>
          </cell>
          <cell r="C3857" t="str">
            <v>ซาติน แขนสั้นขาสั้น Royal Green Art XL หลุด QC</v>
          </cell>
          <cell r="E3857">
            <v>0</v>
          </cell>
          <cell r="F3857">
            <v>790</v>
          </cell>
        </row>
        <row r="3858">
          <cell r="A3858" t="str">
            <v>QN0844-M</v>
          </cell>
          <cell r="B3858" t="str">
            <v>QN844</v>
          </cell>
          <cell r="C3858" t="str">
            <v>ซาติน แขนสั้นขาสั้น ดอกไม้แมงกระพรุน ขอบม่วง M QC</v>
          </cell>
          <cell r="E3858">
            <v>0</v>
          </cell>
          <cell r="F3858">
            <v>790</v>
          </cell>
        </row>
        <row r="3859">
          <cell r="A3859" t="str">
            <v>QN0849-M</v>
          </cell>
          <cell r="B3859" t="str">
            <v>QN849</v>
          </cell>
          <cell r="C3859" t="str">
            <v>ซาติน แขนสั้นขาสั้น Green to tones M QC</v>
          </cell>
          <cell r="E3859">
            <v>0</v>
          </cell>
          <cell r="F3859">
            <v>790</v>
          </cell>
        </row>
        <row r="3860">
          <cell r="A3860" t="str">
            <v>QN0849-XL</v>
          </cell>
          <cell r="B3860" t="str">
            <v>QN849</v>
          </cell>
          <cell r="C3860" t="str">
            <v>ซาติน แขนสั้นขาสั้น Green to tones XL QC</v>
          </cell>
          <cell r="E3860">
            <v>0</v>
          </cell>
          <cell r="F3860">
            <v>790</v>
          </cell>
        </row>
        <row r="3861">
          <cell r="A3861" t="str">
            <v>QN0867-2XL</v>
          </cell>
          <cell r="B3861" t="str">
            <v>QN867</v>
          </cell>
          <cell r="C3861" t="str">
            <v>ซาติน แขนสั้นขาสั้น สวนหลังบ้าน คอปกส้ม 2XL หลุด QC</v>
          </cell>
          <cell r="E3861">
            <v>0</v>
          </cell>
          <cell r="F3861">
            <v>790</v>
          </cell>
        </row>
        <row r="3862">
          <cell r="A3862" t="str">
            <v>QN0867-3XL</v>
          </cell>
          <cell r="B3862" t="str">
            <v>QN867</v>
          </cell>
          <cell r="C3862" t="str">
            <v>ซาติน แขนสั้นขาสั้น สวนหลังบ้าน คอปกส้ม 3XL หลุด QC</v>
          </cell>
          <cell r="E3862">
            <v>0</v>
          </cell>
          <cell r="F3862">
            <v>790</v>
          </cell>
        </row>
        <row r="3863">
          <cell r="A3863" t="str">
            <v>QN0867-L</v>
          </cell>
          <cell r="B3863" t="str">
            <v>QN867</v>
          </cell>
          <cell r="C3863" t="str">
            <v>ซาติน แขนสั้นขาสั้น สวนหลังบ้าน คอปกส้ม L QC</v>
          </cell>
          <cell r="E3863">
            <v>0</v>
          </cell>
          <cell r="F3863">
            <v>790</v>
          </cell>
        </row>
        <row r="3864">
          <cell r="A3864" t="str">
            <v>QN0867-M</v>
          </cell>
          <cell r="B3864" t="str">
            <v>QN867</v>
          </cell>
          <cell r="C3864" t="str">
            <v>ซาติน แขนสั้นขาสั้น สวนหลังบ้าน คอปกส้ม M QC</v>
          </cell>
          <cell r="E3864">
            <v>0</v>
          </cell>
          <cell r="F3864">
            <v>790</v>
          </cell>
        </row>
        <row r="3865">
          <cell r="A3865" t="str">
            <v>QN0867-XL</v>
          </cell>
          <cell r="B3865" t="str">
            <v>QN867</v>
          </cell>
          <cell r="C3865" t="str">
            <v>ซาติน แขนสั้นขาสั้น สวนหลังบ้าน คอปกส้ม XL หลุด QC</v>
          </cell>
          <cell r="E3865">
            <v>0</v>
          </cell>
          <cell r="F3865">
            <v>790</v>
          </cell>
        </row>
        <row r="3866">
          <cell r="A3866" t="str">
            <v>QN0885-M</v>
          </cell>
          <cell r="B3866" t="str">
            <v>QN885</v>
          </cell>
          <cell r="C3866" t="str">
            <v>ซาติน แขนสั้นขาสั้น สุนัขรวม พื้นชมพู M QC</v>
          </cell>
          <cell r="E3866">
            <v>0</v>
          </cell>
          <cell r="F3866">
            <v>790</v>
          </cell>
        </row>
        <row r="3867">
          <cell r="A3867" t="str">
            <v>QN0885-XL</v>
          </cell>
          <cell r="B3867" t="str">
            <v>QN885</v>
          </cell>
          <cell r="C3867" t="str">
            <v>ซาติน แขนสั้นขาสั้น สุนัขรวม พื้นชมพู XL QC</v>
          </cell>
          <cell r="E3867">
            <v>0</v>
          </cell>
          <cell r="F3867">
            <v>790</v>
          </cell>
        </row>
        <row r="3868">
          <cell r="A3868" t="str">
            <v>QN0887-XL</v>
          </cell>
          <cell r="B3868" t="str">
            <v>QN887</v>
          </cell>
          <cell r="C3868" t="str">
            <v>ซาติน แขนสั้นขาสั้น แมวรวม พื้นเขียวขี้ม้า XL QC</v>
          </cell>
          <cell r="E3868">
            <v>0</v>
          </cell>
          <cell r="F3868">
            <v>790</v>
          </cell>
        </row>
        <row r="3869">
          <cell r="A3869" t="str">
            <v>QN0904-2XL</v>
          </cell>
          <cell r="B3869" t="str">
            <v>QN904</v>
          </cell>
          <cell r="C3869" t="str">
            <v>ซาติน แขนสั้นขาสั้น Blue Pink Rose 2XL หลุด QC</v>
          </cell>
          <cell r="E3869">
            <v>0</v>
          </cell>
          <cell r="F3869">
            <v>790</v>
          </cell>
        </row>
        <row r="3870">
          <cell r="A3870" t="str">
            <v>QN0904-3XL</v>
          </cell>
          <cell r="B3870" t="str">
            <v>QN904</v>
          </cell>
          <cell r="C3870" t="str">
            <v>ซาติน แขนสั้นขาสั้น Blue Pink Rose 3XL หลุด QC</v>
          </cell>
          <cell r="E3870">
            <v>0</v>
          </cell>
          <cell r="F3870">
            <v>790</v>
          </cell>
        </row>
        <row r="3871">
          <cell r="A3871" t="str">
            <v>QN0904-L</v>
          </cell>
          <cell r="B3871" t="str">
            <v>QN904</v>
          </cell>
          <cell r="C3871" t="str">
            <v>ซาติน แขนสั้นขาสั้น Blue Pink Rose L QC</v>
          </cell>
          <cell r="E3871">
            <v>0</v>
          </cell>
          <cell r="F3871">
            <v>790</v>
          </cell>
        </row>
        <row r="3872">
          <cell r="A3872" t="str">
            <v>QN0904-M</v>
          </cell>
          <cell r="B3872" t="str">
            <v>QN904</v>
          </cell>
          <cell r="C3872" t="str">
            <v>ซาติน แขนสั้นขาสั้น Blue Pink Rose M QC</v>
          </cell>
          <cell r="E3872">
            <v>0</v>
          </cell>
          <cell r="F3872">
            <v>790</v>
          </cell>
        </row>
        <row r="3873">
          <cell r="A3873" t="str">
            <v>QN0904-XL</v>
          </cell>
          <cell r="B3873" t="str">
            <v>QN904</v>
          </cell>
          <cell r="C3873" t="str">
            <v>ซาติน แขนสั้นขาสั้น Blue Pink Rose XL หลุด QC</v>
          </cell>
          <cell r="E3873">
            <v>0</v>
          </cell>
          <cell r="F3873">
            <v>790</v>
          </cell>
        </row>
        <row r="3874">
          <cell r="A3874" t="str">
            <v>QN0923-2XL</v>
          </cell>
          <cell r="B3874" t="str">
            <v>QN923</v>
          </cell>
          <cell r="C3874" t="str">
            <v>ซาติน แขนสั้นขาสั้น Jungle Cruise ดำ 2XL  (กปก) หลุด QC</v>
          </cell>
          <cell r="E3874">
            <v>0</v>
          </cell>
          <cell r="F3874">
            <v>790</v>
          </cell>
        </row>
        <row r="3875">
          <cell r="A3875" t="str">
            <v>QN0923-3XL</v>
          </cell>
          <cell r="B3875" t="str">
            <v>QN923</v>
          </cell>
          <cell r="C3875" t="str">
            <v>ซาติน แขนสั้นขาสั้น Jungle Cruise ดำ 3XL  (กปก) หลุด QC</v>
          </cell>
          <cell r="E3875">
            <v>0</v>
          </cell>
          <cell r="F3875">
            <v>790</v>
          </cell>
        </row>
        <row r="3876">
          <cell r="A3876" t="str">
            <v>QN0923-L</v>
          </cell>
          <cell r="B3876" t="str">
            <v>QN923</v>
          </cell>
          <cell r="C3876" t="str">
            <v>ซาติน แขนสั้นขาสั้น Jungle Cruise ดำ L (กปก) QC</v>
          </cell>
          <cell r="E3876">
            <v>0</v>
          </cell>
          <cell r="F3876">
            <v>790</v>
          </cell>
        </row>
        <row r="3877">
          <cell r="A3877" t="str">
            <v>QN0923-M</v>
          </cell>
          <cell r="B3877" t="str">
            <v>QN923</v>
          </cell>
          <cell r="C3877" t="str">
            <v>ซาติน แขนสั้นขาสั้น Jungle Cruise ดำ M (กปก) QC</v>
          </cell>
          <cell r="E3877">
            <v>0</v>
          </cell>
          <cell r="F3877">
            <v>790</v>
          </cell>
        </row>
        <row r="3878">
          <cell r="A3878" t="str">
            <v>QN0923-XL</v>
          </cell>
          <cell r="B3878" t="str">
            <v>QN923</v>
          </cell>
          <cell r="C3878" t="str">
            <v>ซาติน แขนสั้นขาสั้น Jungle Cruise ดำ XL (กปก) หลุด QC</v>
          </cell>
          <cell r="E3878">
            <v>0</v>
          </cell>
          <cell r="F3878">
            <v>790</v>
          </cell>
        </row>
        <row r="3879">
          <cell r="A3879" t="str">
            <v>QN0924-2XL</v>
          </cell>
          <cell r="B3879" t="str">
            <v>QN924</v>
          </cell>
          <cell r="C3879" t="str">
            <v>ซาติน แขนสั้นขาสั้น Jungle Cruise ครีม 2XL  (กปก) QC</v>
          </cell>
          <cell r="E3879">
            <v>0</v>
          </cell>
          <cell r="F3879">
            <v>790</v>
          </cell>
        </row>
        <row r="3880">
          <cell r="A3880" t="str">
            <v>QN0926-2XL</v>
          </cell>
          <cell r="B3880" t="str">
            <v>QN926</v>
          </cell>
          <cell r="C3880" t="str">
            <v>ซาติน แขนสั้นขาสั้น พื้นกรม ลายม้าลาย 2XL (กปก) หลุด QC</v>
          </cell>
          <cell r="E3880">
            <v>0</v>
          </cell>
          <cell r="F3880">
            <v>790</v>
          </cell>
        </row>
        <row r="3881">
          <cell r="A3881" t="str">
            <v>QN0926-3XL</v>
          </cell>
          <cell r="B3881" t="str">
            <v>QN926</v>
          </cell>
          <cell r="C3881" t="str">
            <v>ซาติน แขนสั้นขาสั้น พื้นกรม ลายม้าลาย 3XL (กปก) หลุด QC</v>
          </cell>
          <cell r="E3881">
            <v>0</v>
          </cell>
          <cell r="F3881">
            <v>790</v>
          </cell>
        </row>
        <row r="3882">
          <cell r="A3882" t="str">
            <v>QN0926-L</v>
          </cell>
          <cell r="B3882" t="str">
            <v>QN926</v>
          </cell>
          <cell r="C3882" t="str">
            <v>ซาติน แขนสั้นขาสั้น พื้นกรม ลายม้าลาย L (กปก) หลุด QC</v>
          </cell>
          <cell r="E3882">
            <v>0</v>
          </cell>
          <cell r="F3882">
            <v>790</v>
          </cell>
        </row>
        <row r="3883">
          <cell r="A3883" t="str">
            <v>QN0926-M</v>
          </cell>
          <cell r="B3883" t="str">
            <v>QN926</v>
          </cell>
          <cell r="C3883" t="str">
            <v>ซาติน แขนสั้นขาสั้น พื้นกรม ลายม้าลาย M (กปก) หลุด QC</v>
          </cell>
          <cell r="E3883">
            <v>0</v>
          </cell>
          <cell r="F3883">
            <v>790</v>
          </cell>
        </row>
        <row r="3884">
          <cell r="A3884" t="str">
            <v>QN0926-XL</v>
          </cell>
          <cell r="B3884" t="str">
            <v>QN926</v>
          </cell>
          <cell r="C3884" t="str">
            <v>ซาติน แขนสั้นขาสั้น พื้นกรม ลายม้าลาย XL (กปก) หลุด QC</v>
          </cell>
          <cell r="E3884">
            <v>0</v>
          </cell>
          <cell r="F3884">
            <v>790</v>
          </cell>
        </row>
        <row r="3885">
          <cell r="A3885" t="str">
            <v>QN0927-XL</v>
          </cell>
          <cell r="B3885" t="str">
            <v>QN927</v>
          </cell>
          <cell r="C3885" t="str">
            <v>ซาติน แขนสั้นขาสั้น หน้าแมว พื้นดำ XL (กปก) QC</v>
          </cell>
          <cell r="E3885">
            <v>0</v>
          </cell>
          <cell r="F3885">
            <v>790</v>
          </cell>
        </row>
        <row r="3886">
          <cell r="A3886" t="str">
            <v>QN0938-2XL</v>
          </cell>
          <cell r="B3886" t="str">
            <v>QN938</v>
          </cell>
          <cell r="C3886" t="str">
            <v>ซาติน แขนสั้นขาสั้น Black forest 2XL (กปก) หลุด QC</v>
          </cell>
          <cell r="E3886">
            <v>0</v>
          </cell>
          <cell r="F3886">
            <v>790</v>
          </cell>
        </row>
        <row r="3887">
          <cell r="A3887" t="str">
            <v>QN0938-3XL</v>
          </cell>
          <cell r="B3887" t="str">
            <v>QN938</v>
          </cell>
          <cell r="C3887" t="str">
            <v>ซาติน แขนสั้นขาสั้น Black forest 3XL (กปก) หลุด QC</v>
          </cell>
          <cell r="E3887">
            <v>0</v>
          </cell>
          <cell r="F3887">
            <v>790</v>
          </cell>
        </row>
        <row r="3888">
          <cell r="A3888" t="str">
            <v>QN0938-L</v>
          </cell>
          <cell r="B3888" t="str">
            <v>QN938</v>
          </cell>
          <cell r="C3888" t="str">
            <v>ซาติน แขนสั้นขาสั้น Black forest L (กปก) หลุด QC</v>
          </cell>
          <cell r="E3888">
            <v>0</v>
          </cell>
          <cell r="F3888">
            <v>790</v>
          </cell>
        </row>
        <row r="3889">
          <cell r="A3889" t="str">
            <v>QN0938-M</v>
          </cell>
          <cell r="B3889" t="str">
            <v>QN938</v>
          </cell>
          <cell r="C3889" t="str">
            <v>ซาติน แขนสั้นขาสั้น Black forest M (กปก) QC</v>
          </cell>
          <cell r="E3889">
            <v>0</v>
          </cell>
          <cell r="F3889">
            <v>790</v>
          </cell>
        </row>
        <row r="3890">
          <cell r="A3890" t="str">
            <v>QN0938-XL</v>
          </cell>
          <cell r="B3890" t="str">
            <v>QN938</v>
          </cell>
          <cell r="C3890" t="str">
            <v>ซาติน แขนสั้นขาสั้น Black forest XL (กปก) หลุด QC</v>
          </cell>
          <cell r="E3890">
            <v>0</v>
          </cell>
          <cell r="F3890">
            <v>790</v>
          </cell>
        </row>
        <row r="3891">
          <cell r="A3891" t="str">
            <v>QN0941-L</v>
          </cell>
          <cell r="B3891" t="str">
            <v>QN941</v>
          </cell>
          <cell r="C3891" t="str">
            <v>ซาติน แขนสั้นขาสั้น เกสรดอกไม้ ไฟ พื้นกรม L (กปก) QC</v>
          </cell>
          <cell r="E3891">
            <v>0</v>
          </cell>
          <cell r="F3891">
            <v>790</v>
          </cell>
        </row>
        <row r="3892">
          <cell r="A3892" t="str">
            <v>QN0944-2XL</v>
          </cell>
          <cell r="B3892" t="str">
            <v>QN944</v>
          </cell>
          <cell r="C3892" t="str">
            <v>ซาติน แขนสั้นขาสั้น กวางพื้นกรม 2XL QC</v>
          </cell>
          <cell r="E3892">
            <v>0</v>
          </cell>
          <cell r="F3892">
            <v>790</v>
          </cell>
        </row>
        <row r="3893">
          <cell r="A3893" t="str">
            <v>QN0963-2XL</v>
          </cell>
          <cell r="B3893" t="str">
            <v>QN963</v>
          </cell>
          <cell r="C3893" t="str">
            <v>ซาติน แขนสั้นขาสั้น เทพีผมม่วง 2XL QC</v>
          </cell>
          <cell r="E3893">
            <v>0</v>
          </cell>
          <cell r="F3893">
            <v>790</v>
          </cell>
        </row>
        <row r="3894">
          <cell r="A3894" t="str">
            <v>QN0973-2XL</v>
          </cell>
          <cell r="B3894" t="str">
            <v>QN973</v>
          </cell>
          <cell r="C3894" t="str">
            <v>ซาติน แขนสั้นขาสั้น Rabbit Flower พื้นขาว 2XL (กปก) หลุด QC</v>
          </cell>
          <cell r="E3894">
            <v>0</v>
          </cell>
          <cell r="F3894">
            <v>790</v>
          </cell>
        </row>
        <row r="3895">
          <cell r="A3895" t="str">
            <v>QN0973-3XL</v>
          </cell>
          <cell r="B3895" t="str">
            <v>QN973</v>
          </cell>
          <cell r="C3895" t="str">
            <v>ซาติน แขนสั้นขาสั้น Rabbit Flower พื้นขาว 3XL (กปก) หลุด QC</v>
          </cell>
          <cell r="E3895">
            <v>0</v>
          </cell>
          <cell r="F3895">
            <v>790</v>
          </cell>
        </row>
        <row r="3896">
          <cell r="A3896" t="str">
            <v>QN0973-L</v>
          </cell>
          <cell r="B3896" t="str">
            <v>QN973</v>
          </cell>
          <cell r="C3896" t="str">
            <v>ซาติน แขนสั้นขาสั้น Rabbit Flower พื้นขาว L (กปก) หลุด QC</v>
          </cell>
          <cell r="E3896">
            <v>0</v>
          </cell>
          <cell r="F3896">
            <v>790</v>
          </cell>
        </row>
        <row r="3897">
          <cell r="A3897" t="str">
            <v>QN0973-M</v>
          </cell>
          <cell r="B3897" t="str">
            <v>QN973</v>
          </cell>
          <cell r="C3897" t="str">
            <v>ซาติน แขนสั้นขาสั้น Rabbit Flower พื้นขาว M (กปก) หลุด QC</v>
          </cell>
          <cell r="E3897">
            <v>0</v>
          </cell>
          <cell r="F3897">
            <v>790</v>
          </cell>
        </row>
        <row r="3898">
          <cell r="A3898" t="str">
            <v>QN0973-XL</v>
          </cell>
          <cell r="B3898" t="str">
            <v>QN973</v>
          </cell>
          <cell r="C3898" t="str">
            <v>ซาติน แขนสั้นขาสั้น Rabbit Flower พื้นขาว XL (กปก) QC</v>
          </cell>
          <cell r="E3898">
            <v>0</v>
          </cell>
          <cell r="F3898">
            <v>790</v>
          </cell>
        </row>
        <row r="3899">
          <cell r="A3899" t="str">
            <v>QN0986-2XL</v>
          </cell>
          <cell r="B3899" t="str">
            <v>QN986</v>
          </cell>
          <cell r="C3899" t="str">
            <v>ซาติน แขนสั้นขาสั้น ชมพู พื้นครีม ขอบเขียว 2XL หลุด QC</v>
          </cell>
          <cell r="E3899">
            <v>0</v>
          </cell>
          <cell r="F3899">
            <v>790</v>
          </cell>
        </row>
        <row r="3900">
          <cell r="A3900" t="str">
            <v>QN0986-3XL</v>
          </cell>
          <cell r="B3900" t="str">
            <v>QN986</v>
          </cell>
          <cell r="C3900" t="str">
            <v>ซาติน แขนสั้นขาสั้น ชมพู พื้นครีม ขอบเขียว 3XL หลุด QC</v>
          </cell>
          <cell r="E3900">
            <v>0</v>
          </cell>
          <cell r="F3900">
            <v>790</v>
          </cell>
        </row>
        <row r="3901">
          <cell r="A3901" t="str">
            <v>QN0986-L</v>
          </cell>
          <cell r="B3901" t="str">
            <v>QN986</v>
          </cell>
          <cell r="C3901" t="str">
            <v>ซาติน แขนสั้นขาสั้น ชมพู พื้นครีม ขอบเขียว L หลุด QC</v>
          </cell>
          <cell r="E3901">
            <v>0</v>
          </cell>
          <cell r="F3901">
            <v>790</v>
          </cell>
        </row>
        <row r="3902">
          <cell r="A3902" t="str">
            <v>QN0986-M</v>
          </cell>
          <cell r="B3902" t="str">
            <v>QN986</v>
          </cell>
          <cell r="C3902" t="str">
            <v>ซาติน แขนสั้นขาสั้น ชมพู พื้นครีม ขอบเขียว M หลุด QC</v>
          </cell>
          <cell r="E3902">
            <v>0</v>
          </cell>
          <cell r="F3902">
            <v>790</v>
          </cell>
        </row>
        <row r="3903">
          <cell r="A3903" t="str">
            <v>QN0986-XL</v>
          </cell>
          <cell r="B3903" t="str">
            <v>QN986</v>
          </cell>
          <cell r="C3903" t="str">
            <v>ซาติน แขนสั้นขาสั้น ชมพู พื้นครีม ขอบเขียว XL หลุด QC</v>
          </cell>
          <cell r="E3903">
            <v>0</v>
          </cell>
          <cell r="F3903">
            <v>790</v>
          </cell>
        </row>
        <row r="3904">
          <cell r="A3904" t="str">
            <v>QN0989-L</v>
          </cell>
          <cell r="B3904" t="str">
            <v>QN989</v>
          </cell>
          <cell r="C3904" t="str">
            <v>ซาติน แขนสั้นขาสั้น เสือดาว พื้นขาว ขอบแดง L (กปก) QC</v>
          </cell>
          <cell r="E3904">
            <v>0</v>
          </cell>
          <cell r="F3904">
            <v>790</v>
          </cell>
        </row>
        <row r="3905">
          <cell r="A3905" t="str">
            <v>QN0989-XL</v>
          </cell>
          <cell r="B3905" t="str">
            <v>QN989</v>
          </cell>
          <cell r="C3905" t="str">
            <v>ซาติน แขนสั้นขาสั้น เสือดาว พื้นขาว ขอบแดง XL (กปก) QC</v>
          </cell>
          <cell r="E3905">
            <v>0</v>
          </cell>
          <cell r="F3905">
            <v>790</v>
          </cell>
        </row>
        <row r="3906">
          <cell r="A3906" t="str">
            <v>QN0992-M</v>
          </cell>
          <cell r="B3906" t="str">
            <v>QN992</v>
          </cell>
          <cell r="C3906" t="str">
            <v>ซาติน แขนสั้นขาสั้น Colorful พื้นครีม ชมพู M QC</v>
          </cell>
          <cell r="E3906">
            <v>0</v>
          </cell>
          <cell r="F3906">
            <v>790</v>
          </cell>
        </row>
        <row r="3907">
          <cell r="A3907" t="str">
            <v>QN0993-M</v>
          </cell>
          <cell r="B3907" t="str">
            <v>QN993</v>
          </cell>
          <cell r="C3907" t="str">
            <v>ซาติน แขนสั้นขาสั้น Colorful พื้นชมพู ครีม M QC</v>
          </cell>
          <cell r="E3907">
            <v>0</v>
          </cell>
          <cell r="F3907">
            <v>790</v>
          </cell>
        </row>
        <row r="3908">
          <cell r="A3908" t="str">
            <v>QN0999-L</v>
          </cell>
          <cell r="B3908" t="str">
            <v>QN999</v>
          </cell>
          <cell r="C3908" t="str">
            <v>ซาติน แขนสั้นขาสั้น รวมสัตว์ พื้นฟ้า L (กปก) QC</v>
          </cell>
          <cell r="E3908">
            <v>0</v>
          </cell>
          <cell r="F3908">
            <v>790</v>
          </cell>
        </row>
        <row r="3909">
          <cell r="A3909" t="str">
            <v>QN1000-M</v>
          </cell>
          <cell r="B3909" t="str">
            <v>QN1000</v>
          </cell>
          <cell r="C3909" t="str">
            <v>ซาติน แขนสั้นขาสั้น หมีรวม พื้นครีม M (กปก) QC</v>
          </cell>
          <cell r="E3909">
            <v>0</v>
          </cell>
          <cell r="F3909">
            <v>790</v>
          </cell>
        </row>
        <row r="3910">
          <cell r="A3910" t="str">
            <v>QN1001-L</v>
          </cell>
          <cell r="B3910" t="str">
            <v>QN1001</v>
          </cell>
          <cell r="C3910" t="str">
            <v>ซาติน แขนสั้นขาสั้น บัวชมพู พื้นม่วง L QC</v>
          </cell>
          <cell r="E3910">
            <v>0</v>
          </cell>
          <cell r="F3910">
            <v>790</v>
          </cell>
        </row>
        <row r="3911">
          <cell r="A3911" t="str">
            <v>QN1001-XL</v>
          </cell>
          <cell r="B3911" t="str">
            <v>QN1001</v>
          </cell>
          <cell r="C3911" t="str">
            <v>ซาติน แขนสั้นขาสั้น บัวชมพู พื้นม่วง XL QC</v>
          </cell>
          <cell r="E3911">
            <v>0</v>
          </cell>
          <cell r="F3911">
            <v>790</v>
          </cell>
        </row>
        <row r="3912">
          <cell r="A3912" t="str">
            <v>QN1005-L</v>
          </cell>
          <cell r="B3912" t="str">
            <v>QN1005</v>
          </cell>
          <cell r="C3912" t="str">
            <v>ซาติน แขนสั้นขาสั้น กระต่ายขาว พื้นม่วง L หลุด QC</v>
          </cell>
          <cell r="E3912">
            <v>0</v>
          </cell>
          <cell r="F3912">
            <v>790</v>
          </cell>
        </row>
        <row r="3913">
          <cell r="A3913" t="str">
            <v>QN1007-M</v>
          </cell>
          <cell r="B3913" t="str">
            <v>QN1007</v>
          </cell>
          <cell r="C3913" t="str">
            <v>ซาติน แขนสั้นขาสั้น ลายทางครีม พื้นดำ M QC</v>
          </cell>
          <cell r="E3913">
            <v>0</v>
          </cell>
          <cell r="F3913">
            <v>790</v>
          </cell>
        </row>
        <row r="3914">
          <cell r="A3914" t="str">
            <v>QN1008-L</v>
          </cell>
          <cell r="B3914" t="str">
            <v>QN1008</v>
          </cell>
          <cell r="C3914" t="str">
            <v>ซาติน แขนสั้นขาสั้น ลายทางกรม แดง กระเป๋านกฮูก L QC</v>
          </cell>
          <cell r="E3914">
            <v>0</v>
          </cell>
          <cell r="F3914">
            <v>790</v>
          </cell>
        </row>
        <row r="3915">
          <cell r="A3915" t="str">
            <v>QN1010-XL</v>
          </cell>
          <cell r="B3915" t="str">
            <v>QN1010</v>
          </cell>
          <cell r="C3915" t="str">
            <v>ซาติน แขนสั้นขาสั้น น้องแมว พื้นเทา XL (กปก) QC</v>
          </cell>
          <cell r="E3915">
            <v>0</v>
          </cell>
          <cell r="F3915">
            <v>790</v>
          </cell>
        </row>
        <row r="3916">
          <cell r="A3916" t="str">
            <v>QN1011-2XL</v>
          </cell>
          <cell r="B3916" t="str">
            <v>QN1011</v>
          </cell>
          <cell r="C3916" t="str">
            <v>ซาติน แขนสั้นขาสั้น สุนัขรวม พื้นครีม 2XL QC</v>
          </cell>
          <cell r="E3916">
            <v>0</v>
          </cell>
          <cell r="F3916">
            <v>790</v>
          </cell>
        </row>
        <row r="3917">
          <cell r="A3917" t="str">
            <v>QN1011-L</v>
          </cell>
          <cell r="B3917" t="str">
            <v>QN1011</v>
          </cell>
          <cell r="C3917" t="str">
            <v>ซาติน แขนสั้นขาสั้น สุนัขรวม พื้นครีม L QC</v>
          </cell>
          <cell r="E3917">
            <v>0</v>
          </cell>
          <cell r="F3917">
            <v>790</v>
          </cell>
        </row>
        <row r="3918">
          <cell r="A3918" t="str">
            <v>QN1011-M</v>
          </cell>
          <cell r="B3918" t="str">
            <v>QN1011</v>
          </cell>
          <cell r="C3918" t="str">
            <v>ซาติน แขนสั้นขาสั้น สุนัขรวม พื้นครีม M QC</v>
          </cell>
          <cell r="E3918">
            <v>0</v>
          </cell>
          <cell r="F3918">
            <v>790</v>
          </cell>
        </row>
        <row r="3919">
          <cell r="A3919" t="str">
            <v>QN1012-M</v>
          </cell>
          <cell r="B3919" t="str">
            <v>QN1012</v>
          </cell>
          <cell r="C3919" t="str">
            <v>ซาติน แขนสั้นขาสั้น น้องชินจัง พื้นฟ้า M (กปก) QC</v>
          </cell>
          <cell r="E3919">
            <v>0</v>
          </cell>
          <cell r="F3919">
            <v>1490</v>
          </cell>
        </row>
        <row r="3920">
          <cell r="A3920" t="str">
            <v>QN1012-XL</v>
          </cell>
          <cell r="B3920" t="str">
            <v>QN1012</v>
          </cell>
          <cell r="C3920" t="str">
            <v>ซาติน แขนสั้นขาสั้น น้องชินจัง พื้นฟ้า XL (กปก) QC</v>
          </cell>
          <cell r="E3920">
            <v>0</v>
          </cell>
          <cell r="F3920">
            <v>1490</v>
          </cell>
        </row>
        <row r="3921">
          <cell r="A3921" t="str">
            <v>QN1015-XL</v>
          </cell>
          <cell r="B3921" t="str">
            <v>QN1015</v>
          </cell>
          <cell r="C3921" t="str">
            <v>ซาติน แขนสั้นขาสั้น Flower Pink พื้นชมพู XL (กปก) QC</v>
          </cell>
          <cell r="E3921">
            <v>0</v>
          </cell>
          <cell r="F3921">
            <v>790</v>
          </cell>
        </row>
        <row r="3922">
          <cell r="A3922" t="str">
            <v>QN1016-2XL</v>
          </cell>
          <cell r="B3922" t="str">
            <v>QN1016</v>
          </cell>
          <cell r="C3922" t="str">
            <v>ซาติน แขนสั้นขาสั้น Flower Blue พื้นขาว 2XL (กปก) QC</v>
          </cell>
          <cell r="E3922">
            <v>0</v>
          </cell>
          <cell r="F3922">
            <v>790</v>
          </cell>
        </row>
        <row r="3923">
          <cell r="A3923" t="str">
            <v>QN1016-L</v>
          </cell>
          <cell r="B3923" t="str">
            <v>QN1016</v>
          </cell>
          <cell r="C3923" t="str">
            <v>ซาติน แขนสั้นขาสั้น Flower Blue พื้นขาว L (กปก) QC</v>
          </cell>
          <cell r="E3923">
            <v>0</v>
          </cell>
          <cell r="F3923">
            <v>790</v>
          </cell>
        </row>
        <row r="3924">
          <cell r="A3924" t="str">
            <v>QN1016-M</v>
          </cell>
          <cell r="B3924" t="str">
            <v>QN1016</v>
          </cell>
          <cell r="C3924" t="str">
            <v>ซาติน แขนสั้นขาสั้น Flower Blue พื้นขาว M (กปก) QC</v>
          </cell>
          <cell r="E3924">
            <v>0</v>
          </cell>
          <cell r="F3924">
            <v>790</v>
          </cell>
        </row>
        <row r="3925">
          <cell r="A3925" t="str">
            <v>QN1017-L</v>
          </cell>
          <cell r="B3925" t="str">
            <v>QN1017</v>
          </cell>
          <cell r="C3925" t="str">
            <v>[AK]  ซาติน แขนสั้นขาสั้น Flower Green พื้นครีม L (กปก) QC</v>
          </cell>
          <cell r="E3925">
            <v>0</v>
          </cell>
          <cell r="F3925">
            <v>790</v>
          </cell>
        </row>
        <row r="3926">
          <cell r="A3926" t="str">
            <v>QN1017-M</v>
          </cell>
          <cell r="B3926" t="str">
            <v>QN1017</v>
          </cell>
          <cell r="C3926" t="str">
            <v>ซาติน แขนสั้นขาสั้น Flower Green พื้นครีม M (กปก) QC</v>
          </cell>
          <cell r="E3926">
            <v>0</v>
          </cell>
          <cell r="F3926">
            <v>790</v>
          </cell>
        </row>
        <row r="3927">
          <cell r="A3927" t="str">
            <v>QN1017-XL</v>
          </cell>
          <cell r="B3927" t="str">
            <v>QN1017</v>
          </cell>
          <cell r="C3927" t="str">
            <v>ซาติน แขนสั้นขาสั้น Flower Green พื้นครีม XL (กปก) QC</v>
          </cell>
          <cell r="E3927">
            <v>0</v>
          </cell>
          <cell r="F3927">
            <v>790</v>
          </cell>
        </row>
        <row r="3928">
          <cell r="A3928" t="str">
            <v>QN1018-M</v>
          </cell>
          <cell r="B3928" t="str">
            <v>QN1018</v>
          </cell>
          <cell r="C3928" t="str">
            <v>ซาติน แขนสั้นขาสั้น Kakao Friend ม่วง M (กปก) QC</v>
          </cell>
          <cell r="E3928">
            <v>0</v>
          </cell>
          <cell r="F3928">
            <v>1490</v>
          </cell>
        </row>
        <row r="3929">
          <cell r="A3929" t="str">
            <v>QN1018-XL</v>
          </cell>
          <cell r="B3929" t="str">
            <v>QN1018</v>
          </cell>
          <cell r="C3929" t="str">
            <v>ซาติน แขนสั้นขาสั้น Kakao Friend ม่วง XL (กปก) QC</v>
          </cell>
          <cell r="E3929">
            <v>0</v>
          </cell>
          <cell r="F3929">
            <v>1490</v>
          </cell>
        </row>
        <row r="3930">
          <cell r="A3930" t="str">
            <v>QN1019-M</v>
          </cell>
          <cell r="B3930" t="str">
            <v>QN1019</v>
          </cell>
          <cell r="C3930" t="str">
            <v>ซาติน แขนสั้นขาสั้น Kakao Friend น้ำเงิน M (กปก) QC</v>
          </cell>
          <cell r="E3930">
            <v>0</v>
          </cell>
          <cell r="F3930">
            <v>1490</v>
          </cell>
        </row>
        <row r="3931">
          <cell r="A3931" t="str">
            <v>QN1019-XL</v>
          </cell>
          <cell r="B3931" t="str">
            <v>QN1019</v>
          </cell>
          <cell r="C3931" t="str">
            <v>ซาติน แขนสั้นขาสั้น Kakao Friend น้ำเงิน XL (กปก) QC</v>
          </cell>
          <cell r="E3931">
            <v>0</v>
          </cell>
          <cell r="F3931">
            <v>1490</v>
          </cell>
        </row>
        <row r="3932">
          <cell r="A3932" t="str">
            <v>QN1020-2XL</v>
          </cell>
          <cell r="B3932" t="str">
            <v>QN1020</v>
          </cell>
          <cell r="C3932" t="str">
            <v>ซาติน แขนสั้นขาสั้น กุหลาบ ปกม่วง 2XL (กปก) QC</v>
          </cell>
          <cell r="E3932">
            <v>0</v>
          </cell>
          <cell r="F3932">
            <v>790</v>
          </cell>
        </row>
        <row r="3933">
          <cell r="A3933" t="str">
            <v>QN1022-XL</v>
          </cell>
          <cell r="B3933" t="str">
            <v>QN1022</v>
          </cell>
          <cell r="C3933" t="str">
            <v>ซาติน แขนสั้นขาสั้น Rabbit kook พื้นชมพู XL (กปก) QC</v>
          </cell>
          <cell r="E3933">
            <v>0</v>
          </cell>
          <cell r="F3933">
            <v>790</v>
          </cell>
        </row>
        <row r="3934">
          <cell r="A3934" t="str">
            <v>QN1023-2XL</v>
          </cell>
          <cell r="B3934" t="str">
            <v>QN1023</v>
          </cell>
          <cell r="C3934" t="str">
            <v>ซาติน แขนสั้นขาสั้น Rabbit kook พื้นฟ้า 2XL (กปก) QC</v>
          </cell>
          <cell r="E3934">
            <v>0</v>
          </cell>
          <cell r="F3934">
            <v>790</v>
          </cell>
        </row>
        <row r="3935">
          <cell r="A3935" t="str">
            <v>QN1025-L</v>
          </cell>
          <cell r="B3935" t="str">
            <v>QN1025</v>
          </cell>
          <cell r="C3935" t="str">
            <v>ซาติน แขนสั้นขาสั้น ยีราฟ พื้นเขียว L (กปก) QC</v>
          </cell>
          <cell r="E3935">
            <v>0</v>
          </cell>
          <cell r="F3935">
            <v>790</v>
          </cell>
        </row>
        <row r="3936">
          <cell r="A3936" t="str">
            <v>QN1025-M</v>
          </cell>
          <cell r="B3936" t="str">
            <v>QN1025</v>
          </cell>
          <cell r="C3936" t="str">
            <v>ซาติน แขนสั้นขาสั้น ยีราฟ พื้นเขียว M (กปก) QC</v>
          </cell>
          <cell r="E3936">
            <v>0</v>
          </cell>
          <cell r="F3936">
            <v>790</v>
          </cell>
        </row>
        <row r="3937">
          <cell r="A3937" t="str">
            <v>QN1033-XL</v>
          </cell>
          <cell r="B3937" t="str">
            <v>QN1033</v>
          </cell>
          <cell r="C3937" t="str">
            <v>ซาติน แขนสั้นขาสั้น เยลโล่ แร็บบิท พื้นครีม XL (กปก) QC</v>
          </cell>
          <cell r="E3937">
            <v>0</v>
          </cell>
          <cell r="F3937">
            <v>790</v>
          </cell>
        </row>
        <row r="3938">
          <cell r="A3938" t="str">
            <v>QN1036-L</v>
          </cell>
          <cell r="B3938" t="str">
            <v>QN1036</v>
          </cell>
          <cell r="C3938" t="str">
            <v>ซาติน แขนสั้นขาสั้น กระต่ายขาว ขอบชมพู L QC</v>
          </cell>
          <cell r="E3938">
            <v>0</v>
          </cell>
          <cell r="F3938">
            <v>790</v>
          </cell>
        </row>
        <row r="3939">
          <cell r="A3939" t="str">
            <v>QN1037-XL</v>
          </cell>
          <cell r="B3939" t="str">
            <v>QN1037</v>
          </cell>
          <cell r="C3939" t="str">
            <v>ซาติน แขนสั้นขาสั้น ชมพูส้ม พาสเทล XL (กปก) QC</v>
          </cell>
          <cell r="E3939">
            <v>0</v>
          </cell>
          <cell r="F3939">
            <v>790</v>
          </cell>
        </row>
        <row r="3940">
          <cell r="A3940" t="str">
            <v>QN1039-M</v>
          </cell>
          <cell r="B3940" t="str">
            <v>QN1039</v>
          </cell>
          <cell r="C3940" t="str">
            <v>ซาติน แขนสั้นขาสั้น ดอกไม้แดง พื้นชมพู ขอบเขียว M (กปก) QC</v>
          </cell>
          <cell r="E3940">
            <v>0</v>
          </cell>
          <cell r="F3940">
            <v>790</v>
          </cell>
        </row>
        <row r="3941">
          <cell r="A3941" t="str">
            <v>QN1040-2XL</v>
          </cell>
          <cell r="B3941" t="str">
            <v>QN1040</v>
          </cell>
          <cell r="C3941" t="str">
            <v>ซาติน แขนสั้นขาสั้น ชมพู กรม หลากสี 2XL (กปก) QC</v>
          </cell>
          <cell r="E3941">
            <v>0</v>
          </cell>
          <cell r="F3941">
            <v>790</v>
          </cell>
        </row>
        <row r="3942">
          <cell r="A3942" t="str">
            <v>QN1040-M</v>
          </cell>
          <cell r="B3942" t="str">
            <v>QN1040</v>
          </cell>
          <cell r="C3942" t="str">
            <v>ซาติน แขนสั้นขาสั้น ชมพู กรม หลากสี M (กปก) QC</v>
          </cell>
          <cell r="E3942">
            <v>0</v>
          </cell>
          <cell r="F3942">
            <v>790</v>
          </cell>
        </row>
        <row r="3943">
          <cell r="A3943" t="str">
            <v>QN1041-2XL</v>
          </cell>
          <cell r="B3943" t="str">
            <v>QN1041</v>
          </cell>
          <cell r="C3943" t="str">
            <v>ซาติน แขนสั้นขาสั้น Happy Baby Girl 2XL (กปก) QC</v>
          </cell>
          <cell r="E3943">
            <v>0</v>
          </cell>
          <cell r="F3943">
            <v>790</v>
          </cell>
        </row>
        <row r="3944">
          <cell r="A3944" t="str">
            <v>QN1043-2XL</v>
          </cell>
          <cell r="B3944" t="str">
            <v>QN1043</v>
          </cell>
          <cell r="C3944" t="str">
            <v>ซาติน แขนสั้นขาสั้น กราฟฟิก ขาวดำ 2XL (กปก) QC</v>
          </cell>
          <cell r="E3944">
            <v>0</v>
          </cell>
          <cell r="F3944">
            <v>790</v>
          </cell>
        </row>
        <row r="3945">
          <cell r="A3945" t="str">
            <v>QN1046-XL</v>
          </cell>
          <cell r="B3945" t="str">
            <v>QN1046</v>
          </cell>
          <cell r="C3945" t="str">
            <v>ซาติน แขนสั้นขาสั้น ดอกไม้แดง ขอบเขียว XL QC</v>
          </cell>
          <cell r="E3945">
            <v>0</v>
          </cell>
          <cell r="F3945">
            <v>790</v>
          </cell>
        </row>
        <row r="3946">
          <cell r="A3946" t="str">
            <v>QN1050-M</v>
          </cell>
          <cell r="B3946" t="str">
            <v>QN1050</v>
          </cell>
          <cell r="C3946" t="str">
            <v>ซาติน แขนสั้นขาสั้น กระต่ายน้อย พื้นขาว คอระบาย M (กปก) QC</v>
          </cell>
          <cell r="E3946">
            <v>0</v>
          </cell>
          <cell r="F3946">
            <v>790</v>
          </cell>
        </row>
        <row r="3947">
          <cell r="A3947" t="str">
            <v>QN1051-M</v>
          </cell>
          <cell r="B3947" t="str">
            <v>QN1051</v>
          </cell>
          <cell r="C3947" t="str">
            <v>ซาติน แขนสั้นขาสั้น เขียวขอบระบาย M (กปก) QC</v>
          </cell>
          <cell r="E3947">
            <v>0</v>
          </cell>
          <cell r="F3947">
            <v>790</v>
          </cell>
        </row>
        <row r="3948">
          <cell r="A3948" t="str">
            <v>QN1055-2XL</v>
          </cell>
          <cell r="B3948" t="str">
            <v>QN1055</v>
          </cell>
          <cell r="C3948" t="str">
            <v>ซาติน แขนสั้นขาสั้น หมีน้อย พื้นน้ำตาล 2XL (กปก) QC</v>
          </cell>
          <cell r="E3948">
            <v>0</v>
          </cell>
          <cell r="F3948">
            <v>790</v>
          </cell>
        </row>
        <row r="3949">
          <cell r="A3949" t="str">
            <v>QN1055-XL</v>
          </cell>
          <cell r="B3949" t="str">
            <v>QN1055</v>
          </cell>
          <cell r="C3949" t="str">
            <v>ซาติน แขนสั้นขาสั้น หมีน้อย พื้นน้ำตาล XL (กปก) QC</v>
          </cell>
          <cell r="E3949">
            <v>0</v>
          </cell>
          <cell r="F3949">
            <v>790</v>
          </cell>
        </row>
        <row r="3950">
          <cell r="A3950" t="str">
            <v>QN1065-2XL</v>
          </cell>
          <cell r="B3950" t="str">
            <v>QN1065</v>
          </cell>
          <cell r="C3950" t="str">
            <v>ซาติน แขนสั้นขาสั้น รวมสัตว์ อวกาศ พื้นครีม 2XL QC</v>
          </cell>
          <cell r="E3950">
            <v>0</v>
          </cell>
          <cell r="F3950">
            <v>790</v>
          </cell>
        </row>
        <row r="3951">
          <cell r="A3951" t="str">
            <v>QN1065-L</v>
          </cell>
          <cell r="B3951" t="str">
            <v>QN1065</v>
          </cell>
          <cell r="C3951" t="str">
            <v>ซาติน แขนสั้นขาสั้น รวมสัตว์ อวกาศ พื้นครีม L QC</v>
          </cell>
          <cell r="E3951">
            <v>0</v>
          </cell>
          <cell r="F3951">
            <v>790</v>
          </cell>
        </row>
        <row r="3952">
          <cell r="A3952" t="str">
            <v>QN1080-L</v>
          </cell>
          <cell r="B3952" t="str">
            <v>QN1080</v>
          </cell>
          <cell r="C3952" t="str">
            <v>ซาติน แขนสั้นขาสั้น Flower Colourful L (กปก) QC</v>
          </cell>
          <cell r="E3952">
            <v>0</v>
          </cell>
          <cell r="F3952">
            <v>790</v>
          </cell>
        </row>
        <row r="3953">
          <cell r="A3953" t="str">
            <v>QN1080-M</v>
          </cell>
          <cell r="B3953" t="str">
            <v>QN1080</v>
          </cell>
          <cell r="C3953" t="str">
            <v>ซาติน แขนสั้นขาสั้น Flower Colourful M (กปก) QC</v>
          </cell>
          <cell r="E3953">
            <v>0</v>
          </cell>
          <cell r="F3953">
            <v>790</v>
          </cell>
        </row>
        <row r="3954">
          <cell r="A3954" t="str">
            <v>QN1082-2XL</v>
          </cell>
          <cell r="B3954" t="str">
            <v>QN1082</v>
          </cell>
          <cell r="C3954" t="str">
            <v>ซาติน แขนสั้นขาสั้น คัลเลอร์ฟูล โฮม 2XL  (กปก) QC</v>
          </cell>
          <cell r="E3954">
            <v>0</v>
          </cell>
          <cell r="F3954">
            <v>790</v>
          </cell>
        </row>
        <row r="3955">
          <cell r="A3955" t="str">
            <v>QN1089-M</v>
          </cell>
          <cell r="B3955" t="str">
            <v>QN1089</v>
          </cell>
          <cell r="C3955" t="str">
            <v>ซาติน แขนสั้นขาสั้น กราฟฟิกแดงฟ้า M (กปก) QC</v>
          </cell>
          <cell r="E3955">
            <v>0</v>
          </cell>
          <cell r="F3955">
            <v>790</v>
          </cell>
        </row>
        <row r="3956">
          <cell r="A3956" t="str">
            <v>QN1089-XL</v>
          </cell>
          <cell r="B3956" t="str">
            <v>QN1089</v>
          </cell>
          <cell r="C3956" t="str">
            <v>ซาติน แขนสั้นขาสั้น กราฟฟิกแดงฟ้า XL (กปก) QC</v>
          </cell>
          <cell r="E3956">
            <v>0</v>
          </cell>
          <cell r="F3956">
            <v>790</v>
          </cell>
        </row>
        <row r="3957">
          <cell r="A3957" t="str">
            <v>QN1090-2XL</v>
          </cell>
          <cell r="B3957" t="str">
            <v>QN1090</v>
          </cell>
          <cell r="C3957" t="str">
            <v>ซาติน แขนสั้นขาสั้น ดอกชบา พื้นดำ 2XL (กปก) QC</v>
          </cell>
          <cell r="E3957">
            <v>0</v>
          </cell>
          <cell r="F3957">
            <v>790</v>
          </cell>
        </row>
        <row r="3958">
          <cell r="A3958" t="str">
            <v>QN1090-M</v>
          </cell>
          <cell r="B3958" t="str">
            <v>QN1090</v>
          </cell>
          <cell r="C3958" t="str">
            <v>ซาติน แขนสั้นขาสั้น ดอกชบา พื้นดำ M (กปก) QC</v>
          </cell>
          <cell r="E3958">
            <v>0</v>
          </cell>
          <cell r="F3958">
            <v>790</v>
          </cell>
        </row>
        <row r="3959">
          <cell r="A3959" t="str">
            <v>QN1092-2XL</v>
          </cell>
          <cell r="B3959" t="str">
            <v>QN1092</v>
          </cell>
          <cell r="C3959" t="str">
            <v>ซาติน แขนสั้นขาสั้น ทูโทน น้ำเงินเขียว 2XL (กปก) QC</v>
          </cell>
          <cell r="E3959">
            <v>0</v>
          </cell>
          <cell r="F3959">
            <v>790</v>
          </cell>
        </row>
        <row r="3960">
          <cell r="A3960" t="str">
            <v>QN1093-XL</v>
          </cell>
          <cell r="B3960" t="str">
            <v>QN1093</v>
          </cell>
          <cell r="C3960" t="str">
            <v>ซาติน แขนสั้นขาสั้น พาสเทลชมพู ส้มเหลือง XL (กปก) QC</v>
          </cell>
          <cell r="E3960">
            <v>0</v>
          </cell>
          <cell r="F3960">
            <v>790</v>
          </cell>
        </row>
        <row r="3961">
          <cell r="A3961" t="str">
            <v>QN1094-2XL</v>
          </cell>
          <cell r="B3961" t="str">
            <v>QN1094</v>
          </cell>
          <cell r="C3961" t="str">
            <v>ซาติน แขนสั้นขาสั้น ทูโทน เขียวชมพู 2XL (กปก) QC</v>
          </cell>
          <cell r="E3961">
            <v>0</v>
          </cell>
          <cell r="F3961">
            <v>790</v>
          </cell>
        </row>
        <row r="3962">
          <cell r="A3962" t="str">
            <v>QN1094-XL</v>
          </cell>
          <cell r="B3962" t="str">
            <v>QN1094</v>
          </cell>
          <cell r="C3962" t="str">
            <v>ซาติน แขนสั้นขาสั้น ทูโทน เขียวชมพู XL (กปก) QC</v>
          </cell>
          <cell r="E3962">
            <v>0</v>
          </cell>
          <cell r="F3962">
            <v>790</v>
          </cell>
        </row>
        <row r="3963">
          <cell r="A3963" t="str">
            <v>QN1095-M</v>
          </cell>
          <cell r="B3963" t="str">
            <v>QN1095</v>
          </cell>
          <cell r="C3963" t="str">
            <v>ซาติน แขนสั้นขาสั้น สิงโตพื้นส้ม (กปก) M QC</v>
          </cell>
          <cell r="E3963">
            <v>0</v>
          </cell>
          <cell r="F3963">
            <v>790</v>
          </cell>
        </row>
        <row r="3964">
          <cell r="A3964" t="str">
            <v>QN1097-M</v>
          </cell>
          <cell r="B3964" t="str">
            <v>QN1097</v>
          </cell>
          <cell r="C3964" t="str">
            <v>ซาติน แขนสั้นขาสั้น เสือดาวอเมซอน พื้นดำ M (กปก) QC</v>
          </cell>
          <cell r="E3964">
            <v>0</v>
          </cell>
          <cell r="F3964">
            <v>790</v>
          </cell>
        </row>
        <row r="3965">
          <cell r="A3965" t="str">
            <v>QN1099-2XL</v>
          </cell>
          <cell r="B3965" t="str">
            <v>QN1099</v>
          </cell>
          <cell r="C3965" t="str">
            <v>ซาติน แขนสั้นขาสั้น เสื้อกราฟฟิก กางเกงส้ม 2XL QC</v>
          </cell>
          <cell r="E3965">
            <v>0</v>
          </cell>
          <cell r="F3965">
            <v>790</v>
          </cell>
        </row>
        <row r="3966">
          <cell r="A3966" t="str">
            <v>QN1099-L</v>
          </cell>
          <cell r="B3966" t="str">
            <v>QN1099</v>
          </cell>
          <cell r="C3966" t="str">
            <v>ซาติน แขนสั้นขาสั้น เสื้อกราฟฟิก กางเกงส้ม L QC</v>
          </cell>
          <cell r="E3966">
            <v>0</v>
          </cell>
          <cell r="F3966">
            <v>790</v>
          </cell>
        </row>
        <row r="3967">
          <cell r="A3967" t="str">
            <v>QN1099-M</v>
          </cell>
          <cell r="B3967" t="str">
            <v>QN1099</v>
          </cell>
          <cell r="C3967" t="str">
            <v>ซาติน แขนสั้นขาสั้น เสื้อกราฟฟิก กางเกงส้ม M QC</v>
          </cell>
          <cell r="E3967">
            <v>0</v>
          </cell>
          <cell r="F3967">
            <v>790</v>
          </cell>
        </row>
        <row r="3968">
          <cell r="A3968" t="str">
            <v>QN1099-XL</v>
          </cell>
          <cell r="B3968" t="str">
            <v>QN1099</v>
          </cell>
          <cell r="C3968" t="str">
            <v>ซาติน แขนสั้นขาสั้น เสื้อกราฟฟิก กางเกงส้ม XL QC</v>
          </cell>
          <cell r="E3968">
            <v>0</v>
          </cell>
          <cell r="F3968">
            <v>790</v>
          </cell>
        </row>
        <row r="3969">
          <cell r="A3969" t="str">
            <v>QN1101-M</v>
          </cell>
          <cell r="B3969" t="str">
            <v>QN1101</v>
          </cell>
          <cell r="C3969" t="str">
            <v>ซาติน แขนสั้นขาสั้น ดอกไม้หลากสี พื้นครีม M (กปก) QC</v>
          </cell>
          <cell r="E3969">
            <v>0</v>
          </cell>
          <cell r="F3969">
            <v>790</v>
          </cell>
        </row>
        <row r="3970">
          <cell r="A3970" t="str">
            <v>QN1107-M</v>
          </cell>
          <cell r="B3970" t="str">
            <v>QN1107</v>
          </cell>
          <cell r="C3970" t="str">
            <v>ซิลค์แจ็คการ์ด แขนสั้นขาสั้น กล้วยไม้ป่าพื้น ม่วงกุ๊นขาว M QC</v>
          </cell>
          <cell r="E3970">
            <v>0</v>
          </cell>
          <cell r="F3970">
            <v>890</v>
          </cell>
        </row>
        <row r="3971">
          <cell r="A3971" t="str">
            <v>QN1108-M</v>
          </cell>
          <cell r="B3971" t="str">
            <v>QN1108</v>
          </cell>
          <cell r="C3971" t="str">
            <v>ซาติน แขนสั้นขาสั้น น้องหมีลายทาง ครีมขาว M QC</v>
          </cell>
          <cell r="E3971">
            <v>0</v>
          </cell>
          <cell r="F3971">
            <v>790</v>
          </cell>
        </row>
        <row r="3972">
          <cell r="A3972" t="str">
            <v>QN1111-XL</v>
          </cell>
          <cell r="B3972" t="str">
            <v>QN1111</v>
          </cell>
          <cell r="C3972" t="str">
            <v>[AG]  ซาติน แขนสั้นขาสั้น แมวฟ้า กุ๊นขอบ XL (กปก) QC</v>
          </cell>
          <cell r="E3972">
            <v>0</v>
          </cell>
          <cell r="F3972">
            <v>790</v>
          </cell>
        </row>
        <row r="3973">
          <cell r="A3973" t="str">
            <v>QN1115-L</v>
          </cell>
          <cell r="B3973" t="str">
            <v>QN1115</v>
          </cell>
          <cell r="C3973" t="str">
            <v>[AB]  ซาติน แขนสั้นขาสั้น หัวใจเล็ก พื้นชมพู กระเป๋าโบว์ L QC</v>
          </cell>
          <cell r="E3973">
            <v>0</v>
          </cell>
          <cell r="F3973">
            <v>790</v>
          </cell>
        </row>
        <row r="3974">
          <cell r="A3974" t="str">
            <v>QN1119-M</v>
          </cell>
          <cell r="B3974" t="str">
            <v>QN1119</v>
          </cell>
          <cell r="C3974" t="str">
            <v>ซาติน แขนสั้นขาสั้น สีม่วง ขอบระบาย กระเป๋าหัวใจ M QC</v>
          </cell>
          <cell r="E3974">
            <v>0</v>
          </cell>
          <cell r="F3974">
            <v>790</v>
          </cell>
        </row>
        <row r="3975">
          <cell r="A3975" t="str">
            <v>QN1123-L</v>
          </cell>
          <cell r="B3975" t="str">
            <v>QN1123</v>
          </cell>
          <cell r="C3975" t="str">
            <v>ซาติน แขนสั้นขาสั้น ดอกไม้หลากสี พื้นชมพู L (กปก) QC</v>
          </cell>
          <cell r="E3975">
            <v>0</v>
          </cell>
          <cell r="F3975">
            <v>790</v>
          </cell>
        </row>
        <row r="3976">
          <cell r="A3976" t="str">
            <v>QN1124-M</v>
          </cell>
          <cell r="B3976" t="str">
            <v>QN1124</v>
          </cell>
          <cell r="C3976" t="str">
            <v>ซาติน แขนสั้นขาสั้น กุหลาบแดง พื้นชมพู ขอบระบาย M QC</v>
          </cell>
          <cell r="E3976">
            <v>0</v>
          </cell>
          <cell r="F3976">
            <v>890</v>
          </cell>
        </row>
        <row r="3977">
          <cell r="A3977" t="str">
            <v>QN1124-S</v>
          </cell>
          <cell r="B3977" t="str">
            <v>QN1124</v>
          </cell>
          <cell r="C3977" t="str">
            <v>ซาติน แขนสั้นขาสั้น กุหลาบแดง พื้นชมพู ขอบระบาย S QC</v>
          </cell>
          <cell r="E3977">
            <v>0</v>
          </cell>
          <cell r="F3977">
            <v>890</v>
          </cell>
        </row>
        <row r="3978">
          <cell r="A3978" t="str">
            <v>QN1124-XL</v>
          </cell>
          <cell r="B3978" t="str">
            <v>QN1124</v>
          </cell>
          <cell r="C3978" t="str">
            <v>ซาติน แขนสั้นขาสั้น กุหลาบแดง พื้นชมพู ขอบระบาย XL QC</v>
          </cell>
          <cell r="E3978">
            <v>0</v>
          </cell>
          <cell r="F3978">
            <v>890</v>
          </cell>
        </row>
        <row r="3979">
          <cell r="A3979" t="str">
            <v>QN1126-2XL</v>
          </cell>
          <cell r="B3979" t="str">
            <v>QN1126</v>
          </cell>
          <cell r="C3979" t="str">
            <v>ซาติน แขนสั้นขาสั้น กราฟฟิกฟ้า น้ำเงิน ขาว 2XL (กปก) QC</v>
          </cell>
          <cell r="E3979">
            <v>0</v>
          </cell>
          <cell r="F3979">
            <v>790</v>
          </cell>
        </row>
        <row r="3980">
          <cell r="A3980" t="str">
            <v>QN1126-M</v>
          </cell>
          <cell r="B3980" t="str">
            <v>QN1126</v>
          </cell>
          <cell r="C3980" t="str">
            <v>ซาติน แขนสั้นขาสั้น กราฟฟิกฟ้า น้ำเงิน ขาว M (กปก) QC</v>
          </cell>
          <cell r="E3980">
            <v>0</v>
          </cell>
          <cell r="F3980">
            <v>790</v>
          </cell>
        </row>
        <row r="3981">
          <cell r="A3981" t="str">
            <v>QN1127-2XL</v>
          </cell>
          <cell r="B3981" t="str">
            <v>QN1127</v>
          </cell>
          <cell r="C3981" t="str">
            <v>[AL]  ซาติน แขนสั้นขาสั้น สีรุ้ง พาสเทล 2XL (กปก) QC</v>
          </cell>
          <cell r="E3981">
            <v>0</v>
          </cell>
          <cell r="F3981">
            <v>790</v>
          </cell>
        </row>
        <row r="3982">
          <cell r="A3982" t="str">
            <v>QN1128-M</v>
          </cell>
          <cell r="B3982" t="str">
            <v>QN1128</v>
          </cell>
          <cell r="C3982" t="str">
            <v>ซาติน แขนสั้นขาสั้น ลายอาร์ท สีน้ำ M (กปก) QC</v>
          </cell>
          <cell r="E3982">
            <v>0</v>
          </cell>
          <cell r="F3982">
            <v>790</v>
          </cell>
        </row>
        <row r="3983">
          <cell r="A3983" t="str">
            <v>QN1129-2XL</v>
          </cell>
          <cell r="B3983" t="str">
            <v>QN1129</v>
          </cell>
          <cell r="C3983" t="str">
            <v>ซาติน แขนสั้นขาสั้น ดอกไม้กาสะลอง พื้นดำ 2XL QC</v>
          </cell>
          <cell r="E3983">
            <v>0</v>
          </cell>
          <cell r="F3983">
            <v>790</v>
          </cell>
        </row>
        <row r="3984">
          <cell r="A3984" t="str">
            <v>QN1129-L</v>
          </cell>
          <cell r="B3984" t="str">
            <v>QN1129</v>
          </cell>
          <cell r="C3984" t="str">
            <v>ซาติน แขนสั้นขาสั้น ดอกไม้กาสะลอง พื้นดำ L QC</v>
          </cell>
          <cell r="E3984">
            <v>0</v>
          </cell>
          <cell r="F3984">
            <v>790</v>
          </cell>
        </row>
        <row r="3985">
          <cell r="A3985" t="str">
            <v>QN1129-M</v>
          </cell>
          <cell r="B3985" t="str">
            <v>QN1129</v>
          </cell>
          <cell r="C3985" t="str">
            <v>ซาติน แขนสั้นขาสั้น ดอกไม้กาสะลอง พื้นดำ M QC</v>
          </cell>
          <cell r="E3985">
            <v>0</v>
          </cell>
          <cell r="F3985">
            <v>790</v>
          </cell>
        </row>
        <row r="3986">
          <cell r="A3986" t="str">
            <v>QN1129-XL</v>
          </cell>
          <cell r="B3986" t="str">
            <v>QN1129</v>
          </cell>
          <cell r="C3986" t="str">
            <v>ซาติน แขนสั้นขาสั้น ดอกไม้กาสะลอง พื้นดำ XL QC</v>
          </cell>
          <cell r="E3986">
            <v>0</v>
          </cell>
          <cell r="F3986">
            <v>790</v>
          </cell>
        </row>
        <row r="3987">
          <cell r="A3987" t="str">
            <v>QN1130-L</v>
          </cell>
          <cell r="B3987" t="str">
            <v>QN1130</v>
          </cell>
          <cell r="C3987" t="str">
            <v>ซาติน แขนสั้นขาสั้น นกกระยาง พื้นฟ้า L QC</v>
          </cell>
          <cell r="E3987">
            <v>0</v>
          </cell>
          <cell r="F3987">
            <v>790</v>
          </cell>
        </row>
        <row r="3988">
          <cell r="A3988" t="str">
            <v>QN1130-M</v>
          </cell>
          <cell r="B3988" t="str">
            <v>QN1130</v>
          </cell>
          <cell r="C3988" t="str">
            <v>ซาติน แขนสั้นขาสั้น นกกระยาง พื้นฟ้า M QC</v>
          </cell>
          <cell r="E3988">
            <v>0</v>
          </cell>
          <cell r="F3988">
            <v>790</v>
          </cell>
        </row>
        <row r="3989">
          <cell r="A3989" t="str">
            <v>QN1132-M</v>
          </cell>
          <cell r="B3989" t="str">
            <v>QN1132</v>
          </cell>
          <cell r="C3989" t="str">
            <v>ซาติน แขนสั้นขาสั้น ลายมัดย้อม พื้นเหลือง แขนระบาย M QC</v>
          </cell>
          <cell r="E3989">
            <v>0</v>
          </cell>
          <cell r="F3989">
            <v>890</v>
          </cell>
        </row>
        <row r="3990">
          <cell r="A3990" t="str">
            <v>QN1146-M</v>
          </cell>
          <cell r="B3990" t="str">
            <v>QN1146</v>
          </cell>
          <cell r="C3990" t="str">
            <v>ซาติน แขนสั้นขาสั้น Pinky Flowers คอปกชมพูอ่อน M QC</v>
          </cell>
          <cell r="E3990">
            <v>0</v>
          </cell>
          <cell r="F3990">
            <v>790</v>
          </cell>
        </row>
        <row r="3991">
          <cell r="A3991" t="str">
            <v>QN1147-M</v>
          </cell>
          <cell r="B3991" t="str">
            <v>QN1147</v>
          </cell>
          <cell r="C3991" t="str">
            <v>ซาติน แขนสั้นขาสั้น ผลไม้รวม พื้นชมพู ขอบลายทางเขียว (มีกปก) M QC</v>
          </cell>
          <cell r="E3991">
            <v>0</v>
          </cell>
          <cell r="F3991">
            <v>790</v>
          </cell>
        </row>
        <row r="3992">
          <cell r="A3992" t="str">
            <v>QN1148-2XL</v>
          </cell>
          <cell r="B3992" t="str">
            <v>QN1148</v>
          </cell>
          <cell r="C3992" t="str">
            <v>ซาติน แขนสั้นขาสั้น Tiger Pink (มีกปก) 2XL QC</v>
          </cell>
          <cell r="E3992">
            <v>0</v>
          </cell>
          <cell r="F3992">
            <v>790</v>
          </cell>
        </row>
        <row r="3993">
          <cell r="A3993" t="str">
            <v>QN1148-M</v>
          </cell>
          <cell r="B3993" t="str">
            <v>QN1148</v>
          </cell>
          <cell r="C3993" t="str">
            <v>ซาติน แขนสั้นขาสั้น Tiger Pink (มีกปก) M QC</v>
          </cell>
          <cell r="E3993">
            <v>0</v>
          </cell>
          <cell r="F3993">
            <v>790</v>
          </cell>
        </row>
        <row r="3994">
          <cell r="A3994" t="str">
            <v>QN1149-2XL</v>
          </cell>
          <cell r="B3994" t="str">
            <v>QN1149</v>
          </cell>
          <cell r="C3994" t="str">
            <v>ซาติน แขนสั้นขาสั้น 12 ราศี พื้นกรม (มีกปก) 2XL QC</v>
          </cell>
          <cell r="E3994">
            <v>0</v>
          </cell>
          <cell r="F3994">
            <v>790</v>
          </cell>
        </row>
        <row r="3995">
          <cell r="A3995" t="str">
            <v>QN1149-3XL</v>
          </cell>
          <cell r="B3995" t="str">
            <v>QN1149</v>
          </cell>
          <cell r="C3995" t="str">
            <v>ซาติน แขนสั้นขาสั้น 12 ราศี พื้นกรม (มีกปก) 3XL QC</v>
          </cell>
          <cell r="E3995">
            <v>0</v>
          </cell>
          <cell r="F3995">
            <v>790</v>
          </cell>
        </row>
        <row r="3996">
          <cell r="A3996" t="str">
            <v>QN1149-L</v>
          </cell>
          <cell r="B3996" t="str">
            <v>QN1149</v>
          </cell>
          <cell r="C3996" t="str">
            <v>ซาติน แขนสั้นขาสั้น 12 ราศี พื้นกรม (มีกปก) L QC</v>
          </cell>
          <cell r="E3996">
            <v>0</v>
          </cell>
          <cell r="F3996">
            <v>790</v>
          </cell>
        </row>
        <row r="3997">
          <cell r="A3997" t="str">
            <v>QN1149-M</v>
          </cell>
          <cell r="B3997" t="str">
            <v>QN1149</v>
          </cell>
          <cell r="C3997" t="str">
            <v>ซาติน แขนสั้นขาสั้น 12 ราศี พื้นกรม (มีกปก) M QC</v>
          </cell>
          <cell r="E3997">
            <v>0</v>
          </cell>
          <cell r="F3997">
            <v>790</v>
          </cell>
        </row>
        <row r="3998">
          <cell r="A3998" t="str">
            <v>QN1150-2XL</v>
          </cell>
          <cell r="B3998" t="str">
            <v>QN1150</v>
          </cell>
          <cell r="C3998" t="str">
            <v>ซาติน แขนสั้นขาสั้น 12 ราศี พื้นเขียว (มีกปก) 2XL QC</v>
          </cell>
          <cell r="E3998">
            <v>0</v>
          </cell>
          <cell r="F3998">
            <v>790</v>
          </cell>
        </row>
        <row r="3999">
          <cell r="A3999" t="str">
            <v>QN1150-L</v>
          </cell>
          <cell r="B3999" t="str">
            <v>QN1150</v>
          </cell>
          <cell r="C3999" t="str">
            <v>ซาติน แขนสั้นขาสั้น 12 ราศี พื้นเขียว (มีกปก) L QC</v>
          </cell>
          <cell r="E3999">
            <v>0</v>
          </cell>
          <cell r="F3999">
            <v>790</v>
          </cell>
        </row>
        <row r="4000">
          <cell r="A4000" t="str">
            <v>QN1150-M</v>
          </cell>
          <cell r="B4000" t="str">
            <v>QN1150</v>
          </cell>
          <cell r="C4000" t="str">
            <v>ซาติน แขนสั้นขาสั้น 12 ราศี พื้นเขียว (มีกปก) M QC</v>
          </cell>
          <cell r="E4000">
            <v>0</v>
          </cell>
          <cell r="F4000">
            <v>790</v>
          </cell>
        </row>
        <row r="4001">
          <cell r="A4001" t="str">
            <v>QN1156-M</v>
          </cell>
          <cell r="B4001" t="str">
            <v>QN1156</v>
          </cell>
          <cell r="C4001" t="str">
            <v>ซาติน แขนสั้นขาสั้น Beautiful Women White M (กปก) QC</v>
          </cell>
          <cell r="E4001">
            <v>0</v>
          </cell>
          <cell r="F4001">
            <v>790</v>
          </cell>
        </row>
        <row r="4002">
          <cell r="A4002" t="str">
            <v>QN1157-2XL</v>
          </cell>
          <cell r="B4002" t="str">
            <v>QN1157</v>
          </cell>
          <cell r="C4002" t="str">
            <v>ซาติน แขนสั้นขาสั้น ฟอนท์อังกฤษ พื้นขาว 2XL (กปก) QC</v>
          </cell>
          <cell r="E4002">
            <v>0</v>
          </cell>
          <cell r="F4002">
            <v>790</v>
          </cell>
        </row>
        <row r="4003">
          <cell r="A4003" t="str">
            <v>QN1157-M</v>
          </cell>
          <cell r="B4003" t="str">
            <v>QN1157</v>
          </cell>
          <cell r="C4003" t="str">
            <v>ซาติน แขนสั้นขาสั้น ฟอนท์อังกฤษ พื้นขาว M (กปก) QC</v>
          </cell>
          <cell r="E4003">
            <v>0</v>
          </cell>
          <cell r="F4003">
            <v>790</v>
          </cell>
        </row>
        <row r="4004">
          <cell r="A4004" t="str">
            <v>QN1158-2XL</v>
          </cell>
          <cell r="B4004" t="str">
            <v>QN1158</v>
          </cell>
          <cell r="C4004" t="str">
            <v>ซาติน แขนสั้นขาสั้น Beautiful Women Pink 2XL (กปก) QC</v>
          </cell>
          <cell r="E4004">
            <v>0</v>
          </cell>
          <cell r="F4004">
            <v>790</v>
          </cell>
        </row>
        <row r="4005">
          <cell r="A4005" t="str">
            <v>QN1158-L</v>
          </cell>
          <cell r="B4005" t="str">
            <v>QN1158</v>
          </cell>
          <cell r="C4005" t="str">
            <v>ซาติน แขนสั้นขาสั้น Beautiful Women Pink L (กปก) QC</v>
          </cell>
          <cell r="E4005">
            <v>0</v>
          </cell>
          <cell r="F4005">
            <v>790</v>
          </cell>
        </row>
        <row r="4006">
          <cell r="A4006" t="str">
            <v>QN1158-M</v>
          </cell>
          <cell r="B4006" t="str">
            <v>QN1158</v>
          </cell>
          <cell r="C4006" t="str">
            <v>ซาติน แขนสั้นขาสั้น Beautiful Women Pink M (กปก) QC</v>
          </cell>
          <cell r="E4006">
            <v>0</v>
          </cell>
          <cell r="F4006">
            <v>790</v>
          </cell>
        </row>
        <row r="4007">
          <cell r="A4007" t="str">
            <v>QN1158-XL</v>
          </cell>
          <cell r="B4007" t="str">
            <v>QN1158</v>
          </cell>
          <cell r="C4007" t="str">
            <v>[AK]  ซาติน แขนสั้นขาสั้น Beautiful Women Pink XL (กปก) QC</v>
          </cell>
          <cell r="E4007">
            <v>0</v>
          </cell>
          <cell r="F4007">
            <v>790</v>
          </cell>
        </row>
        <row r="4008">
          <cell r="A4008" t="str">
            <v>QN1159-L</v>
          </cell>
          <cell r="B4008" t="str">
            <v>QN1159</v>
          </cell>
          <cell r="C4008" t="str">
            <v>ซาติน แขนสั้นขาสั้น Violet Rose พื้นเขียวมินท์ L QC</v>
          </cell>
          <cell r="E4008">
            <v>0</v>
          </cell>
          <cell r="F4008">
            <v>790</v>
          </cell>
        </row>
        <row r="4009">
          <cell r="A4009" t="str">
            <v>QN1159-M</v>
          </cell>
          <cell r="B4009" t="str">
            <v>QN1159</v>
          </cell>
          <cell r="C4009" t="str">
            <v>ซาติน แขนสั้นขาสั้น Violet Rose พื้นเขียวมินท์ M QC</v>
          </cell>
          <cell r="E4009">
            <v>0</v>
          </cell>
          <cell r="F4009">
            <v>790</v>
          </cell>
        </row>
        <row r="4010">
          <cell r="A4010" t="str">
            <v>QN1160-XL</v>
          </cell>
          <cell r="B4010" t="str">
            <v>QN1160</v>
          </cell>
          <cell r="C4010" t="str">
            <v>ซาติน แขนสั้นขาสั้น Muslin Yellow XL QC</v>
          </cell>
          <cell r="E4010">
            <v>0</v>
          </cell>
          <cell r="F4010">
            <v>790</v>
          </cell>
        </row>
        <row r="4011">
          <cell r="A4011" t="str">
            <v>QN1161-2XL</v>
          </cell>
          <cell r="B4011" t="str">
            <v>QN1161</v>
          </cell>
          <cell r="C4011" t="str">
            <v>ซาติน แขนสั้นขาสั้น Muslin Light Blue 2XL QC</v>
          </cell>
          <cell r="E4011">
            <v>0</v>
          </cell>
          <cell r="F4011">
            <v>790</v>
          </cell>
        </row>
        <row r="4012">
          <cell r="A4012" t="str">
            <v>QN1162-M</v>
          </cell>
          <cell r="B4012" t="str">
            <v>QN1162</v>
          </cell>
          <cell r="C4012" t="str">
            <v>ซาติน แขนสั้นขาสั้น Muslin Green M QC</v>
          </cell>
          <cell r="E4012">
            <v>0</v>
          </cell>
          <cell r="F4012">
            <v>790</v>
          </cell>
        </row>
        <row r="4013">
          <cell r="A4013" t="str">
            <v>QN1163-L</v>
          </cell>
          <cell r="B4013" t="str">
            <v>QN1163</v>
          </cell>
          <cell r="C4013" t="str">
            <v>ซาติน แขนสั้นขาสั้น Muslin Pinkky L QC</v>
          </cell>
          <cell r="E4013">
            <v>0</v>
          </cell>
          <cell r="F4013">
            <v>790</v>
          </cell>
        </row>
        <row r="4014">
          <cell r="A4014" t="str">
            <v>QN1163-M</v>
          </cell>
          <cell r="B4014" t="str">
            <v>QN1163</v>
          </cell>
          <cell r="C4014" t="str">
            <v>ซาติน แขนสั้นขาสั้น Muslin Pinkky M QC</v>
          </cell>
          <cell r="E4014">
            <v>0</v>
          </cell>
          <cell r="F4014">
            <v>790</v>
          </cell>
        </row>
        <row r="4015">
          <cell r="A4015" t="str">
            <v>QN1164-2XL</v>
          </cell>
          <cell r="B4015" t="str">
            <v>QN1164</v>
          </cell>
          <cell r="C4015" t="str">
            <v>ซาติน แขนสั้นขาสั้น Muslin Dark Blue 2XL QC</v>
          </cell>
          <cell r="E4015">
            <v>0</v>
          </cell>
          <cell r="F4015">
            <v>790</v>
          </cell>
        </row>
        <row r="4016">
          <cell r="A4016" t="str">
            <v>QN1168-XL</v>
          </cell>
          <cell r="B4016" t="str">
            <v>QN1168</v>
          </cell>
          <cell r="C4016" t="str">
            <v>ซาติน แขนสั้นขาสั้น Mini Cute เขียวขาว XL (กปก) QC</v>
          </cell>
          <cell r="E4016">
            <v>0</v>
          </cell>
          <cell r="F4016">
            <v>790</v>
          </cell>
        </row>
        <row r="4017">
          <cell r="A4017" t="str">
            <v>QN1169-M</v>
          </cell>
          <cell r="B4017" t="str">
            <v>QN1169</v>
          </cell>
          <cell r="C4017" t="str">
            <v>ซาติน แขนสั้นขาสั้น Mini Cute เทาขาว M (กปก) QC</v>
          </cell>
          <cell r="E4017">
            <v>0</v>
          </cell>
          <cell r="F4017">
            <v>790</v>
          </cell>
        </row>
        <row r="4018">
          <cell r="A4018" t="str">
            <v>QN1170-2XL</v>
          </cell>
          <cell r="B4018" t="str">
            <v>QN1170</v>
          </cell>
          <cell r="C4018" t="str">
            <v>ซาติน แขนสั้นขาสั้น Mini Cute โอโรสขาว 2XL (กปก) QC</v>
          </cell>
          <cell r="E4018">
            <v>0</v>
          </cell>
          <cell r="F4018">
            <v>790</v>
          </cell>
        </row>
        <row r="4019">
          <cell r="A4019" t="str">
            <v>QN1175-2XL</v>
          </cell>
          <cell r="B4019" t="str">
            <v>QN1175</v>
          </cell>
          <cell r="C4019" t="str">
            <v>ซาติน แขนสั้นขาสั้น กวางน้อย พื้นขาว ปกเทา 2XL  (กปก) QC</v>
          </cell>
          <cell r="E4019">
            <v>0</v>
          </cell>
          <cell r="F4019">
            <v>790</v>
          </cell>
        </row>
        <row r="4020">
          <cell r="A4020" t="str">
            <v>QN1175-L</v>
          </cell>
          <cell r="B4020" t="str">
            <v>QN1175</v>
          </cell>
          <cell r="C4020" t="str">
            <v>ซาติน แขนสั้นขาสั้น กวางน้อย พื้นขาว ปกเทา L (กปก) QC</v>
          </cell>
          <cell r="E4020">
            <v>0</v>
          </cell>
          <cell r="F4020">
            <v>790</v>
          </cell>
        </row>
        <row r="4021">
          <cell r="A4021" t="str">
            <v>QN1175-M</v>
          </cell>
          <cell r="B4021" t="str">
            <v>QN1175</v>
          </cell>
          <cell r="C4021" t="str">
            <v>ซาติน แขนสั้นขาสั้น กวางน้อย พื้นขาว ปกเทา M (กปก) QC</v>
          </cell>
          <cell r="E4021">
            <v>0</v>
          </cell>
          <cell r="F4021">
            <v>790</v>
          </cell>
        </row>
        <row r="4022">
          <cell r="A4022" t="str">
            <v>QN1178-2XL</v>
          </cell>
          <cell r="B4022" t="str">
            <v>QN1178</v>
          </cell>
          <cell r="C4022" t="str">
            <v>ซาติน แขนสั้นขาสั้น ใบตอง เทาม่วง พื้นเขียว 2XL (กปก) QC</v>
          </cell>
          <cell r="E4022">
            <v>0</v>
          </cell>
          <cell r="F4022">
            <v>790</v>
          </cell>
        </row>
        <row r="4023">
          <cell r="A4023" t="str">
            <v>QN1182-2XL</v>
          </cell>
          <cell r="B4023" t="str">
            <v>QN1182</v>
          </cell>
          <cell r="C4023" t="str">
            <v>ซาติน แขนสั้นขาสั้น หมีฟ้า พื้นฟ้า 2XL QC</v>
          </cell>
          <cell r="E4023">
            <v>0</v>
          </cell>
          <cell r="F4023">
            <v>790</v>
          </cell>
        </row>
        <row r="4024">
          <cell r="A4024" t="str">
            <v>QN1182-3XL</v>
          </cell>
          <cell r="B4024" t="str">
            <v>QN1182</v>
          </cell>
          <cell r="C4024" t="str">
            <v>ซาติน แขนสั้นขาสั้น หมีฟ้า พื้นฟ้า 3XL QC</v>
          </cell>
          <cell r="E4024">
            <v>0</v>
          </cell>
          <cell r="F4024">
            <v>790</v>
          </cell>
        </row>
        <row r="4025">
          <cell r="A4025" t="str">
            <v>QN1182-L</v>
          </cell>
          <cell r="B4025" t="str">
            <v>QN1182</v>
          </cell>
          <cell r="C4025" t="str">
            <v>ซาติน แขนสั้นขาสั้น หมีฟ้า พื้นฟ้า L QC</v>
          </cell>
          <cell r="E4025">
            <v>0</v>
          </cell>
          <cell r="F4025">
            <v>790</v>
          </cell>
        </row>
        <row r="4026">
          <cell r="A4026" t="str">
            <v>QN1182-M</v>
          </cell>
          <cell r="B4026" t="str">
            <v>QN1182</v>
          </cell>
          <cell r="C4026" t="str">
            <v>ซาติน แขนสั้นขาสั้น หมีฟ้า พื้นฟ้า M QC</v>
          </cell>
          <cell r="E4026">
            <v>0</v>
          </cell>
          <cell r="F4026">
            <v>790</v>
          </cell>
        </row>
        <row r="4027">
          <cell r="A4027" t="str">
            <v>QN1182-XL</v>
          </cell>
          <cell r="B4027" t="str">
            <v>QN1182</v>
          </cell>
          <cell r="C4027" t="str">
            <v>ซาติน แขนสั้นขาสั้น หมีฟ้า พื้นฟ้า XL QC</v>
          </cell>
          <cell r="E4027">
            <v>0</v>
          </cell>
          <cell r="F4027">
            <v>790</v>
          </cell>
        </row>
        <row r="4028">
          <cell r="A4028" t="str">
            <v>QN1183-3XL</v>
          </cell>
          <cell r="B4028" t="str">
            <v>QN1183</v>
          </cell>
          <cell r="C4028" t="str">
            <v>[AG]  ซาติน แขนสั้นขาสั้น กระต่ายชมพู ปกเขียว 3XL QC</v>
          </cell>
          <cell r="E4028">
            <v>0</v>
          </cell>
          <cell r="F4028">
            <v>790</v>
          </cell>
        </row>
        <row r="4029">
          <cell r="A4029" t="str">
            <v>QN1183-L</v>
          </cell>
          <cell r="B4029" t="str">
            <v>QN1183</v>
          </cell>
          <cell r="C4029" t="str">
            <v>[AG]  ซาติน แขนสั้นขาสั้น กระต่ายชมพู ปกเขียว L QC</v>
          </cell>
          <cell r="E4029">
            <v>0</v>
          </cell>
          <cell r="F4029">
            <v>790</v>
          </cell>
        </row>
        <row r="4030">
          <cell r="A4030" t="str">
            <v>QN1183-M</v>
          </cell>
          <cell r="B4030" t="str">
            <v>QN1183</v>
          </cell>
          <cell r="C4030" t="str">
            <v>ซาติน แขนสั้นขาสั้น กระต่ายชมพู ปกเขียว M QC</v>
          </cell>
          <cell r="E4030">
            <v>0</v>
          </cell>
          <cell r="F4030">
            <v>790</v>
          </cell>
        </row>
        <row r="4031">
          <cell r="A4031" t="str">
            <v>QN1184-2XL</v>
          </cell>
          <cell r="B4031" t="str">
            <v>QN1184</v>
          </cell>
          <cell r="C4031" t="str">
            <v>ซาติน แขนสั้นขาสั้น ม้าลาย ปกชมพู 2XL QC</v>
          </cell>
          <cell r="E4031">
            <v>0</v>
          </cell>
          <cell r="F4031">
            <v>890</v>
          </cell>
        </row>
        <row r="4032">
          <cell r="A4032" t="str">
            <v>QN1184-3XL</v>
          </cell>
          <cell r="B4032" t="str">
            <v>QN1184</v>
          </cell>
          <cell r="C4032" t="str">
            <v>ซาติน แขนสั้นขาสั้น ม้าลาย ปกชมพู 3XL QC</v>
          </cell>
          <cell r="E4032">
            <v>0</v>
          </cell>
          <cell r="F4032">
            <v>890</v>
          </cell>
        </row>
        <row r="4033">
          <cell r="A4033" t="str">
            <v>QN1184-L</v>
          </cell>
          <cell r="B4033" t="str">
            <v>QN1184</v>
          </cell>
          <cell r="C4033" t="str">
            <v>ซาติน แขนสั้นขาสั้น ม้าลาย ปกชมพู L QC</v>
          </cell>
          <cell r="E4033">
            <v>0</v>
          </cell>
          <cell r="F4033">
            <v>890</v>
          </cell>
        </row>
        <row r="4034">
          <cell r="A4034" t="str">
            <v>QN1184-M</v>
          </cell>
          <cell r="B4034" t="str">
            <v>QN1184</v>
          </cell>
          <cell r="C4034" t="str">
            <v>ซาติน แขนสั้นขาสั้น ม้าลาย ปกชมพู M QC</v>
          </cell>
          <cell r="E4034">
            <v>0</v>
          </cell>
          <cell r="F4034">
            <v>890</v>
          </cell>
        </row>
        <row r="4035">
          <cell r="A4035" t="str">
            <v>QN1184-XL</v>
          </cell>
          <cell r="B4035" t="str">
            <v>QN1184</v>
          </cell>
          <cell r="C4035" t="str">
            <v>ซาติน แขนสั้นขาสั้น ม้าลาย ปกชมพู XL QC</v>
          </cell>
          <cell r="E4035">
            <v>0</v>
          </cell>
          <cell r="F4035">
            <v>890</v>
          </cell>
        </row>
        <row r="4036">
          <cell r="A4036" t="str">
            <v>QN1188-2XL</v>
          </cell>
          <cell r="B4036" t="str">
            <v>QN1188</v>
          </cell>
          <cell r="C4036" t="str">
            <v>ซาติน แขนสั้นขาสั้น เงือกน้อยพื้นขาว ปกม่วง 2XL QC</v>
          </cell>
          <cell r="E4036">
            <v>0</v>
          </cell>
          <cell r="F4036">
            <v>790</v>
          </cell>
        </row>
        <row r="4037">
          <cell r="A4037" t="str">
            <v>QN1188-L</v>
          </cell>
          <cell r="B4037" t="str">
            <v>QN1188</v>
          </cell>
          <cell r="C4037" t="str">
            <v>ซาติน แขนสั้นขาสั้น เงือกน้อยพื้นขาว ปกม่วง L QC</v>
          </cell>
          <cell r="E4037">
            <v>0</v>
          </cell>
          <cell r="F4037">
            <v>790</v>
          </cell>
        </row>
        <row r="4038">
          <cell r="A4038" t="str">
            <v>QN1188-M</v>
          </cell>
          <cell r="B4038" t="str">
            <v>QN1188</v>
          </cell>
          <cell r="C4038" t="str">
            <v>ซาติน แขนสั้นขาสั้น เงือกน้อยพื้นขาว ปกม่วง M QC</v>
          </cell>
          <cell r="E4038">
            <v>0</v>
          </cell>
          <cell r="F4038">
            <v>790</v>
          </cell>
        </row>
        <row r="4039">
          <cell r="A4039" t="str">
            <v>QN1188-XL</v>
          </cell>
          <cell r="B4039" t="str">
            <v>QN1188</v>
          </cell>
          <cell r="C4039" t="str">
            <v>ซาติน แขนสั้นขาสั้น เงือกน้อยพื้นขาว ปกม่วง XL QC</v>
          </cell>
          <cell r="E4039">
            <v>0</v>
          </cell>
          <cell r="F4039">
            <v>790</v>
          </cell>
        </row>
        <row r="4040">
          <cell r="A4040" t="str">
            <v>QN1191-2XL</v>
          </cell>
          <cell r="B4040" t="str">
            <v>QN1191</v>
          </cell>
          <cell r="C4040" t="str">
            <v>ซาติน แขนสั้นขาสั้น two tone white brown (กปก) 2XL QC</v>
          </cell>
          <cell r="E4040">
            <v>0</v>
          </cell>
          <cell r="F4040">
            <v>790</v>
          </cell>
        </row>
        <row r="4041">
          <cell r="A4041" t="str">
            <v>QN1192-M</v>
          </cell>
          <cell r="B4041" t="str">
            <v>QN1192</v>
          </cell>
          <cell r="C4041" t="str">
            <v>ซาติน แขนสั้นขาสั้น two tone white gold (กปก) M QC</v>
          </cell>
          <cell r="E4041">
            <v>0</v>
          </cell>
          <cell r="F4041">
            <v>790</v>
          </cell>
        </row>
        <row r="4042">
          <cell r="A4042" t="str">
            <v>QN1195-L</v>
          </cell>
          <cell r="B4042" t="str">
            <v>QN1195</v>
          </cell>
          <cell r="C4042" t="str">
            <v>ซาติน แขนสั้นขาสั้น กระต่ายขาว พื้นม่วง (กปก) L QC</v>
          </cell>
          <cell r="E4042">
            <v>0</v>
          </cell>
          <cell r="F4042">
            <v>790</v>
          </cell>
        </row>
        <row r="4043">
          <cell r="A4043" t="str">
            <v>QN1195-XL</v>
          </cell>
          <cell r="B4043" t="str">
            <v>QN1195</v>
          </cell>
          <cell r="C4043" t="str">
            <v>ซาติน แขนสั้นขาสั้น กระต่ายขาว พื้นม่วง (กปก) XL QC</v>
          </cell>
          <cell r="E4043">
            <v>0</v>
          </cell>
          <cell r="F4043">
            <v>790</v>
          </cell>
        </row>
        <row r="4044">
          <cell r="A4044" t="str">
            <v>QN1198-2XL</v>
          </cell>
          <cell r="B4044" t="str">
            <v>QN1198</v>
          </cell>
          <cell r="C4044" t="str">
            <v>ซาติน แขนสั้นขาสั้น กระต่ายขาว พื้นชมพู ขอบเขียว 2XL QC</v>
          </cell>
          <cell r="E4044">
            <v>0</v>
          </cell>
          <cell r="F4044">
            <v>790</v>
          </cell>
        </row>
        <row r="4045">
          <cell r="A4045" t="str">
            <v>QN1198-XL</v>
          </cell>
          <cell r="B4045" t="str">
            <v>QN1198</v>
          </cell>
          <cell r="C4045" t="str">
            <v>ซาติน แขนสั้นขาสั้น กระต่ายขาว พื้นชมพู ขอบเขียว XL QC</v>
          </cell>
          <cell r="E4045">
            <v>0</v>
          </cell>
          <cell r="F4045">
            <v>790</v>
          </cell>
        </row>
        <row r="4046">
          <cell r="A4046" t="str">
            <v>QN1199-L</v>
          </cell>
          <cell r="B4046" t="str">
            <v>QN1199</v>
          </cell>
          <cell r="C4046" t="str">
            <v>ซาติน แขนสั้นขาสั้น กระต่ายขาว พื้นเขียวมิ้น ขอบขาว L QC</v>
          </cell>
          <cell r="E4046">
            <v>0</v>
          </cell>
          <cell r="F4046">
            <v>790</v>
          </cell>
        </row>
        <row r="4047">
          <cell r="A4047" t="str">
            <v>QN1200-2XL</v>
          </cell>
          <cell r="B4047" t="str">
            <v>QN1200</v>
          </cell>
          <cell r="C4047" t="str">
            <v>ซาติน แขนสั้นขาสั้น น้องหมา พื้นเทา 2XL QC</v>
          </cell>
          <cell r="E4047">
            <v>0</v>
          </cell>
          <cell r="F4047">
            <v>790</v>
          </cell>
        </row>
        <row r="4048">
          <cell r="A4048" t="str">
            <v>QN1201-3XL</v>
          </cell>
          <cell r="B4048" t="str">
            <v>QN1201</v>
          </cell>
          <cell r="C4048" t="str">
            <v>[AA]   ซาติน แขนสั้นขาสั้น รวมสัตว์ คริสต์มาส 3XL (กปก) QC</v>
          </cell>
          <cell r="E4048">
            <v>0</v>
          </cell>
          <cell r="F4048">
            <v>790</v>
          </cell>
        </row>
        <row r="4049">
          <cell r="A4049" t="str">
            <v>QN1201-L</v>
          </cell>
          <cell r="B4049" t="str">
            <v>QN1201</v>
          </cell>
          <cell r="C4049" t="str">
            <v>[AA]   ซาติน แขนสั้นขาสั้น รวมสัตว์ คริสต์มาส L (กปก) QC</v>
          </cell>
          <cell r="E4049">
            <v>0</v>
          </cell>
          <cell r="F4049">
            <v>790</v>
          </cell>
        </row>
        <row r="4050">
          <cell r="A4050" t="str">
            <v>QN1202-2XL</v>
          </cell>
          <cell r="B4050" t="str">
            <v>QN1202</v>
          </cell>
          <cell r="C4050" t="str">
            <v>ซาติน แขนสั้นขาสั้น สวนสัตว์หลากสี 2XL (กปก) QC</v>
          </cell>
          <cell r="E4050">
            <v>0</v>
          </cell>
          <cell r="F4050">
            <v>790</v>
          </cell>
        </row>
        <row r="4051">
          <cell r="A4051" t="str">
            <v>QN1202-XL</v>
          </cell>
          <cell r="B4051" t="str">
            <v>QN1202</v>
          </cell>
          <cell r="C4051" t="str">
            <v>ซาติน แขนสั้นขาสั้น สวนสัตว์หลากสี XL (กปก) QC</v>
          </cell>
          <cell r="E4051">
            <v>0</v>
          </cell>
          <cell r="F4051">
            <v>790</v>
          </cell>
        </row>
        <row r="4052">
          <cell r="A4052" t="str">
            <v>QN1203-XL</v>
          </cell>
          <cell r="B4052" t="str">
            <v>QN1203</v>
          </cell>
          <cell r="C4052" t="str">
            <v>ซาติน แขนสั้นขาสั้น หมาผลไม้ พื้นชมพู XL (กปก) QC</v>
          </cell>
          <cell r="E4052">
            <v>0</v>
          </cell>
          <cell r="F4052">
            <v>790</v>
          </cell>
        </row>
        <row r="4053">
          <cell r="A4053" t="str">
            <v>QN1209-L</v>
          </cell>
          <cell r="B4053" t="str">
            <v>QN1209</v>
          </cell>
          <cell r="C4053" t="str">
            <v>ซาติน แขนสั้นขาสั้น Garden flower ขอบแดง L QC</v>
          </cell>
          <cell r="E4053">
            <v>0</v>
          </cell>
          <cell r="F4053">
            <v>790</v>
          </cell>
        </row>
        <row r="4054">
          <cell r="A4054" t="str">
            <v>QN1209-M</v>
          </cell>
          <cell r="B4054" t="str">
            <v>QN1209</v>
          </cell>
          <cell r="C4054" t="str">
            <v>ซาติน แขนสั้นขาสั้น Garden flower ขอบแดง M QC</v>
          </cell>
          <cell r="E4054">
            <v>0</v>
          </cell>
          <cell r="F4054">
            <v>790</v>
          </cell>
        </row>
        <row r="4055">
          <cell r="A4055" t="str">
            <v>QN1209-XL</v>
          </cell>
          <cell r="B4055" t="str">
            <v>QN1209</v>
          </cell>
          <cell r="C4055" t="str">
            <v>ซาติน แขนสั้นขาสั้น Garden flower ขอบแดง XL QC</v>
          </cell>
          <cell r="E4055">
            <v>0</v>
          </cell>
          <cell r="F4055">
            <v>790</v>
          </cell>
        </row>
        <row r="4056">
          <cell r="A4056" t="str">
            <v>QN1212-2XL</v>
          </cell>
          <cell r="B4056" t="str">
            <v>QN1212</v>
          </cell>
          <cell r="C4056" t="str">
            <v>ซาติน แขนสั้นขาสั้น กระต่ายน้อยอุ้มไข่ ปกเหลือง 2XL QC</v>
          </cell>
          <cell r="E4056">
            <v>0</v>
          </cell>
          <cell r="F4056">
            <v>790</v>
          </cell>
        </row>
        <row r="4057">
          <cell r="A4057" t="str">
            <v>QN1212-3XL</v>
          </cell>
          <cell r="B4057" t="str">
            <v>QN1212</v>
          </cell>
          <cell r="C4057" t="str">
            <v>ซาติน แขนสั้นขาสั้น กระต่ายน้อยอุ้มไข่ ปกเหลือง 3XL QC</v>
          </cell>
          <cell r="E4057">
            <v>0</v>
          </cell>
          <cell r="F4057">
            <v>790</v>
          </cell>
        </row>
        <row r="4058">
          <cell r="A4058" t="str">
            <v>QN1212-L</v>
          </cell>
          <cell r="B4058" t="str">
            <v>QN1212</v>
          </cell>
          <cell r="C4058" t="str">
            <v>ซาติน แขนสั้นขาสั้น กระต่ายน้อยอุ้มไข่ ปกเหลือง L QC</v>
          </cell>
          <cell r="E4058">
            <v>0</v>
          </cell>
          <cell r="F4058">
            <v>790</v>
          </cell>
        </row>
        <row r="4059">
          <cell r="A4059" t="str">
            <v>QN1212-M</v>
          </cell>
          <cell r="B4059" t="str">
            <v>QN1212</v>
          </cell>
          <cell r="C4059" t="str">
            <v>ซาติน แขนสั้นขาสั้น กระต่ายน้อยอุ้มไข่ ปกเหลือง M QC</v>
          </cell>
          <cell r="E4059">
            <v>0</v>
          </cell>
          <cell r="F4059">
            <v>790</v>
          </cell>
        </row>
        <row r="4060">
          <cell r="A4060" t="str">
            <v>QN1213-L</v>
          </cell>
          <cell r="B4060" t="str">
            <v>QN1213</v>
          </cell>
          <cell r="C4060" t="str">
            <v>ซาติน แขนสั้นขาสั้น rabbit white ปกขาว ขอบม่วง L QC</v>
          </cell>
          <cell r="E4060">
            <v>0</v>
          </cell>
          <cell r="F4060">
            <v>890</v>
          </cell>
        </row>
        <row r="4061">
          <cell r="A4061" t="str">
            <v>QN1214-L</v>
          </cell>
          <cell r="B4061" t="str">
            <v>QN1214</v>
          </cell>
          <cell r="C4061" t="str">
            <v>ซาติน แขนสั้นขาสั้น rabbit white flower pink ปกม่วง L QC</v>
          </cell>
          <cell r="E4061">
            <v>0</v>
          </cell>
          <cell r="F4061">
            <v>890</v>
          </cell>
        </row>
        <row r="4062">
          <cell r="A4062" t="str">
            <v>QN1214-M</v>
          </cell>
          <cell r="B4062" t="str">
            <v>QN1214</v>
          </cell>
          <cell r="C4062" t="str">
            <v>ซาติน แขนสั้นขาสั้น rabbit white flower pink ปกม่วง M QC</v>
          </cell>
          <cell r="E4062">
            <v>0</v>
          </cell>
          <cell r="F4062">
            <v>890</v>
          </cell>
        </row>
        <row r="4063">
          <cell r="A4063" t="str">
            <v>QN1215-M</v>
          </cell>
          <cell r="B4063" t="str">
            <v>QN1215</v>
          </cell>
          <cell r="C4063" t="str">
            <v>[AC]   ซาติน แขนสั้นขาสั้น zoooforest M (กปก) QC</v>
          </cell>
          <cell r="E4063">
            <v>0</v>
          </cell>
          <cell r="F4063">
            <v>790</v>
          </cell>
        </row>
        <row r="4064">
          <cell r="A4064" t="str">
            <v>QN1218-L</v>
          </cell>
          <cell r="B4064" t="str">
            <v>QN1218</v>
          </cell>
          <cell r="C4064" t="str">
            <v>[AE]  ซาติน แขนสั้นขาสั้น ช้างชมพู พื้นครีม L QC</v>
          </cell>
          <cell r="E4064">
            <v>0</v>
          </cell>
          <cell r="F4064">
            <v>790</v>
          </cell>
        </row>
        <row r="4065">
          <cell r="A4065" t="str">
            <v>QN1221-M</v>
          </cell>
          <cell r="B4065" t="str">
            <v>QN1221</v>
          </cell>
          <cell r="C4065" t="str">
            <v>ซาติน แขนสั้นขาสั้น เสือส้ม พื้นชมพู M QC</v>
          </cell>
          <cell r="E4065">
            <v>0</v>
          </cell>
          <cell r="F4065">
            <v>790</v>
          </cell>
        </row>
        <row r="4066">
          <cell r="A4066" t="str">
            <v>QN1223-2XL</v>
          </cell>
          <cell r="B4066" t="str">
            <v>QN1223</v>
          </cell>
          <cell r="C4066" t="str">
            <v>ซาติน แขนสั้นขาสั้น กงจักรดอกไม้ 2XL QC</v>
          </cell>
          <cell r="E4066">
            <v>0</v>
          </cell>
          <cell r="F4066">
            <v>790</v>
          </cell>
        </row>
        <row r="4067">
          <cell r="A4067" t="str">
            <v>QN1223-3XL</v>
          </cell>
          <cell r="B4067" t="str">
            <v>QN1223</v>
          </cell>
          <cell r="C4067" t="str">
            <v>[AG]  ซาติน แขนสั้นขาสั้น กงจักรดอกไม้ 3XL QC</v>
          </cell>
          <cell r="E4067">
            <v>0</v>
          </cell>
          <cell r="F4067">
            <v>790</v>
          </cell>
        </row>
        <row r="4068">
          <cell r="A4068" t="str">
            <v>QN1223-M</v>
          </cell>
          <cell r="B4068" t="str">
            <v>QN1223</v>
          </cell>
          <cell r="C4068" t="str">
            <v>ซาติน แขนสั้นขาสั้น กงจักรดอกไม้ M QC</v>
          </cell>
          <cell r="E4068">
            <v>0</v>
          </cell>
          <cell r="F4068">
            <v>790</v>
          </cell>
        </row>
        <row r="4069">
          <cell r="A4069" t="str">
            <v>QN1223-XL</v>
          </cell>
          <cell r="B4069" t="str">
            <v>QN1223</v>
          </cell>
          <cell r="C4069" t="str">
            <v>ซาติน แขนสั้นขาสั้น กงจักรดอกไม้ XL QC</v>
          </cell>
          <cell r="E4069">
            <v>0</v>
          </cell>
          <cell r="F4069">
            <v>790</v>
          </cell>
        </row>
        <row r="4070">
          <cell r="A4070" t="str">
            <v>QN1224-3XL</v>
          </cell>
          <cell r="B4070" t="str">
            <v>QN1224</v>
          </cell>
          <cell r="C4070" t="str">
            <v>[AA]   ซาติน แขนสั้นขาสั้น เสือดาวพื้นน้ำเงิน ปกเสือชมพู 3XL  (กปก) QC</v>
          </cell>
          <cell r="E4070">
            <v>0</v>
          </cell>
          <cell r="F4070">
            <v>790</v>
          </cell>
        </row>
        <row r="4071">
          <cell r="A4071" t="str">
            <v>QN1225-3XL</v>
          </cell>
          <cell r="B4071" t="str">
            <v>QN1225</v>
          </cell>
          <cell r="C4071" t="str">
            <v>[AA]  ซาติน แขนสั้นขาสั้น นักกีฬา สเก็ต พื้นครีม ปกฟ้า ขาว (กปก) 3XL QC</v>
          </cell>
          <cell r="E4071">
            <v>0</v>
          </cell>
          <cell r="F4071">
            <v>790</v>
          </cell>
        </row>
        <row r="4072">
          <cell r="A4072" t="str">
            <v>QN1225-XL</v>
          </cell>
          <cell r="B4072" t="str">
            <v>QN1225</v>
          </cell>
          <cell r="C4072" t="str">
            <v>[AA]  ซาติน แขนสั้นขาสั้น นักกีฬา สเก็ต พื้นครีม ปกฟ้า ขาว (กปก) XL QC</v>
          </cell>
          <cell r="E4072">
            <v>0</v>
          </cell>
          <cell r="F4072">
            <v>790</v>
          </cell>
        </row>
        <row r="4073">
          <cell r="A4073" t="str">
            <v>QN1226-2XL</v>
          </cell>
          <cell r="B4073" t="str">
            <v>QN1226</v>
          </cell>
          <cell r="C4073" t="str">
            <v>ซาติน แขนสั้นขาสั้น Queen Tarot Card พื้นน้ำเงิน 2XL QC</v>
          </cell>
          <cell r="E4073">
            <v>0</v>
          </cell>
          <cell r="F4073">
            <v>890</v>
          </cell>
        </row>
        <row r="4074">
          <cell r="A4074" t="str">
            <v>QN1226-3XL</v>
          </cell>
          <cell r="B4074" t="str">
            <v>QN1226</v>
          </cell>
          <cell r="C4074" t="str">
            <v>ซาติน แขนสั้นขาสั้น Queen Tarot Card พื้นน้ำเงิน 3XL QC</v>
          </cell>
          <cell r="E4074">
            <v>0</v>
          </cell>
          <cell r="F4074">
            <v>890</v>
          </cell>
        </row>
        <row r="4075">
          <cell r="A4075" t="str">
            <v>QN1226-L</v>
          </cell>
          <cell r="B4075" t="str">
            <v>QN1226</v>
          </cell>
          <cell r="C4075" t="str">
            <v>ซาติน แขนสั้นขาสั้น Queen Tarot Card พื้นน้ำเงิน L QC</v>
          </cell>
          <cell r="E4075">
            <v>0</v>
          </cell>
          <cell r="F4075">
            <v>890</v>
          </cell>
        </row>
        <row r="4076">
          <cell r="A4076" t="str">
            <v>QN1226-M</v>
          </cell>
          <cell r="B4076" t="str">
            <v>QN1226</v>
          </cell>
          <cell r="C4076" t="str">
            <v>ซาติน แขนสั้นขาสั้น Queen Tarot Card พื้นน้ำเงิน M QC</v>
          </cell>
          <cell r="E4076">
            <v>0</v>
          </cell>
          <cell r="F4076">
            <v>890</v>
          </cell>
        </row>
        <row r="4077">
          <cell r="A4077" t="str">
            <v>QN1226-XL</v>
          </cell>
          <cell r="B4077" t="str">
            <v>QN1226</v>
          </cell>
          <cell r="C4077" t="str">
            <v>ซาติน แขนสั้นขาสั้น Queen Tarot Card พื้นน้ำเงิน XL QC</v>
          </cell>
          <cell r="E4077">
            <v>0</v>
          </cell>
          <cell r="F4077">
            <v>890</v>
          </cell>
        </row>
        <row r="4078">
          <cell r="A4078" t="str">
            <v>QN1228-2XL</v>
          </cell>
          <cell r="B4078" t="str">
            <v>QN1228</v>
          </cell>
          <cell r="C4078" t="str">
            <v>ซาติน แขนสั้นขาสั้น Zoo forest พื้นขาว ปกโอโรส 2XL QC</v>
          </cell>
          <cell r="E4078">
            <v>0</v>
          </cell>
          <cell r="F4078">
            <v>790</v>
          </cell>
        </row>
        <row r="4079">
          <cell r="A4079" t="str">
            <v>QN1228-3XL</v>
          </cell>
          <cell r="B4079" t="str">
            <v>QN1228</v>
          </cell>
          <cell r="C4079" t="str">
            <v>ซาติน แขนสั้นขาสั้น Zoo forest พื้นขาว ปกโอโรส 3XL QC</v>
          </cell>
          <cell r="E4079">
            <v>0</v>
          </cell>
          <cell r="F4079">
            <v>790</v>
          </cell>
        </row>
        <row r="4080">
          <cell r="A4080" t="str">
            <v>QN1228-XL</v>
          </cell>
          <cell r="B4080" t="str">
            <v>QN1228</v>
          </cell>
          <cell r="C4080" t="str">
            <v>ซาติน แขนสั้นขาสั้น Zoo forest พื้นขาว ปกโอโรส XL QC</v>
          </cell>
          <cell r="E4080">
            <v>0</v>
          </cell>
          <cell r="F4080">
            <v>790</v>
          </cell>
        </row>
        <row r="4081">
          <cell r="A4081" t="str">
            <v>QN1229-3XL</v>
          </cell>
          <cell r="B4081" t="str">
            <v>QN1229</v>
          </cell>
          <cell r="C4081" t="str">
            <v>ซาติน แขนสั้นขาสั้น The Sun พื้นครีม กางเกงเหลือง 3XL QC</v>
          </cell>
          <cell r="E4081">
            <v>0</v>
          </cell>
          <cell r="F4081">
            <v>890</v>
          </cell>
        </row>
        <row r="4082">
          <cell r="A4082" t="str">
            <v>QN1229-L</v>
          </cell>
          <cell r="B4082" t="str">
            <v>QN1229</v>
          </cell>
          <cell r="C4082" t="str">
            <v>ซาติน แขนสั้นขาสั้น The Sun พื้นครีม กางเกงเหลือง L QC</v>
          </cell>
          <cell r="E4082">
            <v>0</v>
          </cell>
          <cell r="F4082">
            <v>890</v>
          </cell>
        </row>
        <row r="4083">
          <cell r="A4083" t="str">
            <v>QN1229-XL</v>
          </cell>
          <cell r="B4083" t="str">
            <v>QN1229</v>
          </cell>
          <cell r="C4083" t="str">
            <v>ซาติน แขนสั้นขาสั้น The Sun พื้นครีม กางเกงเหลือง XL QC</v>
          </cell>
          <cell r="E4083">
            <v>0</v>
          </cell>
          <cell r="F4083">
            <v>890</v>
          </cell>
        </row>
        <row r="4084">
          <cell r="A4084" t="str">
            <v>QN1230-3XL</v>
          </cell>
          <cell r="B4084" t="str">
            <v>QN1230</v>
          </cell>
          <cell r="C4084" t="str">
            <v>ซาติน แขนสั้นขาสั้น สิงห์โต ช้าง ยีราฟ พื้นขาว ปกเขียว 3XL QC</v>
          </cell>
          <cell r="E4084">
            <v>0</v>
          </cell>
          <cell r="F4084">
            <v>790</v>
          </cell>
        </row>
        <row r="4085">
          <cell r="A4085" t="str">
            <v>QN1231-M</v>
          </cell>
          <cell r="B4085" t="str">
            <v>QN1231</v>
          </cell>
          <cell r="C4085" t="str">
            <v>ซาติน แขนสั้นขาสั้น 12 ราศี พาสเทล ปกม่วงพาสเทล M QC</v>
          </cell>
          <cell r="E4085">
            <v>0</v>
          </cell>
          <cell r="F4085">
            <v>790</v>
          </cell>
        </row>
        <row r="4086">
          <cell r="A4086" t="str">
            <v>QN1231-XL</v>
          </cell>
          <cell r="B4086" t="str">
            <v>QN1231</v>
          </cell>
          <cell r="C4086" t="str">
            <v>ซาติน แขนสั้นขาสั้น 12 ราศี พาสเทล ปกม่วงพาสเทล XL QC</v>
          </cell>
          <cell r="E4086">
            <v>0</v>
          </cell>
          <cell r="F4086">
            <v>790</v>
          </cell>
        </row>
        <row r="4087">
          <cell r="A4087" t="str">
            <v>QN1232-2XL</v>
          </cell>
          <cell r="B4087" t="str">
            <v>QN1232</v>
          </cell>
          <cell r="C4087" t="str">
            <v>ซาติน แขนสั้นขาสั้น น้องแกะ พื้นครีม ขอบเขียว 2XL QC</v>
          </cell>
          <cell r="E4087">
            <v>0</v>
          </cell>
          <cell r="F4087">
            <v>790</v>
          </cell>
        </row>
        <row r="4088">
          <cell r="A4088" t="str">
            <v>QN1232-3XL</v>
          </cell>
          <cell r="B4088" t="str">
            <v>QN1232</v>
          </cell>
          <cell r="C4088" t="str">
            <v>ซาติน แขนสั้นขาสั้น น้องแกะ พื้นครีม ขอบเขียว 3XL QC</v>
          </cell>
          <cell r="E4088">
            <v>0</v>
          </cell>
          <cell r="F4088">
            <v>790</v>
          </cell>
        </row>
        <row r="4089">
          <cell r="A4089" t="str">
            <v>QN1232-L</v>
          </cell>
          <cell r="B4089" t="str">
            <v>QN1232</v>
          </cell>
          <cell r="C4089" t="str">
            <v>ซาติน แขนสั้นขาสั้น น้องแกะ พื้นครีม ขอบเขียว L QC</v>
          </cell>
          <cell r="E4089">
            <v>0</v>
          </cell>
          <cell r="F4089">
            <v>790</v>
          </cell>
        </row>
        <row r="4090">
          <cell r="A4090" t="str">
            <v>QN1232-XL</v>
          </cell>
          <cell r="B4090" t="str">
            <v>QN1232</v>
          </cell>
          <cell r="C4090" t="str">
            <v>ซาติน แขนสั้นขาสั้น น้องแกะ พื้นครีม ขอบเขียว XL QC</v>
          </cell>
          <cell r="E4090">
            <v>0</v>
          </cell>
          <cell r="F4090">
            <v>790</v>
          </cell>
        </row>
        <row r="4091">
          <cell r="A4091" t="str">
            <v>QN1234-L</v>
          </cell>
          <cell r="B4091" t="str">
            <v>QN1234</v>
          </cell>
          <cell r="C4091" t="str">
            <v>ซาติน แขนสั้นขาสั้น หนูน้อย sweet dream L QC</v>
          </cell>
          <cell r="E4091">
            <v>0</v>
          </cell>
          <cell r="F4091">
            <v>790</v>
          </cell>
        </row>
        <row r="4092">
          <cell r="A4092" t="str">
            <v>QN4000-2XL</v>
          </cell>
          <cell r="B4092" t="str">
            <v>QN4000</v>
          </cell>
          <cell r="C4092" t="str">
            <v>ซาติน แขนสั้นขาสั้น Muslin dark brown 2XL QC</v>
          </cell>
          <cell r="E4092">
            <v>0</v>
          </cell>
          <cell r="F4092">
            <v>790</v>
          </cell>
        </row>
        <row r="4093">
          <cell r="A4093" t="str">
            <v>QN4001-L</v>
          </cell>
          <cell r="B4093" t="str">
            <v>QN4001</v>
          </cell>
          <cell r="C4093" t="str">
            <v>ซาติน แขนสั้นขาสั้น Muslin green mermaid L QC</v>
          </cell>
          <cell r="E4093">
            <v>0</v>
          </cell>
          <cell r="F4093">
            <v>790</v>
          </cell>
        </row>
        <row r="4094">
          <cell r="A4094" t="str">
            <v>QN4001-XL</v>
          </cell>
          <cell r="B4094" t="str">
            <v>QN4001</v>
          </cell>
          <cell r="C4094" t="str">
            <v>ซาติน แขนสั้นขาสั้น Muslin green mermaid XL QC</v>
          </cell>
          <cell r="E4094">
            <v>0</v>
          </cell>
          <cell r="F4094">
            <v>790</v>
          </cell>
        </row>
        <row r="4095">
          <cell r="A4095" t="str">
            <v>QN4003-L</v>
          </cell>
          <cell r="B4095" t="str">
            <v>QN4003</v>
          </cell>
          <cell r="C4095" t="str">
            <v>ซาติน แขนสั้นขาสั้น Muslin wine L QC</v>
          </cell>
          <cell r="E4095">
            <v>0</v>
          </cell>
          <cell r="F4095">
            <v>790</v>
          </cell>
        </row>
        <row r="4096">
          <cell r="A4096" t="str">
            <v>QN4005-2XL</v>
          </cell>
          <cell r="B4096" t="str">
            <v>QN4005</v>
          </cell>
          <cell r="C4096" t="str">
            <v>ซาติน แขนสั้นขาสั้น Muslin ม่วงอ่อน 2XL QC</v>
          </cell>
          <cell r="E4096">
            <v>0</v>
          </cell>
          <cell r="F4096">
            <v>790</v>
          </cell>
        </row>
        <row r="4097">
          <cell r="A4097" t="str">
            <v>QN4005-L</v>
          </cell>
          <cell r="B4097" t="str">
            <v>QN4005</v>
          </cell>
          <cell r="C4097" t="str">
            <v>ซาติน แขนสั้นขาสั้น Muslin ม่วงอ่อน L QC</v>
          </cell>
          <cell r="E4097">
            <v>0</v>
          </cell>
          <cell r="F4097">
            <v>790</v>
          </cell>
        </row>
        <row r="4098">
          <cell r="A4098" t="str">
            <v>QN4005-M</v>
          </cell>
          <cell r="B4098" t="str">
            <v>QN4005</v>
          </cell>
          <cell r="C4098" t="str">
            <v>ซาติน แขนสั้นขาสั้น Muslin ม่วงอ่อน M QC</v>
          </cell>
          <cell r="E4098">
            <v>0</v>
          </cell>
          <cell r="F4098">
            <v>790</v>
          </cell>
        </row>
        <row r="4099">
          <cell r="A4099" t="str">
            <v>QN4005-XL</v>
          </cell>
          <cell r="B4099" t="str">
            <v>QN4005</v>
          </cell>
          <cell r="C4099" t="str">
            <v>ซาติน แขนสั้นขาสั้น Muslin ม่วงอ่อน XL QC</v>
          </cell>
          <cell r="E4099">
            <v>0</v>
          </cell>
          <cell r="F4099">
            <v>790</v>
          </cell>
        </row>
        <row r="4100">
          <cell r="A4100" t="str">
            <v>QP0198-M</v>
          </cell>
          <cell r="B4100" t="str">
            <v>QP198</v>
          </cell>
          <cell r="C4100" t="str">
            <v>ซาติน แขนยาวขายาว แมวฟ้าส้ม พื้นขาว กางเกงฟ้า M QC</v>
          </cell>
          <cell r="E4100">
            <v>0</v>
          </cell>
          <cell r="F4100">
            <v>990</v>
          </cell>
        </row>
        <row r="4101">
          <cell r="A4101" t="str">
            <v>QP0325-S</v>
          </cell>
          <cell r="B4101" t="str">
            <v>QP325</v>
          </cell>
          <cell r="C4101" t="str">
            <v>ซาติน แขนยาวขายาว ดอกไม้ นกยูง S QC</v>
          </cell>
          <cell r="E4101">
            <v>0</v>
          </cell>
          <cell r="F4101">
            <v>990</v>
          </cell>
        </row>
        <row r="4102">
          <cell r="A4102" t="str">
            <v>QP0347-M</v>
          </cell>
          <cell r="B4102" t="str">
            <v>QP347</v>
          </cell>
          <cell r="C4102" t="str">
            <v>ซาติน แขนยาวขายาว Coral Sea M QC</v>
          </cell>
          <cell r="E4102">
            <v>0</v>
          </cell>
          <cell r="F4102">
            <v>990</v>
          </cell>
        </row>
        <row r="4103">
          <cell r="A4103" t="str">
            <v>QP0488-S</v>
          </cell>
          <cell r="B4103" t="str">
            <v>QP488</v>
          </cell>
          <cell r="C4103" t="str">
            <v>ซาติน แขนยาวขายาว VINTAGE พื้นดำ S QC</v>
          </cell>
          <cell r="E4103">
            <v>0</v>
          </cell>
          <cell r="F4103">
            <v>990</v>
          </cell>
        </row>
        <row r="4104">
          <cell r="A4104" t="str">
            <v>QP0527-XL</v>
          </cell>
          <cell r="B4104" t="str">
            <v>QP527</v>
          </cell>
          <cell r="C4104" t="str">
            <v>ซาติน แขนยาวขายาว ใบไม้เขียว พื้นชมพู XL QC</v>
          </cell>
          <cell r="E4104">
            <v>0</v>
          </cell>
          <cell r="F4104">
            <v>990</v>
          </cell>
        </row>
        <row r="4105">
          <cell r="A4105" t="str">
            <v>QP0829-XL</v>
          </cell>
          <cell r="B4105" t="str">
            <v>QP829</v>
          </cell>
          <cell r="C4105" t="str">
            <v>ซาติน แขนยาวขายาว เมฆ ขาวดำ XL QC</v>
          </cell>
          <cell r="E4105">
            <v>0</v>
          </cell>
          <cell r="F4105">
            <v>990</v>
          </cell>
        </row>
        <row r="4106">
          <cell r="A4106" t="str">
            <v>QP0849-2XL</v>
          </cell>
          <cell r="B4106" t="str">
            <v>QP849</v>
          </cell>
          <cell r="C4106" t="str">
            <v>ซาติน แขนยาวขายาว Green to tones 2XL QC</v>
          </cell>
          <cell r="E4106">
            <v>0</v>
          </cell>
          <cell r="F4106">
            <v>990</v>
          </cell>
        </row>
        <row r="4107">
          <cell r="A4107" t="str">
            <v>QP0849-L</v>
          </cell>
          <cell r="B4107" t="str">
            <v>QP849</v>
          </cell>
          <cell r="C4107" t="str">
            <v>ซาติน แขนยาวขายาว Green to tones L QC</v>
          </cell>
          <cell r="E4107">
            <v>0</v>
          </cell>
          <cell r="F4107">
            <v>990</v>
          </cell>
        </row>
        <row r="4108">
          <cell r="A4108" t="str">
            <v>QP0849-M</v>
          </cell>
          <cell r="B4108" t="str">
            <v>QP849</v>
          </cell>
          <cell r="C4108" t="str">
            <v>ซาติน แขนยาวขายาว Green to tones M QC</v>
          </cell>
          <cell r="E4108">
            <v>0</v>
          </cell>
          <cell r="F4108">
            <v>990</v>
          </cell>
        </row>
        <row r="4109">
          <cell r="A4109" t="str">
            <v>QP0885-2XL</v>
          </cell>
          <cell r="B4109" t="str">
            <v>QP885</v>
          </cell>
          <cell r="C4109" t="str">
            <v>ซาติน แขนยาวขายาว สุนัขรวม พื้นชมพู 2XL หลุด QC</v>
          </cell>
          <cell r="E4109">
            <v>0</v>
          </cell>
          <cell r="F4109">
            <v>990</v>
          </cell>
        </row>
        <row r="4110">
          <cell r="A4110" t="str">
            <v>QP0885-3XL</v>
          </cell>
          <cell r="B4110" t="str">
            <v>QP885</v>
          </cell>
          <cell r="C4110" t="str">
            <v>ซาติน แขนยาวขายาว สุนัขรวม พื้นชมพู 3XL หลุด QC</v>
          </cell>
          <cell r="E4110">
            <v>0</v>
          </cell>
          <cell r="F4110">
            <v>990</v>
          </cell>
        </row>
        <row r="4111">
          <cell r="A4111" t="str">
            <v>QP0885-L</v>
          </cell>
          <cell r="B4111" t="str">
            <v>QP885</v>
          </cell>
          <cell r="C4111" t="str">
            <v>ซาติน แขนยาวขายาว สุนัขรวม พื้นชมพู L หลุด QC</v>
          </cell>
          <cell r="E4111">
            <v>0</v>
          </cell>
          <cell r="F4111">
            <v>990</v>
          </cell>
        </row>
        <row r="4112">
          <cell r="A4112" t="str">
            <v>QP0885-M</v>
          </cell>
          <cell r="B4112" t="str">
            <v>QP885</v>
          </cell>
          <cell r="C4112" t="str">
            <v>ซาติน แขนยาวขายาว สุนัขรวม พื้นชมพู M หลุด QC</v>
          </cell>
          <cell r="E4112">
            <v>0</v>
          </cell>
          <cell r="F4112">
            <v>990</v>
          </cell>
        </row>
        <row r="4113">
          <cell r="A4113" t="str">
            <v>QP0885-XL</v>
          </cell>
          <cell r="B4113" t="str">
            <v>QP885</v>
          </cell>
          <cell r="C4113" t="str">
            <v>ซาติน แขนยาวขายาว สุนัขรวม พื้นชมพู XL หลุด QC</v>
          </cell>
          <cell r="E4113">
            <v>0</v>
          </cell>
          <cell r="F4113">
            <v>990</v>
          </cell>
        </row>
        <row r="4114">
          <cell r="A4114" t="str">
            <v>QP0923-2XL</v>
          </cell>
          <cell r="B4114" t="str">
            <v>QP923</v>
          </cell>
          <cell r="C4114" t="str">
            <v>ซาติน แขนยาวขายาว Jungle Cruise ดำ 2XL  (กปก) หลุด QC</v>
          </cell>
          <cell r="E4114">
            <v>0</v>
          </cell>
          <cell r="F4114">
            <v>990</v>
          </cell>
        </row>
        <row r="4115">
          <cell r="A4115" t="str">
            <v>QP0923-3XL</v>
          </cell>
          <cell r="B4115" t="str">
            <v>QP923</v>
          </cell>
          <cell r="C4115" t="str">
            <v>ซาติน แขนยาวขายาว Jungle Cruise ดำ 3XL  (กปก) หลุด QC</v>
          </cell>
          <cell r="E4115">
            <v>0</v>
          </cell>
          <cell r="F4115">
            <v>990</v>
          </cell>
        </row>
        <row r="4116">
          <cell r="A4116" t="str">
            <v>QP0923-L</v>
          </cell>
          <cell r="B4116" t="str">
            <v>QP923</v>
          </cell>
          <cell r="C4116" t="str">
            <v>ซาติน แขนยาวขายาว Jungle Cruise ดำ L (กปก) หลุด QC</v>
          </cell>
          <cell r="E4116">
            <v>0</v>
          </cell>
          <cell r="F4116">
            <v>990</v>
          </cell>
        </row>
        <row r="4117">
          <cell r="A4117" t="str">
            <v>QP0923-M</v>
          </cell>
          <cell r="B4117" t="str">
            <v>QP923</v>
          </cell>
          <cell r="C4117" t="str">
            <v>ซาติน แขนยาวขายาว Jungle Cruise ดำ M (กปก) หลุด QC</v>
          </cell>
          <cell r="E4117">
            <v>0</v>
          </cell>
          <cell r="F4117">
            <v>990</v>
          </cell>
        </row>
        <row r="4118">
          <cell r="A4118" t="str">
            <v>QP0923-XL</v>
          </cell>
          <cell r="B4118" t="str">
            <v>QP923</v>
          </cell>
          <cell r="C4118" t="str">
            <v>ซาติน แขนยาวขายาว Jungle Cruise ดำ XL (กปก) หลุด QC</v>
          </cell>
          <cell r="E4118">
            <v>0</v>
          </cell>
          <cell r="F4118">
            <v>990</v>
          </cell>
        </row>
        <row r="4119">
          <cell r="A4119" t="str">
            <v>QP0935-2XL</v>
          </cell>
          <cell r="B4119" t="str">
            <v>QP935</v>
          </cell>
          <cell r="C4119" t="str">
            <v>ซาติน แขนยาวขายาว Cute old totoro คอวี 2XL หลุด QC</v>
          </cell>
          <cell r="E4119">
            <v>0</v>
          </cell>
          <cell r="F4119">
            <v>990</v>
          </cell>
        </row>
        <row r="4120">
          <cell r="A4120" t="str">
            <v>QP0935-3XL</v>
          </cell>
          <cell r="B4120" t="str">
            <v>QP935</v>
          </cell>
          <cell r="C4120" t="str">
            <v>ซาติน แขนยาวขายาว Cute old totoro คอวี 3XL หลุด QC</v>
          </cell>
          <cell r="E4120">
            <v>0</v>
          </cell>
          <cell r="F4120">
            <v>990</v>
          </cell>
        </row>
        <row r="4121">
          <cell r="A4121" t="str">
            <v>QP0935-L</v>
          </cell>
          <cell r="B4121" t="str">
            <v>QP935</v>
          </cell>
          <cell r="C4121" t="str">
            <v>ซาติน แขนยาวขายาว Cute old totoro คอวี L หลุด QC</v>
          </cell>
          <cell r="E4121">
            <v>0</v>
          </cell>
          <cell r="F4121">
            <v>990</v>
          </cell>
        </row>
        <row r="4122">
          <cell r="A4122" t="str">
            <v>QP0935-M</v>
          </cell>
          <cell r="B4122" t="str">
            <v>QP935</v>
          </cell>
          <cell r="C4122" t="str">
            <v>ซาติน แขนยาวขายาว Cute old totoro คอวี M หลุด QC</v>
          </cell>
          <cell r="E4122">
            <v>0</v>
          </cell>
          <cell r="F4122">
            <v>990</v>
          </cell>
        </row>
        <row r="4123">
          <cell r="A4123" t="str">
            <v>QP0935-XL</v>
          </cell>
          <cell r="B4123" t="str">
            <v>QP935</v>
          </cell>
          <cell r="C4123" t="str">
            <v>ซาติน แขนยาวขายาว Cute old totoro คอวี XL หลุด QC</v>
          </cell>
          <cell r="E4123">
            <v>0</v>
          </cell>
          <cell r="F4123">
            <v>990</v>
          </cell>
        </row>
        <row r="4124">
          <cell r="A4124" t="str">
            <v>QP0940-L</v>
          </cell>
          <cell r="B4124" t="str">
            <v>QP940</v>
          </cell>
          <cell r="C4124" t="str">
            <v>ซาติน แขนยาวขายาว Zebra ดำ (กปก) L QC</v>
          </cell>
          <cell r="E4124">
            <v>0</v>
          </cell>
          <cell r="F4124">
            <v>990</v>
          </cell>
        </row>
        <row r="4125">
          <cell r="A4125" t="str">
            <v>QP0940-M</v>
          </cell>
          <cell r="B4125" t="str">
            <v>QP940</v>
          </cell>
          <cell r="C4125" t="str">
            <v>ซาติน แขนยาวขายาว Zebra ดำ (กปก) M QC</v>
          </cell>
          <cell r="E4125">
            <v>0</v>
          </cell>
          <cell r="F4125">
            <v>990</v>
          </cell>
        </row>
        <row r="4126">
          <cell r="A4126" t="str">
            <v>QP0940-XL</v>
          </cell>
          <cell r="B4126" t="str">
            <v>QP940</v>
          </cell>
          <cell r="C4126" t="str">
            <v>ซาติน แขนยาวขายาว Zebra ดำ (กปก) XL หลุด QC</v>
          </cell>
          <cell r="E4126">
            <v>0</v>
          </cell>
          <cell r="F4126">
            <v>990</v>
          </cell>
        </row>
        <row r="4127">
          <cell r="A4127" t="str">
            <v>QP0941-2XL</v>
          </cell>
          <cell r="B4127" t="str">
            <v>QP941</v>
          </cell>
          <cell r="C4127" t="str">
            <v>ซาติน แขนยาวขายาว เกสรดอกไม้ ไฟ พื้นกรม 2XL QC</v>
          </cell>
          <cell r="E4127">
            <v>0</v>
          </cell>
          <cell r="F4127">
            <v>990</v>
          </cell>
        </row>
        <row r="4128">
          <cell r="A4128" t="str">
            <v>QP0941-L</v>
          </cell>
          <cell r="B4128" t="str">
            <v>QP941</v>
          </cell>
          <cell r="C4128" t="str">
            <v>ซาติน แขนยาวขายาว เกสรดอกไม้ ไฟ พื้นกรม L QC</v>
          </cell>
          <cell r="E4128">
            <v>0</v>
          </cell>
          <cell r="F4128">
            <v>990</v>
          </cell>
        </row>
        <row r="4129">
          <cell r="A4129" t="str">
            <v>QP0941-M</v>
          </cell>
          <cell r="B4129" t="str">
            <v>QP941</v>
          </cell>
          <cell r="C4129" t="str">
            <v>ซาติน แขนยาวขายาว เกสรดอกไม้ ไฟ พื้นกรม M QC</v>
          </cell>
          <cell r="E4129">
            <v>0</v>
          </cell>
          <cell r="F4129">
            <v>990</v>
          </cell>
        </row>
        <row r="4130">
          <cell r="A4130" t="str">
            <v>QP0941-S</v>
          </cell>
          <cell r="B4130" t="str">
            <v>QP941</v>
          </cell>
          <cell r="C4130" t="str">
            <v>ซาติน แขนยาวขายาว เกสรดอกไม้ ไฟ พื้นกรม S หลุด QC</v>
          </cell>
          <cell r="E4130">
            <v>0</v>
          </cell>
          <cell r="F4130">
            <v>990</v>
          </cell>
        </row>
        <row r="4131">
          <cell r="A4131" t="str">
            <v>QP0958-L</v>
          </cell>
          <cell r="B4131" t="str">
            <v>QP958</v>
          </cell>
          <cell r="C4131" t="str">
            <v>ซาติน แขนยาวขายาว แมวเทา พื้นฟ้า L (กปก) QC</v>
          </cell>
          <cell r="E4131">
            <v>0</v>
          </cell>
          <cell r="F4131">
            <v>990</v>
          </cell>
        </row>
        <row r="4132">
          <cell r="A4132" t="str">
            <v>QP0958-M</v>
          </cell>
          <cell r="B4132" t="str">
            <v>QP958</v>
          </cell>
          <cell r="C4132" t="str">
            <v>ซาติน แขนยาวขายาว แมวเทา พื้นฟ้า M (กปก) QC</v>
          </cell>
          <cell r="E4132">
            <v>0</v>
          </cell>
          <cell r="F4132">
            <v>990</v>
          </cell>
        </row>
        <row r="4133">
          <cell r="A4133" t="str">
            <v>QP0959-2XL</v>
          </cell>
          <cell r="B4133" t="str">
            <v>QP959</v>
          </cell>
          <cell r="C4133" t="str">
            <v>ซาติน แขนยาวขายาว เขาวงกต ขาวดำ 2XL หลุด QC</v>
          </cell>
          <cell r="E4133">
            <v>0</v>
          </cell>
          <cell r="F4133">
            <v>990</v>
          </cell>
        </row>
        <row r="4134">
          <cell r="A4134" t="str">
            <v>QP0959-3XL</v>
          </cell>
          <cell r="B4134" t="str">
            <v>QP959</v>
          </cell>
          <cell r="C4134" t="str">
            <v>ซาติน แขนยาวขายาว เขาวงกต ขาวดำ 3XL หลุด QC</v>
          </cell>
          <cell r="E4134">
            <v>0</v>
          </cell>
          <cell r="F4134">
            <v>990</v>
          </cell>
        </row>
        <row r="4135">
          <cell r="A4135" t="str">
            <v>QP0959-L</v>
          </cell>
          <cell r="B4135" t="str">
            <v>QP959</v>
          </cell>
          <cell r="C4135" t="str">
            <v>ซาติน แขนยาวขายาว เขาวงกต ขาวดำ L หลุด QC</v>
          </cell>
          <cell r="E4135">
            <v>0</v>
          </cell>
          <cell r="F4135">
            <v>990</v>
          </cell>
        </row>
        <row r="4136">
          <cell r="A4136" t="str">
            <v>QP0959-M</v>
          </cell>
          <cell r="B4136" t="str">
            <v>QP959</v>
          </cell>
          <cell r="C4136" t="str">
            <v>ซาติน แขนยาวขายาว เขาวงกต ขาวดำ M หลุด QC</v>
          </cell>
          <cell r="E4136">
            <v>0</v>
          </cell>
          <cell r="F4136">
            <v>990</v>
          </cell>
        </row>
        <row r="4137">
          <cell r="A4137" t="str">
            <v>QP0959-XL</v>
          </cell>
          <cell r="B4137" t="str">
            <v>QP959</v>
          </cell>
          <cell r="C4137" t="str">
            <v>ซาติน แขนยาวขายาว เขาวงกต ขาวดำ XL หลุด QC</v>
          </cell>
          <cell r="E4137">
            <v>0</v>
          </cell>
          <cell r="F4137">
            <v>990</v>
          </cell>
        </row>
        <row r="4138">
          <cell r="A4138" t="str">
            <v>QP0982-2XL</v>
          </cell>
          <cell r="B4138" t="str">
            <v>QP982</v>
          </cell>
          <cell r="C4138" t="str">
            <v>ซาติน แขนยาวขายาว infinity ส้มปกครีม 2XL (กปก) QC</v>
          </cell>
          <cell r="E4138">
            <v>0</v>
          </cell>
          <cell r="F4138">
            <v>990</v>
          </cell>
        </row>
        <row r="4139">
          <cell r="A4139" t="str">
            <v>QP0982-L</v>
          </cell>
          <cell r="B4139" t="str">
            <v>QP982</v>
          </cell>
          <cell r="C4139" t="str">
            <v>ซาติน แขนยาวขายาว infinity ส้มปกครีม L (กปก) หลุด QC</v>
          </cell>
          <cell r="E4139">
            <v>0</v>
          </cell>
          <cell r="F4139">
            <v>990</v>
          </cell>
        </row>
        <row r="4140">
          <cell r="A4140" t="str">
            <v>QP0982-M</v>
          </cell>
          <cell r="B4140" t="str">
            <v>QP982</v>
          </cell>
          <cell r="C4140" t="str">
            <v>ซาติน แขนยาวขายาว infinity ส้มปกครีม M (กปก) หลุด QC</v>
          </cell>
          <cell r="E4140">
            <v>0</v>
          </cell>
          <cell r="F4140">
            <v>990</v>
          </cell>
        </row>
        <row r="4141">
          <cell r="A4141" t="str">
            <v>QP0982-XL</v>
          </cell>
          <cell r="B4141" t="str">
            <v>QP982</v>
          </cell>
          <cell r="C4141" t="str">
            <v>ซาติน แขนยาวขายาว infinity ส้มปกครีม XL (กปก) QC</v>
          </cell>
          <cell r="E4141">
            <v>0</v>
          </cell>
          <cell r="F4141">
            <v>990</v>
          </cell>
        </row>
        <row r="4142">
          <cell r="A4142" t="str">
            <v>QP0990-M</v>
          </cell>
          <cell r="B4142" t="str">
            <v>QP990</v>
          </cell>
          <cell r="C4142" t="str">
            <v>ซาติน แขนห้าส่วนขายาว ช่อมะลิ พื้นชมพู M หลุด QC</v>
          </cell>
          <cell r="E4142">
            <v>0</v>
          </cell>
          <cell r="F4142">
            <v>990</v>
          </cell>
        </row>
        <row r="4143">
          <cell r="A4143" t="str">
            <v>QP0997-2XL</v>
          </cell>
          <cell r="B4143" t="str">
            <v>QP997</v>
          </cell>
          <cell r="C4143" t="str">
            <v>ซาติน แขนห้าส่วนขายาว ดอกไม้น้ำตาล พื้นครีม ขอบเหลือง 2XL หลุด QC</v>
          </cell>
          <cell r="E4143">
            <v>0</v>
          </cell>
          <cell r="F4143">
            <v>990</v>
          </cell>
        </row>
        <row r="4144">
          <cell r="A4144" t="str">
            <v>QP0997-M</v>
          </cell>
          <cell r="B4144" t="str">
            <v>QP997</v>
          </cell>
          <cell r="C4144" t="str">
            <v>ซาติน แขนห้าส่วนขายาว ดอกไม้น้ำตาล พื้นครีม ขอบเหลือง M QC</v>
          </cell>
          <cell r="E4144">
            <v>0</v>
          </cell>
          <cell r="F4144">
            <v>990</v>
          </cell>
        </row>
        <row r="4145">
          <cell r="A4145" t="str">
            <v>QP1024-XL</v>
          </cell>
          <cell r="B4145" t="str">
            <v>QP1024</v>
          </cell>
          <cell r="C4145" t="str">
            <v>ซาติน แขนยาวขายาว ดอกไม้หลากสี XL QC</v>
          </cell>
          <cell r="E4145">
            <v>0</v>
          </cell>
          <cell r="F4145">
            <v>990</v>
          </cell>
        </row>
        <row r="4146">
          <cell r="A4146" t="str">
            <v>QP1039-XL</v>
          </cell>
          <cell r="B4146" t="str">
            <v>QP1039</v>
          </cell>
          <cell r="C4146" t="str">
            <v>ซาติน แขนยาวขายาว ดอกไม้แดง พื้นชมพู ขอบเขียว XL QC</v>
          </cell>
          <cell r="E4146">
            <v>0</v>
          </cell>
          <cell r="F4146">
            <v>990</v>
          </cell>
        </row>
        <row r="4147">
          <cell r="A4147" t="str">
            <v>QP1046-L</v>
          </cell>
          <cell r="B4147" t="str">
            <v>QP1046</v>
          </cell>
          <cell r="C4147" t="str">
            <v>ซาติน แขนยาวขายาว ดอกไม้แดง ขอบเขียว L QC</v>
          </cell>
          <cell r="E4147">
            <v>0</v>
          </cell>
          <cell r="F4147">
            <v>990</v>
          </cell>
        </row>
        <row r="4148">
          <cell r="A4148" t="str">
            <v>QP1047-L</v>
          </cell>
          <cell r="B4148" t="str">
            <v>QP1047</v>
          </cell>
          <cell r="C4148" t="str">
            <v>ซาติน แขนยาวขายาว ส้มเขียว L QC</v>
          </cell>
          <cell r="E4148">
            <v>0</v>
          </cell>
          <cell r="F4148">
            <v>990</v>
          </cell>
        </row>
        <row r="4149">
          <cell r="A4149" t="str">
            <v>QP1059-2XL</v>
          </cell>
          <cell r="B4149" t="str">
            <v>QP1059</v>
          </cell>
          <cell r="C4149" t="str">
            <v>ซาติน แขนยาวขายาว นกกระยาง พื้นเหลือง 2XL QC</v>
          </cell>
          <cell r="E4149">
            <v>0</v>
          </cell>
          <cell r="F4149">
            <v>990</v>
          </cell>
        </row>
        <row r="4150">
          <cell r="A4150" t="str">
            <v>QP1059-L</v>
          </cell>
          <cell r="B4150" t="str">
            <v>QP1059</v>
          </cell>
          <cell r="C4150" t="str">
            <v>ซาติน แขนยาวขายาว นกกระยาง พื้นเหลือง L QC</v>
          </cell>
          <cell r="E4150">
            <v>0</v>
          </cell>
          <cell r="F4150">
            <v>990</v>
          </cell>
        </row>
        <row r="4151">
          <cell r="A4151" t="str">
            <v>QP1060-2XL</v>
          </cell>
          <cell r="B4151" t="str">
            <v>QP1060</v>
          </cell>
          <cell r="C4151" t="str">
            <v>ซาติน แขนยาวขายาว ดอกไม้ชมพู พื้นดำ 2XL QC</v>
          </cell>
          <cell r="E4151">
            <v>0</v>
          </cell>
          <cell r="F4151">
            <v>990</v>
          </cell>
        </row>
        <row r="4152">
          <cell r="A4152" t="str">
            <v>QP1060-L</v>
          </cell>
          <cell r="B4152" t="str">
            <v>QP1060</v>
          </cell>
          <cell r="C4152" t="str">
            <v>ซาติน แขนยาวขายาว ดอกไม้ชมพู พื้นดำ L QC</v>
          </cell>
          <cell r="E4152">
            <v>0</v>
          </cell>
          <cell r="F4152">
            <v>990</v>
          </cell>
        </row>
        <row r="4153">
          <cell r="A4153" t="str">
            <v>QP1060-M</v>
          </cell>
          <cell r="B4153" t="str">
            <v>QP1060</v>
          </cell>
          <cell r="C4153" t="str">
            <v>ซาติน แขนยาวขายาว ดอกไม้ชมพู พื้นดำ M QC</v>
          </cell>
          <cell r="E4153">
            <v>0</v>
          </cell>
          <cell r="F4153">
            <v>990</v>
          </cell>
        </row>
        <row r="4154">
          <cell r="A4154" t="str">
            <v>QP1060-XL</v>
          </cell>
          <cell r="B4154" t="str">
            <v>QP1060</v>
          </cell>
          <cell r="C4154" t="str">
            <v>ซาติน แขนยาวขายาว ดอกไม้ชมพู พื้นดำ XL QC</v>
          </cell>
          <cell r="E4154">
            <v>0</v>
          </cell>
          <cell r="F4154">
            <v>990</v>
          </cell>
        </row>
        <row r="4155">
          <cell r="A4155" t="str">
            <v>QP1091-2XL</v>
          </cell>
          <cell r="B4155" t="str">
            <v>QP1091</v>
          </cell>
          <cell r="C4155" t="str">
            <v>ซาติน แขนยาวขายาว ทูโทน แดงชมพู 2XL QC</v>
          </cell>
          <cell r="E4155">
            <v>0</v>
          </cell>
          <cell r="F4155">
            <v>990</v>
          </cell>
        </row>
        <row r="4156">
          <cell r="A4156" t="str">
            <v>QP1091-L</v>
          </cell>
          <cell r="B4156" t="str">
            <v>QP1091</v>
          </cell>
          <cell r="C4156" t="str">
            <v>ซาติน แขนยาวขายาว ทูโทน แดงชมพู L QC</v>
          </cell>
          <cell r="E4156">
            <v>0</v>
          </cell>
          <cell r="F4156">
            <v>990</v>
          </cell>
        </row>
        <row r="4157">
          <cell r="A4157" t="str">
            <v>QP1092-XL</v>
          </cell>
          <cell r="B4157" t="str">
            <v>QP1092</v>
          </cell>
          <cell r="C4157" t="str">
            <v>ซาติน แขนยาวขายาว ทูโทน น้ำเงินเขียว XL QC</v>
          </cell>
          <cell r="E4157">
            <v>0</v>
          </cell>
          <cell r="F4157">
            <v>990</v>
          </cell>
        </row>
        <row r="4158">
          <cell r="A4158" t="str">
            <v>QP1093-XL</v>
          </cell>
          <cell r="B4158" t="str">
            <v>QP1093</v>
          </cell>
          <cell r="C4158" t="str">
            <v>ซาติน แขนยาวขายาว พาสเทลชมพู ส้มเหลือง XL QC</v>
          </cell>
          <cell r="E4158">
            <v>0</v>
          </cell>
          <cell r="F4158">
            <v>990</v>
          </cell>
        </row>
        <row r="4159">
          <cell r="A4159" t="str">
            <v>QP1094-L</v>
          </cell>
          <cell r="B4159" t="str">
            <v>QP1094</v>
          </cell>
          <cell r="C4159" t="str">
            <v>ซาติน แขนยาวขายาว ทูโทน เขียวชมพู L QC</v>
          </cell>
          <cell r="E4159">
            <v>0</v>
          </cell>
          <cell r="F4159">
            <v>990</v>
          </cell>
        </row>
        <row r="4160">
          <cell r="A4160" t="str">
            <v>QP1094-XL</v>
          </cell>
          <cell r="B4160" t="str">
            <v>QP1094</v>
          </cell>
          <cell r="C4160" t="str">
            <v>ซาติน แขนยาวขายาว ทูโทน เขียวชมพู XL QC</v>
          </cell>
          <cell r="E4160">
            <v>0</v>
          </cell>
          <cell r="F4160">
            <v>990</v>
          </cell>
        </row>
        <row r="4161">
          <cell r="A4161" t="str">
            <v>QP1097-M</v>
          </cell>
          <cell r="B4161" t="str">
            <v>QP1097</v>
          </cell>
          <cell r="C4161" t="str">
            <v>ซาติน แขนยาวขายาว เสือดาวอเมซอน พื้นดำ M QC</v>
          </cell>
          <cell r="E4161">
            <v>0</v>
          </cell>
          <cell r="F4161">
            <v>990</v>
          </cell>
        </row>
        <row r="4162">
          <cell r="A4162" t="str">
            <v>QP1098-2XL</v>
          </cell>
          <cell r="B4162" t="str">
            <v>QP1098</v>
          </cell>
          <cell r="C4162" t="str">
            <v>ซาติน แขนยาวขายาว นกหงส์หยก พื้นดำ ปกเขียว 2XL QC</v>
          </cell>
          <cell r="E4162">
            <v>0</v>
          </cell>
          <cell r="F4162">
            <v>990</v>
          </cell>
        </row>
        <row r="4163">
          <cell r="A4163" t="str">
            <v>QP1123-M</v>
          </cell>
          <cell r="B4163" t="str">
            <v>QP1123</v>
          </cell>
          <cell r="C4163" t="str">
            <v>ซาติน แขนยาวขายาว ดอกไม้หลากสี พื้นชมพู ผ้าปิดตา M QC</v>
          </cell>
          <cell r="E4163">
            <v>0</v>
          </cell>
          <cell r="F4163">
            <v>990</v>
          </cell>
        </row>
        <row r="4164">
          <cell r="A4164" t="str">
            <v>QP1123-XL</v>
          </cell>
          <cell r="B4164" t="str">
            <v>QP1123</v>
          </cell>
          <cell r="C4164" t="str">
            <v>ซาติน แขนยาวขายาว ดอกไม้หลากสี พื้นชมพู ผ้าปิดตา XL QC</v>
          </cell>
          <cell r="E4164">
            <v>0</v>
          </cell>
          <cell r="F4164">
            <v>990</v>
          </cell>
        </row>
        <row r="4165">
          <cell r="A4165" t="str">
            <v>QP1137-M</v>
          </cell>
          <cell r="B4165" t="str">
            <v>QP1137</v>
          </cell>
          <cell r="C4165" t="str">
            <v>ซาติน แขนยาวขายาว สีรุ้งม่วงชมพู M QC</v>
          </cell>
          <cell r="E4165">
            <v>0</v>
          </cell>
          <cell r="F4165">
            <v>990</v>
          </cell>
        </row>
        <row r="4166">
          <cell r="A4166" t="str">
            <v>QP1138-L</v>
          </cell>
          <cell r="B4166" t="str">
            <v>QP1138</v>
          </cell>
          <cell r="C4166" t="str">
            <v>ซาติน แขนยาวขายาว กราฟฟิกฟาโร เขียวแดง L QC</v>
          </cell>
          <cell r="E4166">
            <v>0</v>
          </cell>
          <cell r="F4166">
            <v>990</v>
          </cell>
        </row>
        <row r="4167">
          <cell r="A4167" t="str">
            <v>QP1148-XL</v>
          </cell>
          <cell r="B4167" t="str">
            <v>QP1148</v>
          </cell>
          <cell r="C4167" t="str">
            <v>ซาติน แขนยาวขายาว Tiger Pink XL QC</v>
          </cell>
          <cell r="E4167">
            <v>0</v>
          </cell>
          <cell r="F4167">
            <v>990</v>
          </cell>
        </row>
        <row r="4168">
          <cell r="A4168" t="str">
            <v>QP1195-2XL</v>
          </cell>
          <cell r="B4168" t="str">
            <v>QP1195</v>
          </cell>
          <cell r="C4168" t="str">
            <v>ซาติน แขนยาวขายาว กระต่ายขาว พื้นม่วง 2XL QC</v>
          </cell>
          <cell r="E4168">
            <v>0</v>
          </cell>
          <cell r="F4168">
            <v>990</v>
          </cell>
        </row>
        <row r="4169">
          <cell r="A4169" t="str">
            <v>QP1195-L</v>
          </cell>
          <cell r="B4169" t="str">
            <v>QP1195</v>
          </cell>
          <cell r="C4169" t="str">
            <v>ซาติน แขนยาวขายาว กระต่ายขาว พื้นม่วง L QC</v>
          </cell>
          <cell r="E4169">
            <v>0</v>
          </cell>
          <cell r="F4169">
            <v>990</v>
          </cell>
        </row>
        <row r="4170">
          <cell r="A4170" t="str">
            <v>QP1195-M</v>
          </cell>
          <cell r="B4170" t="str">
            <v>QP1195</v>
          </cell>
          <cell r="C4170" t="str">
            <v>ซาติน แขนยาวขายาว กระต่ายขาว พื้นม่วง M QC</v>
          </cell>
          <cell r="E4170">
            <v>0</v>
          </cell>
          <cell r="F4170">
            <v>990</v>
          </cell>
        </row>
        <row r="4171">
          <cell r="A4171" t="str">
            <v>QP1203-2XL</v>
          </cell>
          <cell r="B4171" t="str">
            <v>QP1203</v>
          </cell>
          <cell r="C4171" t="str">
            <v>ซาติน แขนยาวขายาว หมาผลไม้ พื้นชมพู 2XL QC</v>
          </cell>
          <cell r="E4171">
            <v>0</v>
          </cell>
          <cell r="F4171">
            <v>990</v>
          </cell>
        </row>
        <row r="4172">
          <cell r="A4172" t="str">
            <v>QP1203-L</v>
          </cell>
          <cell r="B4172" t="str">
            <v>QP1203</v>
          </cell>
          <cell r="C4172" t="str">
            <v>ซาติน แขนยาวขายาว หมาผลไม้ พื้นชมพู L QC</v>
          </cell>
          <cell r="E4172">
            <v>0</v>
          </cell>
          <cell r="F4172">
            <v>990</v>
          </cell>
        </row>
        <row r="4173">
          <cell r="A4173" t="str">
            <v>QP1207-2XL</v>
          </cell>
          <cell r="B4173" t="str">
            <v>QP1207</v>
          </cell>
          <cell r="C4173" t="str">
            <v>ซาติน แขนยาวขายาว Garden city gray 2XL QC</v>
          </cell>
          <cell r="E4173">
            <v>0</v>
          </cell>
          <cell r="F4173">
            <v>990</v>
          </cell>
        </row>
        <row r="4174">
          <cell r="A4174" t="str">
            <v>QP1207-XL</v>
          </cell>
          <cell r="B4174" t="str">
            <v>QP1207</v>
          </cell>
          <cell r="C4174" t="str">
            <v>ซาติน แขนยาวขายาว Garden city gray XL QC</v>
          </cell>
          <cell r="E4174">
            <v>0</v>
          </cell>
          <cell r="F4174">
            <v>1090</v>
          </cell>
        </row>
        <row r="4175">
          <cell r="A4175" t="str">
            <v>QP1215-2XL</v>
          </cell>
          <cell r="B4175" t="str">
            <v>QP1215</v>
          </cell>
          <cell r="C4175" t="str">
            <v>ซาติน แขนยาวขายาว zoooforest 2XL QC</v>
          </cell>
          <cell r="E4175">
            <v>0</v>
          </cell>
          <cell r="F4175">
            <v>990</v>
          </cell>
        </row>
        <row r="4176">
          <cell r="A4176" t="str">
            <v>QP1215-L</v>
          </cell>
          <cell r="B4176" t="str">
            <v>QP1215</v>
          </cell>
          <cell r="C4176" t="str">
            <v>ซาติน แขนยาวขายาว zoooforest L QC</v>
          </cell>
          <cell r="E4176">
            <v>0</v>
          </cell>
          <cell r="F4176">
            <v>990</v>
          </cell>
        </row>
        <row r="4177">
          <cell r="A4177" t="str">
            <v>QP1215-XL</v>
          </cell>
          <cell r="B4177" t="str">
            <v>QP1215</v>
          </cell>
          <cell r="C4177" t="str">
            <v>ซาติน แขนยาวขายาว zoooforest XL QC</v>
          </cell>
          <cell r="E4177">
            <v>0</v>
          </cell>
          <cell r="F4177">
            <v>990</v>
          </cell>
        </row>
        <row r="4178">
          <cell r="A4178" t="str">
            <v>QP1225-M</v>
          </cell>
          <cell r="B4178" t="str">
            <v>QP1225</v>
          </cell>
          <cell r="C4178" t="str">
            <v>ซาติน แขนยาวขายาว นักกีฬา สเก็ต พื้นครีม ปกฟ้า ขาว M QC</v>
          </cell>
          <cell r="E4178">
            <v>0</v>
          </cell>
          <cell r="F4178">
            <v>990</v>
          </cell>
        </row>
        <row r="4179">
          <cell r="A4179" t="str">
            <v>QP1228-L</v>
          </cell>
          <cell r="B4179" t="str">
            <v>QP1228</v>
          </cell>
          <cell r="C4179" t="str">
            <v>ซาติน แขนยาวขายาว Zoo forest พื้นขาว ปกโอโรส L (กปก) QC</v>
          </cell>
          <cell r="E4179">
            <v>0</v>
          </cell>
          <cell r="F4179">
            <v>990</v>
          </cell>
        </row>
        <row r="4180">
          <cell r="A4180" t="str">
            <v>QP4001-2XL</v>
          </cell>
          <cell r="B4180" t="str">
            <v>QP4001</v>
          </cell>
          <cell r="C4180" t="str">
            <v>ซาติน แขนยาวขายาว Muslin green mermaid 2XL (กปก) QC</v>
          </cell>
          <cell r="E4180">
            <v>0</v>
          </cell>
          <cell r="F4180">
            <v>990</v>
          </cell>
        </row>
        <row r="4181">
          <cell r="A4181" t="str">
            <v>QP4001-L</v>
          </cell>
          <cell r="B4181" t="str">
            <v>QP4001</v>
          </cell>
          <cell r="C4181" t="str">
            <v>ซาติน แขนยาวขายาว Muslin green mermaid L (กปก) QC</v>
          </cell>
          <cell r="E4181">
            <v>0</v>
          </cell>
          <cell r="F4181">
            <v>990</v>
          </cell>
        </row>
        <row r="4182">
          <cell r="A4182" t="str">
            <v>QP4001-M</v>
          </cell>
          <cell r="B4182" t="str">
            <v>QP4001</v>
          </cell>
          <cell r="C4182" t="str">
            <v>ซาติน แขนยาวขายาว Muslin green mermaid M (กปก) QC</v>
          </cell>
          <cell r="E4182">
            <v>0</v>
          </cell>
          <cell r="F4182">
            <v>990</v>
          </cell>
        </row>
        <row r="4183">
          <cell r="A4183" t="str">
            <v>QP4001-XL</v>
          </cell>
          <cell r="B4183" t="str">
            <v>QP4001</v>
          </cell>
          <cell r="C4183" t="str">
            <v>ซาติน แขนยาวขายาว Muslin green mermaid XL (กปก) QC</v>
          </cell>
          <cell r="E4183">
            <v>0</v>
          </cell>
          <cell r="F4183">
            <v>990</v>
          </cell>
        </row>
        <row r="4184">
          <cell r="A4184" t="str">
            <v>QP4005-M</v>
          </cell>
          <cell r="B4184" t="str">
            <v>QP4005</v>
          </cell>
          <cell r="C4184" t="str">
            <v>ซาติน แขนยาวขายาว Muslin ม่วงอ่อน M (กปก) QC</v>
          </cell>
          <cell r="E4184">
            <v>0</v>
          </cell>
          <cell r="F4184">
            <v>990</v>
          </cell>
        </row>
        <row r="4185">
          <cell r="A4185" t="str">
            <v>QP4006-XL</v>
          </cell>
          <cell r="B4185" t="str">
            <v>QP4006</v>
          </cell>
          <cell r="C4185" t="str">
            <v>ซาติน แขนยาวขายาว Muslin pinky XL (กปก) QC</v>
          </cell>
          <cell r="E4185">
            <v>0</v>
          </cell>
          <cell r="F4185">
            <v>990</v>
          </cell>
        </row>
        <row r="4186">
          <cell r="A4186" t="str">
            <v>QR0026-M</v>
          </cell>
          <cell r="B4186" t="str">
            <v>QR26</v>
          </cell>
          <cell r="C4186" t="str">
            <v>ซาติน เดรส สายเดี่ยว ขายาว หวานใจ หวานเย็น M QC</v>
          </cell>
          <cell r="E4186">
            <v>0</v>
          </cell>
          <cell r="F4186">
            <v>890</v>
          </cell>
        </row>
        <row r="4187">
          <cell r="A4187" t="str">
            <v>QR0028-L</v>
          </cell>
          <cell r="B4187" t="str">
            <v>QR28</v>
          </cell>
          <cell r="C4187" t="str">
            <v>ซาติน เดรส สายเดี่ยว ขาสั้น พื้นเขียว ดอกอัญชัน L QC</v>
          </cell>
          <cell r="E4187">
            <v>0</v>
          </cell>
          <cell r="F4187">
            <v>790</v>
          </cell>
        </row>
        <row r="4188">
          <cell r="A4188" t="str">
            <v>QR0029-L</v>
          </cell>
          <cell r="B4188" t="str">
            <v>QR29</v>
          </cell>
          <cell r="C4188" t="str">
            <v>ซาติน เดรส สายเดี่ยว ขายาว Paris กางเกงเชือก ฟ้า L หลุด QC</v>
          </cell>
          <cell r="E4188">
            <v>0</v>
          </cell>
          <cell r="F4188">
            <v>890</v>
          </cell>
        </row>
        <row r="4189">
          <cell r="A4189" t="str">
            <v>QR0029-M</v>
          </cell>
          <cell r="B4189" t="str">
            <v>QR29</v>
          </cell>
          <cell r="C4189" t="str">
            <v>ซาติน เดรส สายเดี่ยว ขายาว Paris กางเกงเชือก ฟ้า M QC</v>
          </cell>
          <cell r="E4189">
            <v>0</v>
          </cell>
          <cell r="F4189">
            <v>890</v>
          </cell>
        </row>
        <row r="4190">
          <cell r="A4190" t="str">
            <v>QR0029-XL</v>
          </cell>
          <cell r="B4190" t="str">
            <v>QR29</v>
          </cell>
          <cell r="C4190" t="str">
            <v>ซาติน เดรส สายเดี่ยว ขายาว Paris กางเกงเชือก ฟ้า XL หลุด QC</v>
          </cell>
          <cell r="E4190">
            <v>0</v>
          </cell>
          <cell r="F4190">
            <v>890</v>
          </cell>
        </row>
        <row r="4191">
          <cell r="A4191" t="str">
            <v>QR0038-M</v>
          </cell>
          <cell r="B4191" t="str">
            <v>QR38</v>
          </cell>
          <cell r="C4191" t="str">
            <v>ซาติน เดรส สายเดี่ยว ขาสั้น ดอกไม้ขาว พื้นชมพู M QC</v>
          </cell>
          <cell r="E4191">
            <v>0</v>
          </cell>
          <cell r="F4191">
            <v>790</v>
          </cell>
        </row>
        <row r="4192">
          <cell r="A4192" t="str">
            <v>QR0330-L</v>
          </cell>
          <cell r="B4192" t="str">
            <v>QR330</v>
          </cell>
          <cell r="C4192" t="str">
            <v>ซาติน สายเดี่ยวขายา ปีกัสโซ่ L QC</v>
          </cell>
          <cell r="E4192">
            <v>0</v>
          </cell>
          <cell r="F4192">
            <v>890</v>
          </cell>
        </row>
        <row r="4193">
          <cell r="A4193" t="str">
            <v>QR0330-M</v>
          </cell>
          <cell r="B4193" t="str">
            <v>QR330</v>
          </cell>
          <cell r="C4193" t="str">
            <v>ซาติน สายเดี่ยวขายา ปีกัสโซ่ M QC</v>
          </cell>
          <cell r="E4193">
            <v>0</v>
          </cell>
          <cell r="F4193">
            <v>890</v>
          </cell>
        </row>
        <row r="4194">
          <cell r="A4194" t="str">
            <v>QR0330-XL</v>
          </cell>
          <cell r="B4194" t="str">
            <v>QR330</v>
          </cell>
          <cell r="C4194" t="str">
            <v>ซาติน สายเดี่ยวขายาว ปีกัสโซ่ XL QC</v>
          </cell>
          <cell r="E4194">
            <v>0</v>
          </cell>
          <cell r="F4194">
            <v>890</v>
          </cell>
        </row>
        <row r="4195">
          <cell r="A4195" t="str">
            <v>QR1070-L</v>
          </cell>
          <cell r="B4195" t="str">
            <v>QR1070</v>
          </cell>
          <cell r="C4195" t="str">
            <v>ซาติน เดรส สายเดี่ยว ขายาว กางเกงกราฟฟิคดอกไม้ส้ม L QC</v>
          </cell>
          <cell r="E4195">
            <v>0</v>
          </cell>
          <cell r="F4195">
            <v>890</v>
          </cell>
        </row>
        <row r="4196">
          <cell r="A4196" t="str">
            <v>QR1071-L</v>
          </cell>
          <cell r="B4196" t="str">
            <v>QR1071</v>
          </cell>
          <cell r="C4196" t="str">
            <v>ซาติน เดรส สายเดี่ยว ขายาว ระบายสีพาสเทล L QC</v>
          </cell>
          <cell r="E4196">
            <v>0</v>
          </cell>
          <cell r="F4196">
            <v>890</v>
          </cell>
        </row>
        <row r="4197">
          <cell r="A4197" t="str">
            <v>QR1075-M</v>
          </cell>
          <cell r="B4197" t="str">
            <v>QR1075</v>
          </cell>
          <cell r="C4197" t="str">
            <v>ซาติน เดรส สายเดี่ยว ขายาว โอโรส กางเกง pink rose M QC</v>
          </cell>
          <cell r="E4197">
            <v>0</v>
          </cell>
          <cell r="F4197">
            <v>890</v>
          </cell>
        </row>
        <row r="4198">
          <cell r="A4198" t="str">
            <v>QR1101-2XL</v>
          </cell>
          <cell r="B4198" t="str">
            <v>QR1101</v>
          </cell>
          <cell r="C4198" t="str">
            <v>ซาติน เดรส สายเดี่ยว ขายาว ดอกไม้หลากสี พื้นครีม 2XL QC</v>
          </cell>
          <cell r="E4198">
            <v>0</v>
          </cell>
          <cell r="F4198">
            <v>890</v>
          </cell>
        </row>
        <row r="4199">
          <cell r="A4199" t="str">
            <v>QT0002-XL</v>
          </cell>
          <cell r="B4199" t="str">
            <v>QT2</v>
          </cell>
          <cell r="C4199" t="str">
            <v>ซาติน แขนสั้นขายาว yellowcat (กปก) XL QC</v>
          </cell>
          <cell r="E4199">
            <v>0</v>
          </cell>
          <cell r="F4199">
            <v>890</v>
          </cell>
        </row>
        <row r="4200">
          <cell r="A4200" t="str">
            <v>QT0010-2XL</v>
          </cell>
          <cell r="B4200" t="str">
            <v>QT10</v>
          </cell>
          <cell r="C4200" t="str">
            <v>ซาติน แขนสั้นขายาว Totoro พื้นฟ้า 2XL (กปก) QC</v>
          </cell>
          <cell r="E4200">
            <v>0</v>
          </cell>
          <cell r="F4200">
            <v>890</v>
          </cell>
        </row>
        <row r="4201">
          <cell r="A4201" t="str">
            <v>QT0010-L</v>
          </cell>
          <cell r="B4201" t="str">
            <v>QT10</v>
          </cell>
          <cell r="C4201" t="str">
            <v>ซาติน แขนสั้นขายาว Totoro พื้นฟ้า L (กปก) QC</v>
          </cell>
          <cell r="E4201">
            <v>0</v>
          </cell>
          <cell r="F4201">
            <v>890</v>
          </cell>
        </row>
        <row r="4202">
          <cell r="A4202" t="str">
            <v>QT0010-M</v>
          </cell>
          <cell r="B4202" t="str">
            <v>QT10</v>
          </cell>
          <cell r="C4202" t="str">
            <v>ซาติน แขนสั้นขายาว Totoro พื้นฟ้า M (กปก) QC</v>
          </cell>
          <cell r="E4202">
            <v>0</v>
          </cell>
          <cell r="F4202">
            <v>890</v>
          </cell>
        </row>
        <row r="4203">
          <cell r="A4203" t="str">
            <v>QT0010-XL</v>
          </cell>
          <cell r="B4203" t="str">
            <v>QT10</v>
          </cell>
          <cell r="C4203" t="str">
            <v>ซาติน แขนสั้นขายาว Totoro พื้นฟ้า XL (กปก) QC</v>
          </cell>
          <cell r="E4203">
            <v>0</v>
          </cell>
          <cell r="F4203">
            <v>890</v>
          </cell>
        </row>
        <row r="4204">
          <cell r="A4204" t="str">
            <v>QT0011-M</v>
          </cell>
          <cell r="B4204" t="str">
            <v>QT11</v>
          </cell>
          <cell r="C4204" t="str">
            <v>ซาติน แขนสั้นขายาว Totoroชมพู M (กปก) QC</v>
          </cell>
          <cell r="E4204">
            <v>0</v>
          </cell>
          <cell r="F4204">
            <v>890</v>
          </cell>
        </row>
        <row r="4205">
          <cell r="A4205" t="str">
            <v>QT0038-M</v>
          </cell>
          <cell r="B4205" t="str">
            <v>QT38</v>
          </cell>
          <cell r="C4205" t="str">
            <v>ซาติน แขนสั้นขายาว สีครีม ขอบดำ (กปก) M QC</v>
          </cell>
          <cell r="E4205">
            <v>0</v>
          </cell>
          <cell r="F4205">
            <v>890</v>
          </cell>
        </row>
        <row r="4206">
          <cell r="A4206" t="str">
            <v>QT0181-M</v>
          </cell>
          <cell r="B4206" t="str">
            <v>QT181</v>
          </cell>
          <cell r="C4206" t="str">
            <v>ซาติน แขนสั้นขายาว สีครีม ขอบเงิน M (กปก) QC</v>
          </cell>
          <cell r="E4206">
            <v>0</v>
          </cell>
          <cell r="F4206">
            <v>890</v>
          </cell>
        </row>
        <row r="4207">
          <cell r="A4207" t="str">
            <v>QT0187-M</v>
          </cell>
          <cell r="B4207" t="str">
            <v>QT187</v>
          </cell>
          <cell r="C4207" t="str">
            <v>ซาตินแขนสั้นขายาว สีฟ้า ขอบชมพู M (กปก) QC</v>
          </cell>
          <cell r="E4207">
            <v>0</v>
          </cell>
          <cell r="F4207">
            <v>890</v>
          </cell>
        </row>
        <row r="4208">
          <cell r="A4208" t="str">
            <v>QT0326-2XL</v>
          </cell>
          <cell r="B4208" t="str">
            <v>QT326</v>
          </cell>
          <cell r="C4208" t="str">
            <v>ซาติน แขนสั้นขายาว แคนวาส พื้นครีม 2XL กปก QC</v>
          </cell>
          <cell r="E4208">
            <v>0</v>
          </cell>
          <cell r="F4208">
            <v>890</v>
          </cell>
        </row>
        <row r="4209">
          <cell r="A4209" t="str">
            <v>QT0326-3XL</v>
          </cell>
          <cell r="B4209" t="str">
            <v>QT326</v>
          </cell>
          <cell r="C4209" t="str">
            <v>ซาติน แขนสั้นขายาว แคนวาส พื้นครีม 3XL กปก หลุด QC</v>
          </cell>
          <cell r="E4209">
            <v>0</v>
          </cell>
          <cell r="F4209">
            <v>890</v>
          </cell>
        </row>
        <row r="4210">
          <cell r="A4210" t="str">
            <v>QT0326-L</v>
          </cell>
          <cell r="B4210" t="str">
            <v>QT326</v>
          </cell>
          <cell r="C4210" t="str">
            <v>ซาติน แขนสั้นขายาว แคนวาส พื้นครีม L กปก หลุด QC</v>
          </cell>
          <cell r="E4210">
            <v>0</v>
          </cell>
          <cell r="F4210">
            <v>890</v>
          </cell>
        </row>
        <row r="4211">
          <cell r="A4211" t="str">
            <v>QT0326-M</v>
          </cell>
          <cell r="B4211" t="str">
            <v>QT326</v>
          </cell>
          <cell r="C4211" t="str">
            <v>ซาติน แขนสั้นขายาว แคนวาส พื้นครีม M กปก หลุด QC</v>
          </cell>
          <cell r="E4211">
            <v>0</v>
          </cell>
          <cell r="F4211">
            <v>890</v>
          </cell>
        </row>
        <row r="4212">
          <cell r="A4212" t="str">
            <v>QT0326-XL</v>
          </cell>
          <cell r="B4212" t="str">
            <v>QT326</v>
          </cell>
          <cell r="C4212" t="str">
            <v>ซาติน แขนสั้นขายาว แคนวาส พื้นครีม XL กปก หลุด QC</v>
          </cell>
          <cell r="E4212">
            <v>0</v>
          </cell>
          <cell r="F4212">
            <v>890</v>
          </cell>
        </row>
        <row r="4213">
          <cell r="A4213" t="str">
            <v>QT0330-2XL</v>
          </cell>
          <cell r="B4213" t="str">
            <v>QT330</v>
          </cell>
          <cell r="C4213" t="str">
            <v>ซาติน แขนสั้นขายาว ปีกัสโซ่ 2XL QC</v>
          </cell>
          <cell r="E4213">
            <v>0</v>
          </cell>
          <cell r="F4213">
            <v>890</v>
          </cell>
        </row>
        <row r="4214">
          <cell r="A4214" t="str">
            <v>QT0330-L</v>
          </cell>
          <cell r="B4214" t="str">
            <v>QT330</v>
          </cell>
          <cell r="C4214" t="str">
            <v>ซาติน แขนสั้นขายาว ปีกัสโซ่ L QC</v>
          </cell>
          <cell r="E4214">
            <v>0</v>
          </cell>
          <cell r="F4214">
            <v>890</v>
          </cell>
        </row>
        <row r="4215">
          <cell r="A4215" t="str">
            <v>QT0347-2XL</v>
          </cell>
          <cell r="B4215" t="str">
            <v>QT347</v>
          </cell>
          <cell r="C4215" t="str">
            <v>ซาติน แขนสั้นขายาว Coral Sea 2XL QC</v>
          </cell>
          <cell r="E4215">
            <v>0</v>
          </cell>
          <cell r="F4215">
            <v>890</v>
          </cell>
        </row>
        <row r="4216">
          <cell r="A4216" t="str">
            <v>QT0347-L</v>
          </cell>
          <cell r="B4216" t="str">
            <v>QT347</v>
          </cell>
          <cell r="C4216" t="str">
            <v>ซาติน แขนสั้นขายาว Coral Sea L QC</v>
          </cell>
          <cell r="E4216">
            <v>0</v>
          </cell>
          <cell r="F4216">
            <v>890</v>
          </cell>
        </row>
        <row r="4217">
          <cell r="A4217" t="str">
            <v>QT0347-M</v>
          </cell>
          <cell r="B4217" t="str">
            <v>QT347</v>
          </cell>
          <cell r="C4217" t="str">
            <v>ซาติน แขนสั้นขายาว Coral Sea M QC</v>
          </cell>
          <cell r="E4217">
            <v>0</v>
          </cell>
          <cell r="F4217">
            <v>890</v>
          </cell>
        </row>
        <row r="4218">
          <cell r="A4218" t="str">
            <v>QT0347-XL</v>
          </cell>
          <cell r="B4218" t="str">
            <v>QT347</v>
          </cell>
          <cell r="C4218" t="str">
            <v>ซาติน แขนสั้นขายาว Coral Sea XL QC</v>
          </cell>
          <cell r="E4218">
            <v>0</v>
          </cell>
          <cell r="F4218">
            <v>890</v>
          </cell>
        </row>
        <row r="4219">
          <cell r="A4219" t="str">
            <v>QT0360-2XL</v>
          </cell>
          <cell r="B4219" t="str">
            <v>QT360</v>
          </cell>
          <cell r="C4219" t="str">
            <v>ซาติน แขนสั้นขายาว Comic book 2XL QC</v>
          </cell>
          <cell r="E4219">
            <v>0</v>
          </cell>
          <cell r="F4219">
            <v>890</v>
          </cell>
        </row>
        <row r="4220">
          <cell r="A4220" t="str">
            <v>QT0360-L</v>
          </cell>
          <cell r="B4220" t="str">
            <v>QT360</v>
          </cell>
          <cell r="C4220" t="str">
            <v>ซาติน แขนสั้นขายาว Comic book L QC</v>
          </cell>
          <cell r="E4220">
            <v>0</v>
          </cell>
          <cell r="F4220">
            <v>890</v>
          </cell>
        </row>
        <row r="4221">
          <cell r="A4221" t="str">
            <v>QT0360-XL</v>
          </cell>
          <cell r="B4221" t="str">
            <v>QT360</v>
          </cell>
          <cell r="C4221" t="str">
            <v>ซาติน แขนสั้นขายาว Comic book XL QC</v>
          </cell>
          <cell r="E4221">
            <v>0</v>
          </cell>
          <cell r="F4221">
            <v>890</v>
          </cell>
        </row>
        <row r="4222">
          <cell r="A4222" t="str">
            <v>QT0368-2XL</v>
          </cell>
          <cell r="B4222" t="str">
            <v>QT368</v>
          </cell>
          <cell r="C4222" t="str">
            <v>ซาติน แขนสั้นขายาว เสือ น้ำเงิน (กปก) 2XL QC</v>
          </cell>
          <cell r="E4222">
            <v>0</v>
          </cell>
          <cell r="F4222">
            <v>890</v>
          </cell>
        </row>
        <row r="4223">
          <cell r="A4223" t="str">
            <v>QT0368-3XL</v>
          </cell>
          <cell r="B4223" t="str">
            <v>QT368</v>
          </cell>
          <cell r="C4223" t="str">
            <v>ซาติน แขนสั้นขายาว เสือ น้ำเงิน (กปก) 3XL QC</v>
          </cell>
          <cell r="E4223">
            <v>0</v>
          </cell>
          <cell r="F4223">
            <v>890</v>
          </cell>
        </row>
        <row r="4224">
          <cell r="A4224" t="str">
            <v>QT0482-M</v>
          </cell>
          <cell r="B4224" t="str">
            <v>QT482</v>
          </cell>
          <cell r="C4224" t="str">
            <v>ซาติน แขนสั้นขายาว Sleep Cat พื้นฟ้า M (กปก) QC</v>
          </cell>
          <cell r="E4224">
            <v>0</v>
          </cell>
          <cell r="F4224">
            <v>890</v>
          </cell>
        </row>
        <row r="4225">
          <cell r="A4225" t="str">
            <v>QT0482-XL</v>
          </cell>
          <cell r="B4225" t="str">
            <v>QT482</v>
          </cell>
          <cell r="C4225" t="str">
            <v>ซาติน แขนสั้นขายาว Sleep Cat พื้นฟ้า XL (กปก) QC</v>
          </cell>
          <cell r="E4225">
            <v>0</v>
          </cell>
          <cell r="F4225">
            <v>890</v>
          </cell>
        </row>
        <row r="4226">
          <cell r="A4226" t="str">
            <v>QT0490-2XL</v>
          </cell>
          <cell r="B4226" t="str">
            <v>QT490</v>
          </cell>
          <cell r="C4226" t="str">
            <v>ซาติน แขนสั้นขายาว Summer Tiger  (มีกปก) 2XL QC</v>
          </cell>
          <cell r="E4226">
            <v>0</v>
          </cell>
          <cell r="F4226">
            <v>890</v>
          </cell>
        </row>
        <row r="4227">
          <cell r="A4227" t="str">
            <v>QT0490-M</v>
          </cell>
          <cell r="B4227" t="str">
            <v>QT490</v>
          </cell>
          <cell r="C4227" t="str">
            <v>ซาติน แขนสั้นขายาว Summer Tiger  (มีกปก) M QC</v>
          </cell>
          <cell r="E4227">
            <v>0</v>
          </cell>
          <cell r="F4227">
            <v>890</v>
          </cell>
        </row>
        <row r="4228">
          <cell r="A4228" t="str">
            <v>QT0490-XL</v>
          </cell>
          <cell r="B4228" t="str">
            <v>QT490</v>
          </cell>
          <cell r="C4228" t="str">
            <v>ซาติน แขนสั้นขายาว Summer Tiger  (มีกปก) XL QC</v>
          </cell>
          <cell r="E4228">
            <v>0</v>
          </cell>
          <cell r="F4228">
            <v>890</v>
          </cell>
        </row>
        <row r="4229">
          <cell r="A4229" t="str">
            <v>QT0525-2XL</v>
          </cell>
          <cell r="B4229" t="str">
            <v>QT525</v>
          </cell>
          <cell r="C4229" t="str">
            <v>ซาติน แขนสั้นขายาว ภาพวาดกุหลาบ พื้นส้ม 2XL หลุด QC</v>
          </cell>
          <cell r="E4229">
            <v>0</v>
          </cell>
          <cell r="F4229">
            <v>890</v>
          </cell>
        </row>
        <row r="4230">
          <cell r="A4230" t="str">
            <v>QT0526-2XL</v>
          </cell>
          <cell r="B4230" t="str">
            <v>QT526</v>
          </cell>
          <cell r="C4230" t="str">
            <v>ซาติน แขนสั้นขายาว Royal Art 2XL หลุด QC</v>
          </cell>
          <cell r="E4230">
            <v>0</v>
          </cell>
          <cell r="F4230">
            <v>890</v>
          </cell>
        </row>
        <row r="4231">
          <cell r="A4231" t="str">
            <v>QT0526-3XL</v>
          </cell>
          <cell r="B4231" t="str">
            <v>QT526</v>
          </cell>
          <cell r="C4231" t="str">
            <v>ซาติน แขนสั้นขายาว Royal Art 3XL QC</v>
          </cell>
          <cell r="E4231">
            <v>0</v>
          </cell>
          <cell r="F4231">
            <v>890</v>
          </cell>
        </row>
        <row r="4232">
          <cell r="A4232" t="str">
            <v>QT0667-M</v>
          </cell>
          <cell r="B4232" t="str">
            <v>QT667</v>
          </cell>
          <cell r="C4232" t="str">
            <v>ซาติน แขนสั้นขายาว art พื้นส้ม M (กปก) QC</v>
          </cell>
          <cell r="E4232">
            <v>0</v>
          </cell>
          <cell r="F4232">
            <v>890</v>
          </cell>
        </row>
        <row r="4233">
          <cell r="A4233" t="str">
            <v>QT0675-M</v>
          </cell>
          <cell r="B4233" t="str">
            <v>QT675</v>
          </cell>
          <cell r="C4233" t="str">
            <v>ซาติน แขนสั้นขายาว Blue Sky M QC</v>
          </cell>
          <cell r="E4233">
            <v>0</v>
          </cell>
          <cell r="F4233">
            <v>890</v>
          </cell>
        </row>
        <row r="4234">
          <cell r="A4234" t="str">
            <v>QT0677-M</v>
          </cell>
          <cell r="B4234" t="str">
            <v>QT677</v>
          </cell>
          <cell r="C4234" t="str">
            <v>ซาติน แขนสั้นขายาว Golden Leaf พื้นกรม M QC</v>
          </cell>
          <cell r="E4234">
            <v>0</v>
          </cell>
          <cell r="F4234">
            <v>890</v>
          </cell>
        </row>
        <row r="4235">
          <cell r="A4235" t="str">
            <v>QT0780-XL</v>
          </cell>
          <cell r="B4235" t="str">
            <v>QT780</v>
          </cell>
          <cell r="C4235" t="str">
            <v>ซาติน แขนสั้นขายาว พื้นฟ้า เถาวัลย์ฟ้า XL (กปก) QC</v>
          </cell>
          <cell r="E4235">
            <v>0</v>
          </cell>
          <cell r="F4235">
            <v>890</v>
          </cell>
        </row>
        <row r="4236">
          <cell r="A4236" t="str">
            <v>QT0786-L</v>
          </cell>
          <cell r="B4236" t="str">
            <v>QT786</v>
          </cell>
          <cell r="C4236" t="str">
            <v>ซาติน แขนสั้นขายาว เกสรดอกไม้ คอวี L หลุด QC</v>
          </cell>
          <cell r="E4236">
            <v>0</v>
          </cell>
          <cell r="F4236">
            <v>890</v>
          </cell>
        </row>
        <row r="4237">
          <cell r="A4237" t="str">
            <v>QT0800-L</v>
          </cell>
          <cell r="B4237" t="str">
            <v>QT800</v>
          </cell>
          <cell r="C4237" t="str">
            <v>ซิลค์แจ็คการ์ด แขนสั้นขายาว กุหลาบ พื้นขาว ปกชมพู L QC</v>
          </cell>
          <cell r="E4237">
            <v>0</v>
          </cell>
          <cell r="F4237">
            <v>890</v>
          </cell>
        </row>
        <row r="4238">
          <cell r="A4238" t="str">
            <v>QT0819-2XL</v>
          </cell>
          <cell r="B4238" t="str">
            <v>QT819</v>
          </cell>
          <cell r="C4238" t="str">
            <v>ซาติน แขนสั้นขายาว ดอกมะลิ พื้นฟ้า 2XL หลุด QC</v>
          </cell>
          <cell r="E4238">
            <v>0</v>
          </cell>
          <cell r="F4238">
            <v>890</v>
          </cell>
        </row>
        <row r="4239">
          <cell r="A4239" t="str">
            <v>QT0819-L</v>
          </cell>
          <cell r="B4239" t="str">
            <v>QT819</v>
          </cell>
          <cell r="C4239" t="str">
            <v>ซาติน แขนสั้นขายาว ดอกมะลิ พื้นฟ้า L หลุด QC</v>
          </cell>
          <cell r="E4239">
            <v>0</v>
          </cell>
          <cell r="F4239">
            <v>890</v>
          </cell>
        </row>
        <row r="4240">
          <cell r="A4240" t="str">
            <v>QT0819-M</v>
          </cell>
          <cell r="B4240" t="str">
            <v>QT819</v>
          </cell>
          <cell r="C4240" t="str">
            <v>ซาติน แขนสั้นขายาว ดอกมะลิ พื้นฟ้า M หลุด QC</v>
          </cell>
          <cell r="E4240">
            <v>0</v>
          </cell>
          <cell r="F4240">
            <v>890</v>
          </cell>
        </row>
        <row r="4241">
          <cell r="A4241" t="str">
            <v>QT0819-XL</v>
          </cell>
          <cell r="B4241" t="str">
            <v>QT819</v>
          </cell>
          <cell r="C4241" t="str">
            <v>ซาติน แขนสั้นขายาว ดอกมะลิ พื้นฟ้า XL หลุด QC</v>
          </cell>
          <cell r="E4241">
            <v>0</v>
          </cell>
          <cell r="F4241">
            <v>890</v>
          </cell>
        </row>
        <row r="4242">
          <cell r="A4242" t="str">
            <v>QT0841-M</v>
          </cell>
          <cell r="B4242" t="str">
            <v>QT841</v>
          </cell>
          <cell r="C4242" t="str">
            <v>ซาติน แขนสั้นขายาว Green Forest M หลุด QC</v>
          </cell>
          <cell r="E4242">
            <v>0</v>
          </cell>
          <cell r="F4242">
            <v>890</v>
          </cell>
        </row>
        <row r="4243">
          <cell r="A4243" t="str">
            <v>QT0844-XL</v>
          </cell>
          <cell r="B4243" t="str">
            <v>QT844</v>
          </cell>
          <cell r="C4243" t="str">
            <v>ซาติน แขนสั้นขายาว ดอกไม้แมงกระพรุน ขอบม่วง XL QC</v>
          </cell>
          <cell r="E4243">
            <v>0</v>
          </cell>
          <cell r="F4243">
            <v>890</v>
          </cell>
        </row>
        <row r="4244">
          <cell r="A4244" t="str">
            <v>QT0849-2XL</v>
          </cell>
          <cell r="B4244" t="str">
            <v>QT849</v>
          </cell>
          <cell r="C4244" t="str">
            <v>ซาติน แขนสั้นขายาว Green to tones 2XL QC</v>
          </cell>
          <cell r="E4244">
            <v>0</v>
          </cell>
          <cell r="F4244">
            <v>890</v>
          </cell>
        </row>
        <row r="4245">
          <cell r="A4245" t="str">
            <v>QT0849-M</v>
          </cell>
          <cell r="B4245" t="str">
            <v>QT849</v>
          </cell>
          <cell r="C4245" t="str">
            <v>ซาติน แขนสั้นขายาว Green to tones M QC</v>
          </cell>
          <cell r="E4245">
            <v>0</v>
          </cell>
          <cell r="F4245">
            <v>890</v>
          </cell>
        </row>
        <row r="4246">
          <cell r="A4246" t="str">
            <v>QT0849-XL</v>
          </cell>
          <cell r="B4246" t="str">
            <v>QT849</v>
          </cell>
          <cell r="C4246" t="str">
            <v>ซาติน แขนสั้นขายาว Green to tones XL QC</v>
          </cell>
          <cell r="E4246">
            <v>0</v>
          </cell>
          <cell r="F4246">
            <v>890</v>
          </cell>
        </row>
        <row r="4247">
          <cell r="A4247" t="str">
            <v>QT0885-M</v>
          </cell>
          <cell r="B4247" t="str">
            <v>QT885</v>
          </cell>
          <cell r="C4247" t="str">
            <v>ซาติน แขนสั้นขายาว สุนัขรวม พื้นชมพู M QC</v>
          </cell>
          <cell r="E4247">
            <v>0</v>
          </cell>
          <cell r="F4247">
            <v>890</v>
          </cell>
        </row>
        <row r="4248">
          <cell r="A4248" t="str">
            <v>QT0885-XL</v>
          </cell>
          <cell r="B4248" t="str">
            <v>QT885</v>
          </cell>
          <cell r="C4248" t="str">
            <v>ซาติน แขนสั้นขายาว สุนัขรวม พื้นชมพู XL QC</v>
          </cell>
          <cell r="E4248">
            <v>0</v>
          </cell>
          <cell r="F4248">
            <v>890</v>
          </cell>
        </row>
        <row r="4249">
          <cell r="A4249" t="str">
            <v>QT0887-L</v>
          </cell>
          <cell r="B4249" t="str">
            <v>QT887</v>
          </cell>
          <cell r="C4249" t="str">
            <v>ซาติน แขนสั้นขายาว แมวรวม พื้นเขียวขี้ม้า L QC</v>
          </cell>
          <cell r="E4249">
            <v>0</v>
          </cell>
          <cell r="F4249">
            <v>890</v>
          </cell>
        </row>
        <row r="4250">
          <cell r="A4250" t="str">
            <v>QT0887-XL</v>
          </cell>
          <cell r="B4250" t="str">
            <v>QT887</v>
          </cell>
          <cell r="C4250" t="str">
            <v>ซาติน แขนสั้นขายาว แมวรวม พื้นเขียวขี้ม้า XL QC</v>
          </cell>
          <cell r="E4250">
            <v>0</v>
          </cell>
          <cell r="F4250">
            <v>890</v>
          </cell>
        </row>
        <row r="4251">
          <cell r="A4251" t="str">
            <v>QT0908-2XL</v>
          </cell>
          <cell r="B4251" t="str">
            <v>QT908</v>
          </cell>
          <cell r="C4251" t="str">
            <v>ซาติน แขนสั้นขายาว ลายจิงโจ้ขาว พื้นม่วง 2XL (กปก) หลุด QC</v>
          </cell>
          <cell r="E4251">
            <v>0</v>
          </cell>
          <cell r="F4251">
            <v>890</v>
          </cell>
        </row>
        <row r="4252">
          <cell r="A4252" t="str">
            <v>QT0908-3XL</v>
          </cell>
          <cell r="B4252" t="str">
            <v>QT908</v>
          </cell>
          <cell r="C4252" t="str">
            <v>ซาติน แขนสั้นขายาว ลายจิงโจ้ขาว พื้นม่วง 3XL (กปก) หลุด QC</v>
          </cell>
          <cell r="E4252">
            <v>0</v>
          </cell>
          <cell r="F4252">
            <v>890</v>
          </cell>
        </row>
        <row r="4253">
          <cell r="A4253" t="str">
            <v>QT0908-L</v>
          </cell>
          <cell r="B4253" t="str">
            <v>QT908</v>
          </cell>
          <cell r="C4253" t="str">
            <v>ซาติน แขนสั้นขายาว ลายจิงโจ้ขาว พื้นม่วง L (กปก) หลุด QC</v>
          </cell>
          <cell r="E4253">
            <v>0</v>
          </cell>
          <cell r="F4253">
            <v>890</v>
          </cell>
        </row>
        <row r="4254">
          <cell r="A4254" t="str">
            <v>QT0908-M</v>
          </cell>
          <cell r="B4254" t="str">
            <v>QT908</v>
          </cell>
          <cell r="C4254" t="str">
            <v>ซาติน แขนสั้นขายาว ลายจิงโจ้ขาว พื้นม่วง M (กปก) หลุด QC</v>
          </cell>
          <cell r="E4254">
            <v>0</v>
          </cell>
          <cell r="F4254">
            <v>890</v>
          </cell>
        </row>
        <row r="4255">
          <cell r="A4255" t="str">
            <v>QT0908-XL</v>
          </cell>
          <cell r="B4255" t="str">
            <v>QT908</v>
          </cell>
          <cell r="C4255" t="str">
            <v>ซาติน แขนสั้นขายาว ลายจิงโจ้ขาว พื้นม่วง XL (กปก) หลุด QC</v>
          </cell>
          <cell r="E4255">
            <v>0</v>
          </cell>
          <cell r="F4255">
            <v>890</v>
          </cell>
        </row>
        <row r="4256">
          <cell r="A4256" t="str">
            <v>QT0922-2XL</v>
          </cell>
          <cell r="B4256" t="str">
            <v>QT922</v>
          </cell>
          <cell r="C4256" t="str">
            <v>ซาติน แขนสั้นขายาว Bird Orchid พื้นขาว 2XL  (กปก) QC</v>
          </cell>
          <cell r="E4256">
            <v>0</v>
          </cell>
          <cell r="F4256">
            <v>890</v>
          </cell>
        </row>
        <row r="4257">
          <cell r="A4257" t="str">
            <v>QT0924-3XL</v>
          </cell>
          <cell r="B4257" t="str">
            <v>QT924</v>
          </cell>
          <cell r="C4257" t="str">
            <v>ซาติน แขนสั้นขายาว Jungle Cruise ครีม 3XL  (กปก) หลุด QC</v>
          </cell>
          <cell r="E4257">
            <v>0</v>
          </cell>
          <cell r="F4257">
            <v>890</v>
          </cell>
        </row>
        <row r="4258">
          <cell r="A4258" t="str">
            <v>QT0925-XL</v>
          </cell>
          <cell r="B4258" t="str">
            <v>QT925</v>
          </cell>
          <cell r="C4258" t="str">
            <v>ซาติน แขนสั้นขายาว Bird Orchid พื้นเขียว XL (กปก) QC</v>
          </cell>
          <cell r="E4258">
            <v>0</v>
          </cell>
          <cell r="F4258">
            <v>890</v>
          </cell>
        </row>
        <row r="4259">
          <cell r="A4259" t="str">
            <v>QT0926-2XL</v>
          </cell>
          <cell r="B4259" t="str">
            <v>QT926</v>
          </cell>
          <cell r="C4259" t="str">
            <v>ซาติน แขนสั้นขายาว พื้นกรม ลายม้าลาย 2XL (กปก) หลุด QC</v>
          </cell>
          <cell r="E4259">
            <v>0</v>
          </cell>
          <cell r="F4259">
            <v>890</v>
          </cell>
        </row>
        <row r="4260">
          <cell r="A4260" t="str">
            <v>QT0926-3XL</v>
          </cell>
          <cell r="B4260" t="str">
            <v>QT926</v>
          </cell>
          <cell r="C4260" t="str">
            <v>ซาติน แขนสั้นขายาว พื้นกรม ลายม้าลาย 3XL (กปก) หลุด QC</v>
          </cell>
          <cell r="E4260">
            <v>0</v>
          </cell>
          <cell r="F4260">
            <v>890</v>
          </cell>
        </row>
        <row r="4261">
          <cell r="A4261" t="str">
            <v>QT0926-L</v>
          </cell>
          <cell r="B4261" t="str">
            <v>QT926</v>
          </cell>
          <cell r="C4261" t="str">
            <v>ซาติน แขนสั้นขายาว พื้นกรม ลายม้าลาย L (กปก) หลุด QC</v>
          </cell>
          <cell r="E4261">
            <v>0</v>
          </cell>
          <cell r="F4261">
            <v>890</v>
          </cell>
        </row>
        <row r="4262">
          <cell r="A4262" t="str">
            <v>QT0926-M</v>
          </cell>
          <cell r="B4262" t="str">
            <v>QT926</v>
          </cell>
          <cell r="C4262" t="str">
            <v>ซาติน แขนสั้นขายาว พื้นกรม ลายม้าลาย M (กปก) หลุด QC</v>
          </cell>
          <cell r="E4262">
            <v>0</v>
          </cell>
          <cell r="F4262">
            <v>890</v>
          </cell>
        </row>
        <row r="4263">
          <cell r="A4263" t="str">
            <v>QT0926-XL</v>
          </cell>
          <cell r="B4263" t="str">
            <v>QT926</v>
          </cell>
          <cell r="C4263" t="str">
            <v>ซาติน แขนสั้นขายาว พื้นกรม ลายม้าลาย XL (กปก) QC</v>
          </cell>
          <cell r="E4263">
            <v>0</v>
          </cell>
          <cell r="F4263">
            <v>890</v>
          </cell>
        </row>
        <row r="4264">
          <cell r="A4264" t="str">
            <v>QT0927-M</v>
          </cell>
          <cell r="B4264" t="str">
            <v>QT927</v>
          </cell>
          <cell r="C4264" t="str">
            <v>ซาติน แขนสั้นขายาว หน้าแมว พื้นดำ M QC</v>
          </cell>
          <cell r="E4264">
            <v>0</v>
          </cell>
          <cell r="F4264">
            <v>890</v>
          </cell>
        </row>
        <row r="4265">
          <cell r="A4265" t="str">
            <v>QT0927-XL</v>
          </cell>
          <cell r="B4265" t="str">
            <v>QT927</v>
          </cell>
          <cell r="C4265" t="str">
            <v>ซาติน แขนสั้นขายาว หน้าแมว พื้นดำ XL QC</v>
          </cell>
          <cell r="E4265">
            <v>0</v>
          </cell>
          <cell r="F4265">
            <v>890</v>
          </cell>
        </row>
        <row r="4266">
          <cell r="A4266" t="str">
            <v>QT0930-2XL</v>
          </cell>
          <cell r="B4266" t="str">
            <v>QT930</v>
          </cell>
          <cell r="C4266" t="str">
            <v>ซาติน แขนสั้นขายาว pinky 2XL (กปก) หลุด QC</v>
          </cell>
          <cell r="E4266">
            <v>0</v>
          </cell>
          <cell r="F4266">
            <v>890</v>
          </cell>
        </row>
        <row r="4267">
          <cell r="A4267" t="str">
            <v>QT0930-L</v>
          </cell>
          <cell r="B4267" t="str">
            <v>QT930</v>
          </cell>
          <cell r="C4267" t="str">
            <v>ซาติน แขนสั้นขายาว pinky L (กปก) QC</v>
          </cell>
          <cell r="E4267">
            <v>0</v>
          </cell>
          <cell r="F4267">
            <v>890</v>
          </cell>
        </row>
        <row r="4268">
          <cell r="A4268" t="str">
            <v>QT0930-M</v>
          </cell>
          <cell r="B4268" t="str">
            <v>QT930</v>
          </cell>
          <cell r="C4268" t="str">
            <v>ซาติน แขนสั้นขายาว pinky M (กปก) QC</v>
          </cell>
          <cell r="E4268">
            <v>0</v>
          </cell>
          <cell r="F4268">
            <v>890</v>
          </cell>
        </row>
        <row r="4269">
          <cell r="A4269" t="str">
            <v>QT0930-XL</v>
          </cell>
          <cell r="B4269" t="str">
            <v>QT930</v>
          </cell>
          <cell r="C4269" t="str">
            <v>ซาติน แขนสั้นขายาว pinky XL (กปก) หลุด QC</v>
          </cell>
          <cell r="E4269">
            <v>0</v>
          </cell>
          <cell r="F4269">
            <v>890</v>
          </cell>
        </row>
        <row r="4270">
          <cell r="A4270" t="str">
            <v>QT0931-L</v>
          </cell>
          <cell r="B4270" t="str">
            <v>QT931</v>
          </cell>
          <cell r="C4270" t="str">
            <v>ซาติน แขนสั้นขายาว olivia L (กปก) QC</v>
          </cell>
          <cell r="E4270">
            <v>0</v>
          </cell>
          <cell r="F4270">
            <v>890</v>
          </cell>
        </row>
        <row r="4271">
          <cell r="A4271" t="str">
            <v>QT0934-XL</v>
          </cell>
          <cell r="B4271" t="str">
            <v>QT934</v>
          </cell>
          <cell r="C4271" t="str">
            <v>ซาติน แขนสั้นขายาว navy XL (กปก) QC</v>
          </cell>
          <cell r="E4271">
            <v>0</v>
          </cell>
          <cell r="F4271">
            <v>890</v>
          </cell>
        </row>
        <row r="4272">
          <cell r="A4272" t="str">
            <v>QT0935-2XL</v>
          </cell>
          <cell r="B4272" t="str">
            <v>QT935</v>
          </cell>
          <cell r="C4272" t="str">
            <v>ซาติน แขนสั้นขายาว Cute old totoro 2XL (กปก) หลุด QC</v>
          </cell>
          <cell r="E4272">
            <v>0</v>
          </cell>
          <cell r="F4272">
            <v>890</v>
          </cell>
        </row>
        <row r="4273">
          <cell r="A4273" t="str">
            <v>QT0935-3XL</v>
          </cell>
          <cell r="B4273" t="str">
            <v>QT935</v>
          </cell>
          <cell r="C4273" t="str">
            <v>ซาติน แขนสั้นขายาว Cute old totoro 3XL (กปก) หลุด QC</v>
          </cell>
          <cell r="E4273">
            <v>0</v>
          </cell>
          <cell r="F4273">
            <v>890</v>
          </cell>
        </row>
        <row r="4274">
          <cell r="A4274" t="str">
            <v>QT0935-L</v>
          </cell>
          <cell r="B4274" t="str">
            <v>QT935</v>
          </cell>
          <cell r="C4274" t="str">
            <v>ซาติน แขนสั้นขายาว Cute old totoro L (กปก) หลุด QC</v>
          </cell>
          <cell r="E4274">
            <v>0</v>
          </cell>
          <cell r="F4274">
            <v>890</v>
          </cell>
        </row>
        <row r="4275">
          <cell r="A4275" t="str">
            <v>QT0935-M</v>
          </cell>
          <cell r="B4275" t="str">
            <v>QT935</v>
          </cell>
          <cell r="C4275" t="str">
            <v>ซาติน แขนสั้นขายาว Cute old totoro M (กปก) หลุด QC</v>
          </cell>
          <cell r="E4275">
            <v>0</v>
          </cell>
          <cell r="F4275">
            <v>890</v>
          </cell>
        </row>
        <row r="4276">
          <cell r="A4276" t="str">
            <v>QT0935-XL</v>
          </cell>
          <cell r="B4276" t="str">
            <v>QT935</v>
          </cell>
          <cell r="C4276" t="str">
            <v>ซาติน แขนสั้นขายาว Cute old totoro XL (กปก) หลุด QC</v>
          </cell>
          <cell r="E4276">
            <v>0</v>
          </cell>
          <cell r="F4276">
            <v>890</v>
          </cell>
        </row>
        <row r="4277">
          <cell r="A4277" t="str">
            <v>QT0937-XL</v>
          </cell>
          <cell r="B4277" t="str">
            <v>QT937</v>
          </cell>
          <cell r="C4277" t="str">
            <v>ซาติน แขนสั้นขายาว Little pink tiger XL QC</v>
          </cell>
          <cell r="E4277">
            <v>0</v>
          </cell>
          <cell r="F4277">
            <v>890</v>
          </cell>
        </row>
        <row r="4278">
          <cell r="A4278" t="str">
            <v>QT0938-2XL</v>
          </cell>
          <cell r="B4278" t="str">
            <v>QT938</v>
          </cell>
          <cell r="C4278" t="str">
            <v>ซาติน แขนสั้นขายาว Black forest 2XL QC</v>
          </cell>
          <cell r="E4278">
            <v>0</v>
          </cell>
          <cell r="F4278">
            <v>890</v>
          </cell>
        </row>
        <row r="4279">
          <cell r="A4279" t="str">
            <v>QT0938-L</v>
          </cell>
          <cell r="B4279" t="str">
            <v>QT938</v>
          </cell>
          <cell r="C4279" t="str">
            <v>ซาติน แขนสั้นขายาว Black forest L QC</v>
          </cell>
          <cell r="E4279">
            <v>0</v>
          </cell>
          <cell r="F4279">
            <v>890</v>
          </cell>
        </row>
        <row r="4280">
          <cell r="A4280" t="str">
            <v>QT0938-XL</v>
          </cell>
          <cell r="B4280" t="str">
            <v>QT938</v>
          </cell>
          <cell r="C4280" t="str">
            <v>ซาติน แขนสั้นขายาว Black forest XL QC</v>
          </cell>
          <cell r="E4280">
            <v>0</v>
          </cell>
          <cell r="F4280">
            <v>890</v>
          </cell>
        </row>
        <row r="4281">
          <cell r="A4281" t="str">
            <v>QT0940-3XL</v>
          </cell>
          <cell r="B4281" t="str">
            <v>QT940</v>
          </cell>
          <cell r="C4281" t="str">
            <v>ซาติน แขนสั้นขายาว Zebra ดำ (กปก) 3XL QC</v>
          </cell>
          <cell r="E4281">
            <v>0</v>
          </cell>
          <cell r="F4281">
            <v>890</v>
          </cell>
        </row>
        <row r="4282">
          <cell r="A4282" t="str">
            <v>QT0941-2XL</v>
          </cell>
          <cell r="B4282" t="str">
            <v>QT941</v>
          </cell>
          <cell r="C4282" t="str">
            <v>ซาติน แขนสั้นขายาว เกสรดอกไม้ ไฟ พื้นกรม 2XL (กปก) QC</v>
          </cell>
          <cell r="E4282">
            <v>0</v>
          </cell>
          <cell r="F4282">
            <v>890</v>
          </cell>
        </row>
        <row r="4283">
          <cell r="A4283" t="str">
            <v>QT0941-3XL</v>
          </cell>
          <cell r="B4283" t="str">
            <v>QT941</v>
          </cell>
          <cell r="C4283" t="str">
            <v>ซาติน แขนสั้นขายาว เกสรดอกไม้ ไฟ พื้นกรม 3XL (กปก) QC</v>
          </cell>
          <cell r="E4283">
            <v>0</v>
          </cell>
          <cell r="F4283">
            <v>890</v>
          </cell>
        </row>
        <row r="4284">
          <cell r="A4284" t="str">
            <v>QT0941-L</v>
          </cell>
          <cell r="B4284" t="str">
            <v>QT941</v>
          </cell>
          <cell r="C4284" t="str">
            <v>ซาติน แขนสั้นขายาว เกสรดอกไม้ ไฟ พื้นกรม L (กปก) QC</v>
          </cell>
          <cell r="E4284">
            <v>0</v>
          </cell>
          <cell r="F4284">
            <v>890</v>
          </cell>
        </row>
        <row r="4285">
          <cell r="A4285" t="str">
            <v>QT0941-XL</v>
          </cell>
          <cell r="B4285" t="str">
            <v>QT941</v>
          </cell>
          <cell r="C4285" t="str">
            <v>ซาติน แขนสั้นขายาว เกสรดอกไม้ ไฟ พื้นกรม XL (กปก) QC</v>
          </cell>
          <cell r="E4285">
            <v>0</v>
          </cell>
          <cell r="F4285">
            <v>890</v>
          </cell>
        </row>
        <row r="4286">
          <cell r="A4286" t="str">
            <v>QT0944-XL</v>
          </cell>
          <cell r="B4286" t="str">
            <v>QT944</v>
          </cell>
          <cell r="C4286" t="str">
            <v>ซาติน แขนสั้นขายาว กวางพื้นกรม  XL QC</v>
          </cell>
          <cell r="E4286">
            <v>0</v>
          </cell>
          <cell r="F4286">
            <v>890</v>
          </cell>
        </row>
        <row r="4287">
          <cell r="A4287" t="str">
            <v>QT0948-2XL</v>
          </cell>
          <cell r="B4287" t="str">
            <v>QT948</v>
          </cell>
          <cell r="C4287" t="str">
            <v>ซาติน แขนสั้นขายาว แมวดำ พื้นชมพู 2XL (กปก) หลุด QC</v>
          </cell>
          <cell r="E4287">
            <v>0</v>
          </cell>
          <cell r="F4287">
            <v>890</v>
          </cell>
        </row>
        <row r="4288">
          <cell r="A4288" t="str">
            <v>QT0948-3XL</v>
          </cell>
          <cell r="B4288" t="str">
            <v>QT948</v>
          </cell>
          <cell r="C4288" t="str">
            <v>ซาติน แขนสั้นขายาว แมวดำ พื้นชมพู 3XL (กปก) QC</v>
          </cell>
          <cell r="E4288">
            <v>0</v>
          </cell>
          <cell r="F4288">
            <v>890</v>
          </cell>
        </row>
        <row r="4289">
          <cell r="A4289" t="str">
            <v>QT0948-L</v>
          </cell>
          <cell r="B4289" t="str">
            <v>QT948</v>
          </cell>
          <cell r="C4289" t="str">
            <v>ซาติน แขนสั้นขายาว แมวดำ พื้นชมพู L (กปก) หลุด QC</v>
          </cell>
          <cell r="E4289">
            <v>0</v>
          </cell>
          <cell r="F4289">
            <v>890</v>
          </cell>
        </row>
        <row r="4290">
          <cell r="A4290" t="str">
            <v>QT0948-M</v>
          </cell>
          <cell r="B4290" t="str">
            <v>QT948</v>
          </cell>
          <cell r="C4290" t="str">
            <v>ซาติน แขนสั้นขายาว แมวดำ พื้นชมพู M (กปก) หลุด QC</v>
          </cell>
          <cell r="E4290">
            <v>0</v>
          </cell>
          <cell r="F4290">
            <v>890</v>
          </cell>
        </row>
        <row r="4291">
          <cell r="A4291" t="str">
            <v>QT0948-XL</v>
          </cell>
          <cell r="B4291" t="str">
            <v>QT948</v>
          </cell>
          <cell r="C4291" t="str">
            <v>ซาติน แขนสั้นขายาว แมวดำ พื้นชมพู XL (กปก) หลุด QC</v>
          </cell>
          <cell r="E4291">
            <v>0</v>
          </cell>
          <cell r="F4291">
            <v>890</v>
          </cell>
        </row>
        <row r="4292">
          <cell r="A4292" t="str">
            <v>QT0956-2XL</v>
          </cell>
          <cell r="B4292" t="str">
            <v>QT956</v>
          </cell>
          <cell r="C4292" t="str">
            <v>ซาติน แขนสั้นขายาว ทิวลิปม่วง พื้นขาว 2XL (กปก) หลุด QC</v>
          </cell>
          <cell r="E4292">
            <v>0</v>
          </cell>
          <cell r="F4292">
            <v>890</v>
          </cell>
        </row>
        <row r="4293">
          <cell r="A4293" t="str">
            <v>QT0956-3XL</v>
          </cell>
          <cell r="B4293" t="str">
            <v>QT956</v>
          </cell>
          <cell r="C4293" t="str">
            <v>ซาติน แขนสั้นขายาว ทิวลิปม่วง พื้นขาว 3XL (กปก) หลุด QC</v>
          </cell>
          <cell r="E4293">
            <v>0</v>
          </cell>
          <cell r="F4293">
            <v>890</v>
          </cell>
        </row>
        <row r="4294">
          <cell r="A4294" t="str">
            <v>QT0956-L</v>
          </cell>
          <cell r="B4294" t="str">
            <v>QT956</v>
          </cell>
          <cell r="C4294" t="str">
            <v>ซาติน แขนสั้นขายาว ทิวลิปม่วง พื้นขาว L (กปก) หลุด QC</v>
          </cell>
          <cell r="E4294">
            <v>0</v>
          </cell>
          <cell r="F4294">
            <v>890</v>
          </cell>
        </row>
        <row r="4295">
          <cell r="A4295" t="str">
            <v>QT0956-M</v>
          </cell>
          <cell r="B4295" t="str">
            <v>QT956</v>
          </cell>
          <cell r="C4295" t="str">
            <v>ซาติน แขนสั้นขายาว ทิวลิปม่วง พื้นขาว M (กปก) หลุด QC</v>
          </cell>
          <cell r="E4295">
            <v>0</v>
          </cell>
          <cell r="F4295">
            <v>890</v>
          </cell>
        </row>
        <row r="4296">
          <cell r="A4296" t="str">
            <v>QT0956-XL</v>
          </cell>
          <cell r="B4296" t="str">
            <v>QT956</v>
          </cell>
          <cell r="C4296" t="str">
            <v>ซาติน แขนสั้นขายาว ทิวลิปม่วง พื้นขาว XL (กปก) หลุด QC</v>
          </cell>
          <cell r="E4296">
            <v>0</v>
          </cell>
          <cell r="F4296">
            <v>890</v>
          </cell>
        </row>
        <row r="4297">
          <cell r="A4297" t="str">
            <v>QT0959-2XL</v>
          </cell>
          <cell r="B4297" t="str">
            <v>QT959</v>
          </cell>
          <cell r="C4297" t="str">
            <v>ซาติน แขนสั้นขายาว เขาวงกต ขาวดำ 2XL หลุด QC</v>
          </cell>
          <cell r="E4297">
            <v>0</v>
          </cell>
          <cell r="F4297">
            <v>890</v>
          </cell>
        </row>
        <row r="4298">
          <cell r="A4298" t="str">
            <v>QT0959-3XL</v>
          </cell>
          <cell r="B4298" t="str">
            <v>QT959</v>
          </cell>
          <cell r="C4298" t="str">
            <v>ซาติน แขนสั้นขายาว เขาวงกต ขาวดำ 3XL QC</v>
          </cell>
          <cell r="E4298">
            <v>0</v>
          </cell>
          <cell r="F4298">
            <v>890</v>
          </cell>
        </row>
        <row r="4299">
          <cell r="A4299" t="str">
            <v>QT0959-L</v>
          </cell>
          <cell r="B4299" t="str">
            <v>QT959</v>
          </cell>
          <cell r="C4299" t="str">
            <v>ซาติน แขนสั้นขายาว เขาวงกต ขาวดำ L หลุด QC</v>
          </cell>
          <cell r="E4299">
            <v>0</v>
          </cell>
          <cell r="F4299">
            <v>890</v>
          </cell>
        </row>
        <row r="4300">
          <cell r="A4300" t="str">
            <v>QT0959-M</v>
          </cell>
          <cell r="B4300" t="str">
            <v>QT959</v>
          </cell>
          <cell r="C4300" t="str">
            <v>ซาติน แขนสั้นขายาว เขาวงกต ขาวดำ M หลุด QC</v>
          </cell>
          <cell r="E4300">
            <v>0</v>
          </cell>
          <cell r="F4300">
            <v>890</v>
          </cell>
        </row>
        <row r="4301">
          <cell r="A4301" t="str">
            <v>QT0959-XL</v>
          </cell>
          <cell r="B4301" t="str">
            <v>QT959</v>
          </cell>
          <cell r="C4301" t="str">
            <v>ซาติน แขนสั้นขายาว เขาวงกต ขาวดำ XL QC</v>
          </cell>
          <cell r="E4301">
            <v>0</v>
          </cell>
          <cell r="F4301">
            <v>890</v>
          </cell>
        </row>
        <row r="4302">
          <cell r="A4302" t="str">
            <v>QT0960-M</v>
          </cell>
          <cell r="B4302" t="str">
            <v>QT960</v>
          </cell>
          <cell r="C4302" t="str">
            <v>ซาติน แขนสั้นขายาว ทุ่งดอกไม้ คอปกโอรสขอบกรม (กปก) M QC</v>
          </cell>
          <cell r="E4302">
            <v>0</v>
          </cell>
          <cell r="F4302">
            <v>890</v>
          </cell>
        </row>
        <row r="4303">
          <cell r="A4303" t="str">
            <v>QT0961-2XL</v>
          </cell>
          <cell r="B4303" t="str">
            <v>QT961</v>
          </cell>
          <cell r="C4303" t="str">
            <v>แขนสั้นขายาว (กปก) พื้นเขียว สวนดอกไม้ 2XL QC</v>
          </cell>
          <cell r="E4303">
            <v>0</v>
          </cell>
          <cell r="F4303">
            <v>890</v>
          </cell>
        </row>
        <row r="4304">
          <cell r="A4304" t="str">
            <v>QT0961-XL</v>
          </cell>
          <cell r="B4304" t="str">
            <v>QT961</v>
          </cell>
          <cell r="C4304" t="str">
            <v>แขนสั้นขายาว (กปก) พื้นเขียว สวนดอกไม้ XL QC</v>
          </cell>
          <cell r="E4304">
            <v>0</v>
          </cell>
          <cell r="F4304">
            <v>890</v>
          </cell>
        </row>
        <row r="4305">
          <cell r="A4305" t="str">
            <v>QT0962-2XL</v>
          </cell>
          <cell r="B4305" t="str">
            <v>QT962</v>
          </cell>
          <cell r="C4305" t="str">
            <v>ซาติน แขนสั้นขายาว พื้นครีม สตอเบอรี่ 2XL หลุด QC</v>
          </cell>
          <cell r="E4305">
            <v>0</v>
          </cell>
          <cell r="F4305">
            <v>890</v>
          </cell>
        </row>
        <row r="4306">
          <cell r="A4306" t="str">
            <v>QT0962-3XL</v>
          </cell>
          <cell r="B4306" t="str">
            <v>QT962</v>
          </cell>
          <cell r="C4306" t="str">
            <v>ซาติน แขนสั้นขายาว พื้นครีม สตอเบอรี่ 3XL หลุด QC</v>
          </cell>
          <cell r="E4306">
            <v>0</v>
          </cell>
          <cell r="F4306">
            <v>890</v>
          </cell>
        </row>
        <row r="4307">
          <cell r="A4307" t="str">
            <v>QT0962-L</v>
          </cell>
          <cell r="B4307" t="str">
            <v>QT962</v>
          </cell>
          <cell r="C4307" t="str">
            <v>ซาติน แขนสั้นขายาว พื้นครีม สตอเบอรี่ L หลุด QC</v>
          </cell>
          <cell r="E4307">
            <v>0</v>
          </cell>
          <cell r="F4307">
            <v>890</v>
          </cell>
        </row>
        <row r="4308">
          <cell r="A4308" t="str">
            <v>QT0962-M</v>
          </cell>
          <cell r="B4308" t="str">
            <v>QT962</v>
          </cell>
          <cell r="C4308" t="str">
            <v>ซาติน แขนสั้นขายาว พื้นครีม สตอเบอรี่ M หลุด QC</v>
          </cell>
          <cell r="E4308">
            <v>0</v>
          </cell>
          <cell r="F4308">
            <v>890</v>
          </cell>
        </row>
        <row r="4309">
          <cell r="A4309" t="str">
            <v>QT0962-XL</v>
          </cell>
          <cell r="B4309" t="str">
            <v>QT962</v>
          </cell>
          <cell r="C4309" t="str">
            <v>ซาติน แขนสั้นขายาว พื้นครีม สตอเบอรี่ XL หลุด QC</v>
          </cell>
          <cell r="E4309">
            <v>0</v>
          </cell>
          <cell r="F4309">
            <v>890</v>
          </cell>
        </row>
        <row r="4310">
          <cell r="A4310" t="str">
            <v>QT0963-2XL</v>
          </cell>
          <cell r="B4310" t="str">
            <v>QT963</v>
          </cell>
          <cell r="C4310" t="str">
            <v>ซาติน แขนสั้นขายาว (กปก) เทพีผมม่วง 2XL QC</v>
          </cell>
          <cell r="E4310">
            <v>0</v>
          </cell>
          <cell r="F4310">
            <v>890</v>
          </cell>
        </row>
        <row r="4311">
          <cell r="A4311" t="str">
            <v>QT0963-L</v>
          </cell>
          <cell r="B4311" t="str">
            <v>QT963</v>
          </cell>
          <cell r="C4311" t="str">
            <v>ซาติน แขนสั้นขายาว (กปก) เทพีผมม่วง L QC</v>
          </cell>
          <cell r="E4311">
            <v>0</v>
          </cell>
          <cell r="F4311">
            <v>890</v>
          </cell>
        </row>
        <row r="4312">
          <cell r="A4312" t="str">
            <v>QT0963-M</v>
          </cell>
          <cell r="B4312" t="str">
            <v>QT963</v>
          </cell>
          <cell r="C4312" t="str">
            <v>ซาติน แขนสั้นขายาว (กปก) เทพีผมม่วง M QC</v>
          </cell>
          <cell r="E4312">
            <v>0</v>
          </cell>
          <cell r="F4312">
            <v>890</v>
          </cell>
        </row>
        <row r="4313">
          <cell r="A4313" t="str">
            <v>QT0964-M</v>
          </cell>
          <cell r="B4313" t="str">
            <v>QT964</v>
          </cell>
          <cell r="C4313" t="str">
            <v>ซาติน แขนสั้นขายาว ทิวลิปชมพูพื้นฟ้า  (กปก) M QC</v>
          </cell>
          <cell r="E4313">
            <v>0</v>
          </cell>
          <cell r="F4313">
            <v>890</v>
          </cell>
        </row>
        <row r="4314">
          <cell r="A4314" t="str">
            <v>QT0965-2XL</v>
          </cell>
          <cell r="B4314" t="str">
            <v>QT965</v>
          </cell>
          <cell r="C4314" t="str">
            <v>ซาติน   แขนสั้นขายาว (กปก) พื้นขาว ขอบเขียว 2XL QC</v>
          </cell>
          <cell r="E4314">
            <v>0</v>
          </cell>
          <cell r="F4314">
            <v>890</v>
          </cell>
        </row>
        <row r="4315">
          <cell r="A4315" t="str">
            <v>QT0965-3XL</v>
          </cell>
          <cell r="B4315" t="str">
            <v>QT965</v>
          </cell>
          <cell r="C4315" t="str">
            <v>ซาติน   แขนสั้นขายาว (กปก) พื้นขาว ขอบเขียว 3XL หลุด QC</v>
          </cell>
          <cell r="E4315">
            <v>0</v>
          </cell>
          <cell r="F4315">
            <v>890</v>
          </cell>
        </row>
        <row r="4316">
          <cell r="A4316" t="str">
            <v>QT0965-L</v>
          </cell>
          <cell r="B4316" t="str">
            <v>QT965</v>
          </cell>
          <cell r="C4316" t="str">
            <v>ซาติน   แขนสั้นขายาว (กปก) พื้นขาว ขอบเขียว L หลุด QC</v>
          </cell>
          <cell r="E4316">
            <v>0</v>
          </cell>
          <cell r="F4316">
            <v>890</v>
          </cell>
        </row>
        <row r="4317">
          <cell r="A4317" t="str">
            <v>QT0965-M</v>
          </cell>
          <cell r="B4317" t="str">
            <v>QT965</v>
          </cell>
          <cell r="C4317" t="str">
            <v>ซาติน   แขนสั้นขายาว (กปก) พื้นขาว ขอบเขียว M หลุด QC</v>
          </cell>
          <cell r="E4317">
            <v>0</v>
          </cell>
          <cell r="F4317">
            <v>890</v>
          </cell>
        </row>
        <row r="4318">
          <cell r="A4318" t="str">
            <v>QT0965-XL</v>
          </cell>
          <cell r="B4318" t="str">
            <v>QT965</v>
          </cell>
          <cell r="C4318" t="str">
            <v>ซาติน   แขนสั้นขายาว (กปก) พื้นขาว ขอบเขียว XL หลุด QC</v>
          </cell>
          <cell r="E4318">
            <v>0</v>
          </cell>
          <cell r="F4318">
            <v>890</v>
          </cell>
        </row>
        <row r="4319">
          <cell r="A4319" t="str">
            <v>QT0967-2XL</v>
          </cell>
          <cell r="B4319" t="str">
            <v>QT967</v>
          </cell>
          <cell r="C4319" t="str">
            <v>ซาติน แขนสั้นขายาว ทิวลิปชมพูพื้นฟ้าคราม  2XL หลุด QC</v>
          </cell>
          <cell r="E4319">
            <v>0</v>
          </cell>
          <cell r="F4319">
            <v>890</v>
          </cell>
        </row>
        <row r="4320">
          <cell r="A4320" t="str">
            <v>QT0967-3XL</v>
          </cell>
          <cell r="B4320" t="str">
            <v>QT967</v>
          </cell>
          <cell r="C4320" t="str">
            <v>ซาติน แขนสั้นขายาว ทิวลิปชมพูพื้นฟ้าคราม  3XL หลุด QC</v>
          </cell>
          <cell r="E4320">
            <v>0</v>
          </cell>
          <cell r="F4320">
            <v>890</v>
          </cell>
        </row>
        <row r="4321">
          <cell r="A4321" t="str">
            <v>QT0967-L</v>
          </cell>
          <cell r="B4321" t="str">
            <v>QT967</v>
          </cell>
          <cell r="C4321" t="str">
            <v>ซาติน แขนสั้นขายาว ทิวลิปชมพูพื้นฟ้าคราม  L หลุด QC</v>
          </cell>
          <cell r="E4321">
            <v>0</v>
          </cell>
          <cell r="F4321">
            <v>890</v>
          </cell>
        </row>
        <row r="4322">
          <cell r="A4322" t="str">
            <v>QT0967-M</v>
          </cell>
          <cell r="B4322" t="str">
            <v>QT967</v>
          </cell>
          <cell r="C4322" t="str">
            <v>ซาติน แขนสั้นขายาว ทิวลิปชมพูพื้นฟ้าคราม  M หลุด QC</v>
          </cell>
          <cell r="E4322">
            <v>0</v>
          </cell>
          <cell r="F4322">
            <v>890</v>
          </cell>
        </row>
        <row r="4323">
          <cell r="A4323" t="str">
            <v>QT0967-XL</v>
          </cell>
          <cell r="B4323" t="str">
            <v>QT967</v>
          </cell>
          <cell r="C4323" t="str">
            <v>ซาติน แขนสั้นขายาว ทิวลิปชมพูพื้นฟ้าคราม  XL หลุด QC</v>
          </cell>
          <cell r="E4323">
            <v>0</v>
          </cell>
          <cell r="F4323">
            <v>890</v>
          </cell>
        </row>
        <row r="4324">
          <cell r="A4324" t="str">
            <v>QT0970-2XL</v>
          </cell>
          <cell r="B4324" t="str">
            <v>QT970</v>
          </cell>
          <cell r="C4324" t="str">
            <v>ซาติน แขนสั้นขายาว น้องหมี ลายทาง ฟ้าขาว 2XL (กปก) หลุด QC</v>
          </cell>
          <cell r="E4324">
            <v>0</v>
          </cell>
          <cell r="F4324">
            <v>890</v>
          </cell>
        </row>
        <row r="4325">
          <cell r="A4325" t="str">
            <v>QT0970-3XL</v>
          </cell>
          <cell r="B4325" t="str">
            <v>QT970</v>
          </cell>
          <cell r="C4325" t="str">
            <v>ซาติน แขนสั้นขายาว น้องหมี ลายทาง ฟ้าขาว 3XL (กปก) หลุด QC</v>
          </cell>
          <cell r="E4325">
            <v>0</v>
          </cell>
          <cell r="F4325">
            <v>890</v>
          </cell>
        </row>
        <row r="4326">
          <cell r="A4326" t="str">
            <v>QT0970-L</v>
          </cell>
          <cell r="B4326" t="str">
            <v>QT970</v>
          </cell>
          <cell r="C4326" t="str">
            <v>ซาติน แขนสั้นขายาว น้องหมี ลายทาง ฟ้าขาว L (กปก) หลุด QC</v>
          </cell>
          <cell r="E4326">
            <v>0</v>
          </cell>
          <cell r="F4326">
            <v>890</v>
          </cell>
        </row>
        <row r="4327">
          <cell r="A4327" t="str">
            <v>QT0970-M</v>
          </cell>
          <cell r="B4327" t="str">
            <v>QT970</v>
          </cell>
          <cell r="C4327" t="str">
            <v>ซาติน แขนสั้นขายาว น้องหมี ลายทาง ฟ้าขาว M (กปก) หลุด QC</v>
          </cell>
          <cell r="E4327">
            <v>0</v>
          </cell>
          <cell r="F4327">
            <v>890</v>
          </cell>
        </row>
        <row r="4328">
          <cell r="A4328" t="str">
            <v>QT0970-XL</v>
          </cell>
          <cell r="B4328" t="str">
            <v>QT970</v>
          </cell>
          <cell r="C4328" t="str">
            <v>ซาติน แขนสั้นขายาว น้องหมี ลายทาง ฟ้าขาว XL (กปก) หลุด QC</v>
          </cell>
          <cell r="E4328">
            <v>0</v>
          </cell>
          <cell r="F4328">
            <v>890</v>
          </cell>
        </row>
        <row r="4329">
          <cell r="A4329" t="str">
            <v>QT0973-2XL</v>
          </cell>
          <cell r="B4329" t="str">
            <v>QT973</v>
          </cell>
          <cell r="C4329" t="str">
            <v>ซาติน แขนสั้นขายาว Rabbit Flower พื้นขาว 2XL (กปก) หลุด QC</v>
          </cell>
          <cell r="E4329">
            <v>0</v>
          </cell>
          <cell r="F4329">
            <v>890</v>
          </cell>
        </row>
        <row r="4330">
          <cell r="A4330" t="str">
            <v>QT0973-3XL</v>
          </cell>
          <cell r="B4330" t="str">
            <v>QT973</v>
          </cell>
          <cell r="C4330" t="str">
            <v>ซาติน แขนสั้นขายาว Rabbit Flower พื้นขาว 3XL (กปก) หลุด QC</v>
          </cell>
          <cell r="E4330">
            <v>0</v>
          </cell>
          <cell r="F4330">
            <v>890</v>
          </cell>
        </row>
        <row r="4331">
          <cell r="A4331" t="str">
            <v>QT0973-L</v>
          </cell>
          <cell r="B4331" t="str">
            <v>QT973</v>
          </cell>
          <cell r="C4331" t="str">
            <v>ซาติน แขนสั้นขายาว Rabbit Flower พื้นขาว L (กปก) หลุด QC</v>
          </cell>
          <cell r="E4331">
            <v>0</v>
          </cell>
          <cell r="F4331">
            <v>890</v>
          </cell>
        </row>
        <row r="4332">
          <cell r="A4332" t="str">
            <v>QT0973-M</v>
          </cell>
          <cell r="B4332" t="str">
            <v>QT973</v>
          </cell>
          <cell r="C4332" t="str">
            <v>ซาติน แขนสั้นขายาว Rabbit Flower พื้นขาว M (กปก) QC</v>
          </cell>
          <cell r="E4332">
            <v>0</v>
          </cell>
          <cell r="F4332">
            <v>890</v>
          </cell>
        </row>
        <row r="4333">
          <cell r="A4333" t="str">
            <v>QT0973-XL</v>
          </cell>
          <cell r="B4333" t="str">
            <v>QT973</v>
          </cell>
          <cell r="C4333" t="str">
            <v>ซาติน แขนสั้นขายาว Rabbit Flower พื้นขาว XL (กปก) หลุด QC</v>
          </cell>
          <cell r="E4333">
            <v>0</v>
          </cell>
          <cell r="F4333">
            <v>890</v>
          </cell>
        </row>
        <row r="4334">
          <cell r="A4334" t="str">
            <v>QT0976-2XL</v>
          </cell>
          <cell r="B4334" t="str">
            <v>QT976</v>
          </cell>
          <cell r="C4334" t="str">
            <v>ซาติน แขนสั้นขายาว ฟลามิงโก้ พื้นเขียว (กปก) 2XL หลุด QC</v>
          </cell>
          <cell r="E4334">
            <v>0</v>
          </cell>
          <cell r="F4334">
            <v>890</v>
          </cell>
        </row>
        <row r="4335">
          <cell r="A4335" t="str">
            <v>QT0976-3XL</v>
          </cell>
          <cell r="B4335" t="str">
            <v>QT976</v>
          </cell>
          <cell r="C4335" t="str">
            <v>ซาติน แขนสั้นขายาว ฟลามิงโก้ พื้นเขียว (กปก) 3XL QC</v>
          </cell>
          <cell r="E4335">
            <v>0</v>
          </cell>
          <cell r="F4335">
            <v>890</v>
          </cell>
        </row>
        <row r="4336">
          <cell r="A4336" t="str">
            <v>QT0976-L</v>
          </cell>
          <cell r="B4336" t="str">
            <v>QT976</v>
          </cell>
          <cell r="C4336" t="str">
            <v>ซาติน แขนสั้นขายาว ฟลามิงโก้ พื้นเขียว (กปก) L หลุด QC</v>
          </cell>
          <cell r="E4336">
            <v>0</v>
          </cell>
          <cell r="F4336">
            <v>890</v>
          </cell>
        </row>
        <row r="4337">
          <cell r="A4337" t="str">
            <v>QT0976-M</v>
          </cell>
          <cell r="B4337" t="str">
            <v>QT976</v>
          </cell>
          <cell r="C4337" t="str">
            <v>ซาติน แขนสั้นขายาว ฟลามิงโก้ พื้นเขียว (กปก) M หลุด QC</v>
          </cell>
          <cell r="E4337">
            <v>0</v>
          </cell>
          <cell r="F4337">
            <v>890</v>
          </cell>
        </row>
        <row r="4338">
          <cell r="A4338" t="str">
            <v>QT0976-XL</v>
          </cell>
          <cell r="B4338" t="str">
            <v>QT976</v>
          </cell>
          <cell r="C4338" t="str">
            <v>ซาติน แขนสั้นขายาว ฟลามิงโก้ พื้นเขียว (กปก) XL หลุด QC</v>
          </cell>
          <cell r="E4338">
            <v>0</v>
          </cell>
          <cell r="F4338">
            <v>890</v>
          </cell>
        </row>
        <row r="4339">
          <cell r="A4339" t="str">
            <v>QT0977-L</v>
          </cell>
          <cell r="B4339" t="str">
            <v>QT977</v>
          </cell>
          <cell r="C4339" t="str">
            <v>ซาติน แขนสั้นขายาว Butterfly พื้นชมพู คอวี L (กปก) QC</v>
          </cell>
          <cell r="E4339">
            <v>0</v>
          </cell>
          <cell r="F4339">
            <v>890</v>
          </cell>
        </row>
        <row r="4340">
          <cell r="A4340" t="str">
            <v>QT0978-2XL</v>
          </cell>
          <cell r="B4340" t="str">
            <v>QT978</v>
          </cell>
          <cell r="C4340" t="str">
            <v>ซาติน แขนสั้นขายาว กล้วยไม้น้ำตาล 2XL (กปก) QC</v>
          </cell>
          <cell r="E4340">
            <v>0</v>
          </cell>
          <cell r="F4340">
            <v>890</v>
          </cell>
        </row>
        <row r="4341">
          <cell r="A4341" t="str">
            <v>QT0978-3XL</v>
          </cell>
          <cell r="B4341" t="str">
            <v>QT978</v>
          </cell>
          <cell r="C4341" t="str">
            <v>ซาติน แขนสั้นขายาว กล้วยไม้น้ำตาล 3XL (กปก) หลุด QC</v>
          </cell>
          <cell r="E4341">
            <v>0</v>
          </cell>
          <cell r="F4341">
            <v>890</v>
          </cell>
        </row>
        <row r="4342">
          <cell r="A4342" t="str">
            <v>QT0978-L</v>
          </cell>
          <cell r="B4342" t="str">
            <v>QT978</v>
          </cell>
          <cell r="C4342" t="str">
            <v>ซาติน แขนสั้นขายาว กล้วยไม้น้ำตาล L (กปก) หลุด QC</v>
          </cell>
          <cell r="E4342">
            <v>0</v>
          </cell>
          <cell r="F4342">
            <v>890</v>
          </cell>
        </row>
        <row r="4343">
          <cell r="A4343" t="str">
            <v>QT0978-M</v>
          </cell>
          <cell r="B4343" t="str">
            <v>QT978</v>
          </cell>
          <cell r="C4343" t="str">
            <v>ซาติน แขนสั้นขายาว กล้วยไม้น้ำตาล M (กปก) หลุด QC</v>
          </cell>
          <cell r="E4343">
            <v>0</v>
          </cell>
          <cell r="F4343">
            <v>890</v>
          </cell>
        </row>
        <row r="4344">
          <cell r="A4344" t="str">
            <v>QT0978-XL</v>
          </cell>
          <cell r="B4344" t="str">
            <v>QT978</v>
          </cell>
          <cell r="C4344" t="str">
            <v>ซาติน แขนสั้นขายาว กล้วยไม้น้ำตาล XL (กปก) QC</v>
          </cell>
          <cell r="E4344">
            <v>0</v>
          </cell>
          <cell r="F4344">
            <v>890</v>
          </cell>
        </row>
        <row r="4345">
          <cell r="A4345" t="str">
            <v>QT0979-2XL</v>
          </cell>
          <cell r="B4345" t="str">
            <v>QT979</v>
          </cell>
          <cell r="C4345" t="str">
            <v>ซาติน แขนสั้นขายาว ม้าลาย น้ำตาล (กปก) 2XL QC</v>
          </cell>
          <cell r="E4345">
            <v>0</v>
          </cell>
          <cell r="F4345">
            <v>890</v>
          </cell>
        </row>
        <row r="4346">
          <cell r="A4346" t="str">
            <v>QT0979-3XL</v>
          </cell>
          <cell r="B4346" t="str">
            <v>QT979</v>
          </cell>
          <cell r="C4346" t="str">
            <v>ซาติน แขนสั้นขายาว ม้าลาย น้ำตาล (กปก) 3XL QC</v>
          </cell>
          <cell r="E4346">
            <v>0</v>
          </cell>
          <cell r="F4346">
            <v>890</v>
          </cell>
        </row>
        <row r="4347">
          <cell r="A4347" t="str">
            <v>QT0979-L</v>
          </cell>
          <cell r="B4347" t="str">
            <v>QT979</v>
          </cell>
          <cell r="C4347" t="str">
            <v>ซาติน แขนสั้นขายาว ม้าลาย น้ำตาล (กปก) L หลุด QC</v>
          </cell>
          <cell r="E4347">
            <v>0</v>
          </cell>
          <cell r="F4347">
            <v>890</v>
          </cell>
        </row>
        <row r="4348">
          <cell r="A4348" t="str">
            <v>QT0979-M</v>
          </cell>
          <cell r="B4348" t="str">
            <v>QT979</v>
          </cell>
          <cell r="C4348" t="str">
            <v>ซาติน แขนสั้นขายาว ม้าลาย น้ำตาล (กปก) M หลุด QC</v>
          </cell>
          <cell r="E4348">
            <v>0</v>
          </cell>
          <cell r="F4348">
            <v>890</v>
          </cell>
        </row>
        <row r="4349">
          <cell r="A4349" t="str">
            <v>QT0979-XL</v>
          </cell>
          <cell r="B4349" t="str">
            <v>QT979</v>
          </cell>
          <cell r="C4349" t="str">
            <v>ซาติน แขนสั้นขายาว ม้าลาย น้ำตาล (กปก) XL หลุด QC</v>
          </cell>
          <cell r="E4349">
            <v>0</v>
          </cell>
          <cell r="F4349">
            <v>890</v>
          </cell>
        </row>
        <row r="4350">
          <cell r="A4350" t="str">
            <v>QT0980-2XL</v>
          </cell>
          <cell r="B4350" t="str">
            <v>QT980</v>
          </cell>
          <cell r="C4350" t="str">
            <v>ซาติน แขนสั้นขายาว โบว์ชมพู (กปก) 2XL QC</v>
          </cell>
          <cell r="E4350">
            <v>0</v>
          </cell>
          <cell r="F4350">
            <v>890</v>
          </cell>
        </row>
        <row r="4351">
          <cell r="A4351" t="str">
            <v>QT0980-3XL</v>
          </cell>
          <cell r="B4351" t="str">
            <v>QT980</v>
          </cell>
          <cell r="C4351" t="str">
            <v>ซาติน แขนสั้นขายาว โบว์ชมพู (กปก) 3XL QC</v>
          </cell>
          <cell r="E4351">
            <v>0</v>
          </cell>
          <cell r="F4351">
            <v>890</v>
          </cell>
        </row>
        <row r="4352">
          <cell r="A4352" t="str">
            <v>QT0980-L</v>
          </cell>
          <cell r="B4352" t="str">
            <v>QT980</v>
          </cell>
          <cell r="C4352" t="str">
            <v>ซาติน แขนสั้นขายาว โบว์ชมพู (กปก) L QC</v>
          </cell>
          <cell r="E4352">
            <v>0</v>
          </cell>
          <cell r="F4352">
            <v>890</v>
          </cell>
        </row>
        <row r="4353">
          <cell r="A4353" t="str">
            <v>QT0980-M</v>
          </cell>
          <cell r="B4353" t="str">
            <v>QT980</v>
          </cell>
          <cell r="C4353" t="str">
            <v>ซาติน แขนสั้นขายาว โบว์ชมพู (กปก) M หลุด QC</v>
          </cell>
          <cell r="E4353">
            <v>0</v>
          </cell>
          <cell r="F4353">
            <v>890</v>
          </cell>
        </row>
        <row r="4354">
          <cell r="A4354" t="str">
            <v>QT0980-XL</v>
          </cell>
          <cell r="B4354" t="str">
            <v>QT980</v>
          </cell>
          <cell r="C4354" t="str">
            <v>ซาติน แขนสั้นขายาว โบว์ชมพู (กปก) XL QC</v>
          </cell>
          <cell r="E4354">
            <v>0</v>
          </cell>
          <cell r="F4354">
            <v>890</v>
          </cell>
        </row>
        <row r="4355">
          <cell r="A4355" t="str">
            <v>QT0981-2XL</v>
          </cell>
          <cell r="B4355" t="str">
            <v>QT981</v>
          </cell>
          <cell r="C4355" t="str">
            <v>ซาติน แขนสั้นขายาว กระต่ายลายทาง ชมพู (กปก) 2XL หลุด QC</v>
          </cell>
          <cell r="E4355">
            <v>0</v>
          </cell>
          <cell r="F4355">
            <v>890</v>
          </cell>
        </row>
        <row r="4356">
          <cell r="A4356" t="str">
            <v>QT0981-3XL</v>
          </cell>
          <cell r="B4356" t="str">
            <v>QT981</v>
          </cell>
          <cell r="C4356" t="str">
            <v>ซาติน แขนสั้นขายาว กระต่ายลายทาง ชมพู (กปก) 3XL หลุด QC</v>
          </cell>
          <cell r="E4356">
            <v>0</v>
          </cell>
          <cell r="F4356">
            <v>890</v>
          </cell>
        </row>
        <row r="4357">
          <cell r="A4357" t="str">
            <v>QT0981-L</v>
          </cell>
          <cell r="B4357" t="str">
            <v>QT981</v>
          </cell>
          <cell r="C4357" t="str">
            <v>ซาติน แขนสั้นขายาว กระต่ายลายทาง ชมพู (กปก) L หลุด QC</v>
          </cell>
          <cell r="E4357">
            <v>0</v>
          </cell>
          <cell r="F4357">
            <v>890</v>
          </cell>
        </row>
        <row r="4358">
          <cell r="A4358" t="str">
            <v>QT0981-M</v>
          </cell>
          <cell r="B4358" t="str">
            <v>QT981</v>
          </cell>
          <cell r="C4358" t="str">
            <v>ซาติน แขนสั้นขายาว กระต่ายลายทาง ชมพู (กปก) M หลุด QC</v>
          </cell>
          <cell r="E4358">
            <v>0</v>
          </cell>
          <cell r="F4358">
            <v>890</v>
          </cell>
        </row>
        <row r="4359">
          <cell r="A4359" t="str">
            <v>QT0981-XL</v>
          </cell>
          <cell r="B4359" t="str">
            <v>QT981</v>
          </cell>
          <cell r="C4359" t="str">
            <v>ซาติน แขนสั้นขายาว กระต่ายลายทาง ชมพู (กปก) XL หลุด QC</v>
          </cell>
          <cell r="E4359">
            <v>0</v>
          </cell>
          <cell r="F4359">
            <v>890</v>
          </cell>
        </row>
        <row r="4360">
          <cell r="A4360" t="str">
            <v>QT0982-2XL</v>
          </cell>
          <cell r="B4360" t="str">
            <v>QT982</v>
          </cell>
          <cell r="C4360" t="str">
            <v>ซาติน แขนสั้นขายาว infinity ส้มปกครีม 2XL (กปก) หลุด QC</v>
          </cell>
          <cell r="E4360">
            <v>0</v>
          </cell>
          <cell r="F4360">
            <v>890</v>
          </cell>
        </row>
        <row r="4361">
          <cell r="A4361" t="str">
            <v>QT0982-L</v>
          </cell>
          <cell r="B4361" t="str">
            <v>QT982</v>
          </cell>
          <cell r="C4361" t="str">
            <v>ซาติน แขนสั้นขายาว infinity ส้มปกครีม L (กปก) หลุด QC</v>
          </cell>
          <cell r="E4361">
            <v>0</v>
          </cell>
          <cell r="F4361">
            <v>890</v>
          </cell>
        </row>
        <row r="4362">
          <cell r="A4362" t="str">
            <v>QT0982-M</v>
          </cell>
          <cell r="B4362" t="str">
            <v>QT982</v>
          </cell>
          <cell r="C4362" t="str">
            <v>ซาติน แขนสั้นขายาว infinity ส้มปกครีม M (กปก) หลุด QC</v>
          </cell>
          <cell r="E4362">
            <v>0</v>
          </cell>
          <cell r="F4362">
            <v>890</v>
          </cell>
        </row>
        <row r="4363">
          <cell r="A4363" t="str">
            <v>QT0982-XL</v>
          </cell>
          <cell r="B4363" t="str">
            <v>QT982</v>
          </cell>
          <cell r="C4363" t="str">
            <v>ซาติน แขนสั้นขายาว infinity ส้มปกครีม XL (กปก) หลุด QC</v>
          </cell>
          <cell r="E4363">
            <v>0</v>
          </cell>
          <cell r="F4363">
            <v>890</v>
          </cell>
        </row>
        <row r="4364">
          <cell r="A4364" t="str">
            <v>QT0986-2XL</v>
          </cell>
          <cell r="B4364" t="str">
            <v>QT986</v>
          </cell>
          <cell r="C4364" t="str">
            <v>ซาติน แขนสั้นขายาว ชมพู พื้นครีม ขอบเขียว 2XL (กปก) หลุด QC</v>
          </cell>
          <cell r="E4364">
            <v>0</v>
          </cell>
          <cell r="F4364">
            <v>890</v>
          </cell>
        </row>
        <row r="4365">
          <cell r="A4365" t="str">
            <v>QT0986-3XL</v>
          </cell>
          <cell r="B4365" t="str">
            <v>QT986</v>
          </cell>
          <cell r="C4365" t="str">
            <v>ซาติน แขนสั้นขายาว ชมพู พื้นครีม ขอบเขียว 3XL (กปก) หลุด QC</v>
          </cell>
          <cell r="E4365">
            <v>0</v>
          </cell>
          <cell r="F4365">
            <v>890</v>
          </cell>
        </row>
        <row r="4366">
          <cell r="A4366" t="str">
            <v>QT0986-L</v>
          </cell>
          <cell r="B4366" t="str">
            <v>QT986</v>
          </cell>
          <cell r="C4366" t="str">
            <v>ซาติน แขนสั้นขายาว ชมพู พื้นครีม ขอบเขียว L (กปก) หลุด QC</v>
          </cell>
          <cell r="E4366">
            <v>0</v>
          </cell>
          <cell r="F4366">
            <v>890</v>
          </cell>
        </row>
        <row r="4367">
          <cell r="A4367" t="str">
            <v>QT0986-M</v>
          </cell>
          <cell r="B4367" t="str">
            <v>QT986</v>
          </cell>
          <cell r="C4367" t="str">
            <v>ซาติน แขนสั้นขายาว ชมพู พื้นครีม ขอบเขียว M (กปก) หลุด QC</v>
          </cell>
          <cell r="E4367">
            <v>0</v>
          </cell>
          <cell r="F4367">
            <v>890</v>
          </cell>
        </row>
        <row r="4368">
          <cell r="A4368" t="str">
            <v>QT0986-XL</v>
          </cell>
          <cell r="B4368" t="str">
            <v>QT986</v>
          </cell>
          <cell r="C4368" t="str">
            <v>ซาติน แขนสั้นขายาว ชมพู พื้นครีม ขอบเขียว XL (กปก) หลุด QC</v>
          </cell>
          <cell r="E4368">
            <v>0</v>
          </cell>
          <cell r="F4368">
            <v>890</v>
          </cell>
        </row>
        <row r="4369">
          <cell r="A4369" t="str">
            <v>QT0987-2XL</v>
          </cell>
          <cell r="B4369" t="str">
            <v>QT987</v>
          </cell>
          <cell r="C4369" t="str">
            <v>ซาติน แขนสั้นขายาว น้องแมวพื้นเขียว 2XL (กปก) QC</v>
          </cell>
          <cell r="E4369">
            <v>0</v>
          </cell>
          <cell r="F4369">
            <v>890</v>
          </cell>
        </row>
        <row r="4370">
          <cell r="A4370" t="str">
            <v>QT0987-M</v>
          </cell>
          <cell r="B4370" t="str">
            <v>QT987</v>
          </cell>
          <cell r="C4370" t="str">
            <v>ซาติน แขนสั้นขายาว น้องแมวพื้นเขียว M (กปก) QC</v>
          </cell>
          <cell r="E4370">
            <v>0</v>
          </cell>
          <cell r="F4370">
            <v>890</v>
          </cell>
        </row>
        <row r="4371">
          <cell r="A4371" t="str">
            <v>QT0988-2XL</v>
          </cell>
          <cell r="B4371" t="str">
            <v>QT988</v>
          </cell>
          <cell r="C4371" t="str">
            <v>ซาติน แขนสั้นขายาว ดอกบัวพื้นครีม ขอบเขียว 2XL หลุด QC</v>
          </cell>
          <cell r="E4371">
            <v>0</v>
          </cell>
          <cell r="F4371">
            <v>890</v>
          </cell>
        </row>
        <row r="4372">
          <cell r="A4372" t="str">
            <v>QT0988-L</v>
          </cell>
          <cell r="B4372" t="str">
            <v>QT988</v>
          </cell>
          <cell r="C4372" t="str">
            <v>ซาติน แขนสั้นขายาว ดอกบัวพื้นครีม ขอบเขียว L หลุด QC</v>
          </cell>
          <cell r="E4372">
            <v>0</v>
          </cell>
          <cell r="F4372">
            <v>890</v>
          </cell>
        </row>
        <row r="4373">
          <cell r="A4373" t="str">
            <v>QT0988-M</v>
          </cell>
          <cell r="B4373" t="str">
            <v>QT988</v>
          </cell>
          <cell r="C4373" t="str">
            <v>ซาติน แขนสั้นขายาว ดอกบัวพื้นครีม ขอบเขียว M QC</v>
          </cell>
          <cell r="E4373">
            <v>0</v>
          </cell>
          <cell r="F4373">
            <v>890</v>
          </cell>
        </row>
        <row r="4374">
          <cell r="A4374" t="str">
            <v>QT0989-XL</v>
          </cell>
          <cell r="B4374" t="str">
            <v>QT989</v>
          </cell>
          <cell r="C4374" t="str">
            <v>ซาติน แขนสั้นขายาว เสือดาว พื้นขาว ขอบแดง XL QC</v>
          </cell>
          <cell r="E4374">
            <v>0</v>
          </cell>
          <cell r="F4374">
            <v>890</v>
          </cell>
        </row>
        <row r="4375">
          <cell r="A4375" t="str">
            <v>QT0992-L</v>
          </cell>
          <cell r="B4375" t="str">
            <v>QT992</v>
          </cell>
          <cell r="C4375" t="str">
            <v>ซาติน แขนสั้นขายาว Colorful พื้นครีม ชมพู L (กปก) QC</v>
          </cell>
          <cell r="E4375">
            <v>0</v>
          </cell>
          <cell r="F4375">
            <v>890</v>
          </cell>
        </row>
        <row r="4376">
          <cell r="A4376" t="str">
            <v>QT0994-L</v>
          </cell>
          <cell r="B4376" t="str">
            <v>QT994</v>
          </cell>
          <cell r="C4376" t="str">
            <v>ซาติน แขนสั้นขายาว Colorful พื้นขาว ฟ้า L (กปก) หลุด QC</v>
          </cell>
          <cell r="E4376">
            <v>0</v>
          </cell>
          <cell r="F4376">
            <v>890</v>
          </cell>
        </row>
        <row r="4377">
          <cell r="A4377" t="str">
            <v>QT0996-XL</v>
          </cell>
          <cell r="B4377" t="str">
            <v>QT996</v>
          </cell>
          <cell r="C4377" t="str">
            <v>ซาติน แขนสั้นขายาว Colorful พื้นส้ม ม่วง XL (กปก) หลุด QC</v>
          </cell>
          <cell r="E4377">
            <v>0</v>
          </cell>
          <cell r="F4377">
            <v>890</v>
          </cell>
        </row>
        <row r="4378">
          <cell r="A4378" t="str">
            <v>QT0999-XL</v>
          </cell>
          <cell r="B4378" t="str">
            <v>QT999</v>
          </cell>
          <cell r="C4378" t="str">
            <v>ซาติน แขนสั้นขายาว รวมสัตว์ พื้นฟ้า XL QC</v>
          </cell>
          <cell r="E4378">
            <v>0</v>
          </cell>
          <cell r="F4378">
            <v>890</v>
          </cell>
        </row>
        <row r="4379">
          <cell r="A4379" t="str">
            <v>QT1001-L</v>
          </cell>
          <cell r="B4379" t="str">
            <v>QT1001</v>
          </cell>
          <cell r="C4379" t="str">
            <v>ซาติน แขนสั้นขายาว บัวชมพู พื้นม่วง L (กปก) QC</v>
          </cell>
          <cell r="E4379">
            <v>0</v>
          </cell>
          <cell r="F4379">
            <v>890</v>
          </cell>
        </row>
        <row r="4380">
          <cell r="A4380" t="str">
            <v>QT1001-M</v>
          </cell>
          <cell r="B4380" t="str">
            <v>QT1001</v>
          </cell>
          <cell r="C4380" t="str">
            <v>ซาติน แขนสั้นขายาว บัวชมพู พื้นม่วง M (กปก) QC</v>
          </cell>
          <cell r="E4380">
            <v>0</v>
          </cell>
          <cell r="F4380">
            <v>890</v>
          </cell>
        </row>
        <row r="4381">
          <cell r="A4381" t="str">
            <v>QT1001-XL</v>
          </cell>
          <cell r="B4381" t="str">
            <v>QT1001</v>
          </cell>
          <cell r="C4381" t="str">
            <v>ซาติน แขนสั้นขายาว บัวชมพู พื้นม่วง XL (กปก) QC</v>
          </cell>
          <cell r="E4381">
            <v>0</v>
          </cell>
          <cell r="F4381">
            <v>890</v>
          </cell>
        </row>
        <row r="4382">
          <cell r="A4382" t="str">
            <v>QT1005-M</v>
          </cell>
          <cell r="B4382" t="str">
            <v>QT1005</v>
          </cell>
          <cell r="C4382" t="str">
            <v>ซาติน แขนสั้นขายาว กระต่ายขาว พื้นม่วง M หลุด QC</v>
          </cell>
          <cell r="E4382">
            <v>0</v>
          </cell>
          <cell r="F4382">
            <v>890</v>
          </cell>
        </row>
        <row r="4383">
          <cell r="A4383" t="str">
            <v>QT1005-XL</v>
          </cell>
          <cell r="B4383" t="str">
            <v>QT1005</v>
          </cell>
          <cell r="C4383" t="str">
            <v>ซาติน แขนสั้นขายาว กระต่ายขาว พื้นม่วง XL QC</v>
          </cell>
          <cell r="E4383">
            <v>0</v>
          </cell>
          <cell r="F4383">
            <v>890</v>
          </cell>
        </row>
        <row r="4384">
          <cell r="A4384" t="str">
            <v>QT1006-M</v>
          </cell>
          <cell r="B4384" t="str">
            <v>QT1006</v>
          </cell>
          <cell r="C4384" t="str">
            <v>ซาติน แขนสั้นขายาว ลายส้ม พื้นเขียว M QC</v>
          </cell>
          <cell r="E4384">
            <v>0</v>
          </cell>
          <cell r="F4384">
            <v>890</v>
          </cell>
        </row>
        <row r="4385">
          <cell r="A4385" t="str">
            <v>QT1008-2XL</v>
          </cell>
          <cell r="B4385" t="str">
            <v>QT1008</v>
          </cell>
          <cell r="C4385" t="str">
            <v>ซาติน แขนสั้นขายาว ลายทางกรม แดง กระเป๋านกฮูก 2XL (กปก) QC</v>
          </cell>
          <cell r="E4385">
            <v>0</v>
          </cell>
          <cell r="F4385">
            <v>890</v>
          </cell>
        </row>
        <row r="4386">
          <cell r="A4386" t="str">
            <v>QT1008-L</v>
          </cell>
          <cell r="B4386" t="str">
            <v>QT1008</v>
          </cell>
          <cell r="C4386" t="str">
            <v>ซาติน แขนสั้นขายาว ลายทางกรม แดง กระเป๋านกฮูก L (กปก) QC</v>
          </cell>
          <cell r="E4386">
            <v>0</v>
          </cell>
          <cell r="F4386">
            <v>890</v>
          </cell>
        </row>
        <row r="4387">
          <cell r="A4387" t="str">
            <v>QT1008-M</v>
          </cell>
          <cell r="B4387" t="str">
            <v>QT1008</v>
          </cell>
          <cell r="C4387" t="str">
            <v>ซาติน แขนสั้นขายาว ลายทางกรม แดง กระเป๋านกฮูก M (กปก) QC</v>
          </cell>
          <cell r="E4387">
            <v>0</v>
          </cell>
          <cell r="F4387">
            <v>890</v>
          </cell>
        </row>
        <row r="4388">
          <cell r="A4388" t="str">
            <v>QT1008-XL</v>
          </cell>
          <cell r="B4388" t="str">
            <v>QT1008</v>
          </cell>
          <cell r="C4388" t="str">
            <v>ซาติน แขนสั้นขายาว ลายทางกรม แดง กระเป๋านกฮูก XL (กปก) QC</v>
          </cell>
          <cell r="E4388">
            <v>0</v>
          </cell>
          <cell r="F4388">
            <v>890</v>
          </cell>
        </row>
        <row r="4389">
          <cell r="A4389" t="str">
            <v>QT1009-M</v>
          </cell>
          <cell r="B4389" t="str">
            <v>QT1009</v>
          </cell>
          <cell r="C4389" t="str">
            <v>ซาติน แขนสั้นขายาว ลายทางดำ พื้นครีม M QC</v>
          </cell>
          <cell r="E4389">
            <v>0</v>
          </cell>
          <cell r="F4389">
            <v>890</v>
          </cell>
        </row>
        <row r="4390">
          <cell r="A4390" t="str">
            <v>QT1009-XL</v>
          </cell>
          <cell r="B4390" t="str">
            <v>QT1009</v>
          </cell>
          <cell r="C4390" t="str">
            <v>ซาติน แขนสั้นขายาว ลายทางดำ พื้นครีม XL QC</v>
          </cell>
          <cell r="E4390">
            <v>0</v>
          </cell>
          <cell r="F4390">
            <v>890</v>
          </cell>
        </row>
        <row r="4391">
          <cell r="A4391" t="str">
            <v>QT1010-M</v>
          </cell>
          <cell r="B4391" t="str">
            <v>QT1010</v>
          </cell>
          <cell r="C4391" t="str">
            <v>ซาติน แขนสั้นขายาว น้องแมว พื้นเทา M (กปก) QC</v>
          </cell>
          <cell r="E4391">
            <v>0</v>
          </cell>
          <cell r="F4391">
            <v>890</v>
          </cell>
        </row>
        <row r="4392">
          <cell r="A4392" t="str">
            <v>QT1011-2XL</v>
          </cell>
          <cell r="B4392" t="str">
            <v>QT1011</v>
          </cell>
          <cell r="C4392" t="str">
            <v>ซาติน แขนสั้นขายาว สุนัขรวม พื้นครีม 2XL QC</v>
          </cell>
          <cell r="E4392">
            <v>0</v>
          </cell>
          <cell r="F4392">
            <v>890</v>
          </cell>
        </row>
        <row r="4393">
          <cell r="A4393" t="str">
            <v>QT1011-XL</v>
          </cell>
          <cell r="B4393" t="str">
            <v>QT1011</v>
          </cell>
          <cell r="C4393" t="str">
            <v>ซาติน แขนสั้นขายาว สุนัขรวม พื้นครีม XL QC</v>
          </cell>
          <cell r="E4393">
            <v>0</v>
          </cell>
          <cell r="F4393">
            <v>890</v>
          </cell>
        </row>
        <row r="4394">
          <cell r="A4394" t="str">
            <v>QT1012-2XL</v>
          </cell>
          <cell r="B4394" t="str">
            <v>QT1012</v>
          </cell>
          <cell r="C4394" t="str">
            <v>ซาติน แขนสั้นขายาว น้องชินจัง พื้นฟ้า 2XL  (กปก) QC</v>
          </cell>
          <cell r="E4394">
            <v>0</v>
          </cell>
          <cell r="F4394">
            <v>1590</v>
          </cell>
        </row>
        <row r="4395">
          <cell r="A4395" t="str">
            <v>QT1013-L</v>
          </cell>
          <cell r="B4395" t="str">
            <v>QT1013</v>
          </cell>
          <cell r="C4395" t="str">
            <v>ซาติน แขนสั้นขายาว น้องชินจัง พื้นชานม L (กปก) QC</v>
          </cell>
          <cell r="E4395">
            <v>0</v>
          </cell>
          <cell r="F4395">
            <v>1590</v>
          </cell>
        </row>
        <row r="4396">
          <cell r="A4396" t="str">
            <v>QT1013-M</v>
          </cell>
          <cell r="B4396" t="str">
            <v>QT1013</v>
          </cell>
          <cell r="C4396" t="str">
            <v>ซาติน แขนสั้นขายาว น้องชินจัง พื้นชานม M (กปก) QC</v>
          </cell>
          <cell r="E4396">
            <v>0</v>
          </cell>
          <cell r="F4396">
            <v>1590</v>
          </cell>
        </row>
        <row r="4397">
          <cell r="A4397" t="str">
            <v>QT1013-XL</v>
          </cell>
          <cell r="B4397" t="str">
            <v>QT1013</v>
          </cell>
          <cell r="C4397" t="str">
            <v>ซาติน แขนสั้นขายาว น้องชินจัง พื้นชานม XL (กปก) QC</v>
          </cell>
          <cell r="E4397">
            <v>0</v>
          </cell>
          <cell r="F4397">
            <v>1590</v>
          </cell>
        </row>
        <row r="4398">
          <cell r="A4398" t="str">
            <v>QT1014-XL</v>
          </cell>
          <cell r="B4398" t="str">
            <v>QT1014</v>
          </cell>
          <cell r="C4398" t="str">
            <v>ซาติน แขนสั้นขายาว น้องชินจัง พื้นม่วง XL (กปก) QC</v>
          </cell>
          <cell r="E4398">
            <v>0</v>
          </cell>
          <cell r="F4398">
            <v>1590</v>
          </cell>
        </row>
        <row r="4399">
          <cell r="A4399" t="str">
            <v>QT1015-2XL</v>
          </cell>
          <cell r="B4399" t="str">
            <v>QT1015</v>
          </cell>
          <cell r="C4399" t="str">
            <v>ซาติน แขนสั้นขายาว Flower Pink พื้นชมพู 2XL (กปก) QC</v>
          </cell>
          <cell r="E4399">
            <v>0</v>
          </cell>
          <cell r="F4399">
            <v>890</v>
          </cell>
        </row>
        <row r="4400">
          <cell r="A4400" t="str">
            <v>QT1015-L</v>
          </cell>
          <cell r="B4400" t="str">
            <v>QT1015</v>
          </cell>
          <cell r="C4400" t="str">
            <v>ซาติน แขนสั้นขายาว Flower Pink พื้นชมพู L (กปก) QC</v>
          </cell>
          <cell r="E4400">
            <v>0</v>
          </cell>
          <cell r="F4400">
            <v>890</v>
          </cell>
        </row>
        <row r="4401">
          <cell r="A4401" t="str">
            <v>QT1016-2XL</v>
          </cell>
          <cell r="B4401" t="str">
            <v>QT1016</v>
          </cell>
          <cell r="C4401" t="str">
            <v>ซาติน แขนสั้นขายาว Flower Blue พื้นขาว 2XL (กปก) QC</v>
          </cell>
          <cell r="E4401">
            <v>0</v>
          </cell>
          <cell r="F4401">
            <v>890</v>
          </cell>
        </row>
        <row r="4402">
          <cell r="A4402" t="str">
            <v>QT1016-XL</v>
          </cell>
          <cell r="B4402" t="str">
            <v>QT1016</v>
          </cell>
          <cell r="C4402" t="str">
            <v>ซาติน แขนสั้นขายาว Flower Blue พื้นขาว XL (กปก) QC</v>
          </cell>
          <cell r="E4402">
            <v>0</v>
          </cell>
          <cell r="F4402">
            <v>890</v>
          </cell>
        </row>
        <row r="4403">
          <cell r="A4403" t="str">
            <v>QT1017-2XL</v>
          </cell>
          <cell r="B4403" t="str">
            <v>QT1017</v>
          </cell>
          <cell r="C4403" t="str">
            <v>ซาติน แขนสั้นขายาว Flower Green พื้นครีม 2XL (กปก) QC</v>
          </cell>
          <cell r="E4403">
            <v>0</v>
          </cell>
          <cell r="F4403">
            <v>890</v>
          </cell>
        </row>
        <row r="4404">
          <cell r="A4404" t="str">
            <v>QT1017-M</v>
          </cell>
          <cell r="B4404" t="str">
            <v>QT1017</v>
          </cell>
          <cell r="C4404" t="str">
            <v>ซาติน แขนสั้นขายาว Flower Green พื้นครีม M (กปก) QC</v>
          </cell>
          <cell r="E4404">
            <v>0</v>
          </cell>
          <cell r="F4404">
            <v>890</v>
          </cell>
        </row>
        <row r="4405">
          <cell r="A4405" t="str">
            <v>QT1018-L</v>
          </cell>
          <cell r="B4405" t="str">
            <v>QT1018</v>
          </cell>
          <cell r="C4405" t="str">
            <v>ซาติน แขนสั้นขายาว Kakao Friend ม่วง L (กปก) QC</v>
          </cell>
          <cell r="E4405">
            <v>0</v>
          </cell>
          <cell r="F4405">
            <v>1590</v>
          </cell>
        </row>
        <row r="4406">
          <cell r="A4406" t="str">
            <v>QT1020-L</v>
          </cell>
          <cell r="B4406" t="str">
            <v>QT1020</v>
          </cell>
          <cell r="C4406" t="str">
            <v>ซาติน แขนสั้นขายาว กุหลาบ ปกม่วง L (กปก) QC</v>
          </cell>
          <cell r="E4406">
            <v>0</v>
          </cell>
          <cell r="F4406">
            <v>890</v>
          </cell>
        </row>
        <row r="4407">
          <cell r="A4407" t="str">
            <v>QT1021-2XL</v>
          </cell>
          <cell r="B4407" t="str">
            <v>QT1021</v>
          </cell>
          <cell r="C4407" t="str">
            <v>ซาติน แขนสั้นขายาว กุหลาบเถาวัลย์ พื้นม่วง 2XL (กปก) QC</v>
          </cell>
          <cell r="E4407">
            <v>0</v>
          </cell>
          <cell r="F4407">
            <v>890</v>
          </cell>
        </row>
        <row r="4408">
          <cell r="A4408" t="str">
            <v>QT1021-L</v>
          </cell>
          <cell r="B4408" t="str">
            <v>QT1021</v>
          </cell>
          <cell r="C4408" t="str">
            <v>ซาติน แขนสั้นขายาว กุหลาบเถาวัลย์ พื้นม่วง L (กปก) QC</v>
          </cell>
          <cell r="E4408">
            <v>0</v>
          </cell>
          <cell r="F4408">
            <v>890</v>
          </cell>
        </row>
        <row r="4409">
          <cell r="A4409" t="str">
            <v>QT1022-L</v>
          </cell>
          <cell r="B4409" t="str">
            <v>QT1022</v>
          </cell>
          <cell r="C4409" t="str">
            <v>ซาติน แขนสั้นขายาว Rabbit kook พื้นชมพู L (กปก) QC</v>
          </cell>
          <cell r="E4409">
            <v>0</v>
          </cell>
          <cell r="F4409">
            <v>890</v>
          </cell>
        </row>
        <row r="4410">
          <cell r="A4410" t="str">
            <v>QT1022-M</v>
          </cell>
          <cell r="B4410" t="str">
            <v>QT1022</v>
          </cell>
          <cell r="C4410" t="str">
            <v>ซาติน แขนสั้นขายาว Rabbit kook พื้นชมพู M (กปก) QC</v>
          </cell>
          <cell r="E4410">
            <v>0</v>
          </cell>
          <cell r="F4410">
            <v>890</v>
          </cell>
        </row>
        <row r="4411">
          <cell r="A4411" t="str">
            <v>QT1024-XL</v>
          </cell>
          <cell r="B4411" t="str">
            <v>QT1024</v>
          </cell>
          <cell r="C4411" t="str">
            <v>ซาติน แขนสั้นขายาว ดอกไม้หลากสี XL QC</v>
          </cell>
          <cell r="E4411">
            <v>0</v>
          </cell>
          <cell r="F4411">
            <v>890</v>
          </cell>
        </row>
        <row r="4412">
          <cell r="A4412" t="str">
            <v>QT1028-2XL</v>
          </cell>
          <cell r="B4412" t="str">
            <v>QT1028</v>
          </cell>
          <cell r="C4412" t="str">
            <v>ซาติน แขนสั้นขายาว Duck White พื้นเหลือง 2XL QC</v>
          </cell>
          <cell r="E4412">
            <v>0</v>
          </cell>
          <cell r="F4412">
            <v>890</v>
          </cell>
        </row>
        <row r="4413">
          <cell r="A4413" t="str">
            <v>QT1028-L</v>
          </cell>
          <cell r="B4413" t="str">
            <v>QT1028</v>
          </cell>
          <cell r="C4413" t="str">
            <v>ซาติน แขนสั้นขายาว Duck White พื้นเหลือง L QC</v>
          </cell>
          <cell r="E4413">
            <v>0</v>
          </cell>
          <cell r="F4413">
            <v>890</v>
          </cell>
        </row>
        <row r="4414">
          <cell r="A4414" t="str">
            <v>QT1028-M</v>
          </cell>
          <cell r="B4414" t="str">
            <v>QT1028</v>
          </cell>
          <cell r="C4414" t="str">
            <v>ซาติน แขนสั้นขายาว Duck White พื้นเหลือง M QC</v>
          </cell>
          <cell r="E4414">
            <v>0</v>
          </cell>
          <cell r="F4414">
            <v>890</v>
          </cell>
        </row>
        <row r="4415">
          <cell r="A4415" t="str">
            <v>QT1034-2XL</v>
          </cell>
          <cell r="B4415" t="str">
            <v>QT1034</v>
          </cell>
          <cell r="C4415" t="str">
            <v>ซาติน แขนสั้นขายาว เยลโล่ แร็บบิท พื้นเขียว 2XL  (กปก) QC</v>
          </cell>
          <cell r="E4415">
            <v>0</v>
          </cell>
          <cell r="F4415">
            <v>890</v>
          </cell>
        </row>
        <row r="4416">
          <cell r="A4416" t="str">
            <v>QT1035-2XL</v>
          </cell>
          <cell r="B4416" t="str">
            <v>QT1035</v>
          </cell>
          <cell r="C4416" t="str">
            <v>ซาติน แขนสั้นขายาว หมาขาว พื้นม่วง 2XL  (กปก) QC</v>
          </cell>
          <cell r="E4416">
            <v>0</v>
          </cell>
          <cell r="F4416">
            <v>890</v>
          </cell>
        </row>
        <row r="4417">
          <cell r="A4417" t="str">
            <v>QT1035-L</v>
          </cell>
          <cell r="B4417" t="str">
            <v>QT1035</v>
          </cell>
          <cell r="C4417" t="str">
            <v>ซาติน แขนสั้นขายาว หมาขาว พื้นม่วง L (กปก) QC</v>
          </cell>
          <cell r="E4417">
            <v>0</v>
          </cell>
          <cell r="F4417">
            <v>890</v>
          </cell>
        </row>
        <row r="4418">
          <cell r="A4418" t="str">
            <v>QT1036-L</v>
          </cell>
          <cell r="B4418" t="str">
            <v>QT1036</v>
          </cell>
          <cell r="C4418" t="str">
            <v>ซาติน แขนสั้นขายาว กระต่ายขาว ขอบชมพู L (กปก) QC</v>
          </cell>
          <cell r="E4418">
            <v>0</v>
          </cell>
          <cell r="F4418">
            <v>890</v>
          </cell>
        </row>
        <row r="4419">
          <cell r="A4419" t="str">
            <v>QT1036-M</v>
          </cell>
          <cell r="B4419" t="str">
            <v>QT1036</v>
          </cell>
          <cell r="C4419" t="str">
            <v>ซาติน แขนสั้นขายาว กระต่ายขาว ขอบชมพู M (กปก) QC</v>
          </cell>
          <cell r="E4419">
            <v>0</v>
          </cell>
          <cell r="F4419">
            <v>890</v>
          </cell>
        </row>
        <row r="4420">
          <cell r="A4420" t="str">
            <v>QT1036-XL</v>
          </cell>
          <cell r="B4420" t="str">
            <v>QT1036</v>
          </cell>
          <cell r="C4420" t="str">
            <v>ซาติน แขนสั้นขายาว กระต่ายขาว ขอบชมพู XL (กปก) QC</v>
          </cell>
          <cell r="E4420">
            <v>0</v>
          </cell>
          <cell r="F4420">
            <v>890</v>
          </cell>
        </row>
        <row r="4421">
          <cell r="A4421" t="str">
            <v>QT1037-2XL</v>
          </cell>
          <cell r="B4421" t="str">
            <v>QT1037</v>
          </cell>
          <cell r="C4421" t="str">
            <v>ซาติน แขนสั้นขายาว ชมพูส้ม พาสเทล 2XL (กปก) QC</v>
          </cell>
          <cell r="E4421">
            <v>0</v>
          </cell>
          <cell r="F4421">
            <v>890</v>
          </cell>
        </row>
        <row r="4422">
          <cell r="A4422" t="str">
            <v>QT1037-L</v>
          </cell>
          <cell r="B4422" t="str">
            <v>QT1037</v>
          </cell>
          <cell r="C4422" t="str">
            <v>ซาติน แขนสั้นขายาว ชมพูส้ม พาสเทล L (กปก) QC</v>
          </cell>
          <cell r="E4422">
            <v>0</v>
          </cell>
          <cell r="F4422">
            <v>890</v>
          </cell>
        </row>
        <row r="4423">
          <cell r="A4423" t="str">
            <v>QT1038-2XL</v>
          </cell>
          <cell r="B4423" t="str">
            <v>QT1038</v>
          </cell>
          <cell r="C4423" t="str">
            <v>ซาติน แขนสั้นขายาว เขียวทูโทน พื้นฟ้า 2XL (กปก) QC</v>
          </cell>
          <cell r="E4423">
            <v>0</v>
          </cell>
          <cell r="F4423">
            <v>890</v>
          </cell>
        </row>
        <row r="4424">
          <cell r="A4424" t="str">
            <v>QT1040-2XL</v>
          </cell>
          <cell r="B4424" t="str">
            <v>QT1040</v>
          </cell>
          <cell r="C4424" t="str">
            <v>ซาติน แขนสั้นขายาว ชมพู กรม หลากสี 2XL (กปก) QC</v>
          </cell>
          <cell r="E4424">
            <v>0</v>
          </cell>
          <cell r="F4424">
            <v>890</v>
          </cell>
        </row>
        <row r="4425">
          <cell r="A4425" t="str">
            <v>QT1042-2XL</v>
          </cell>
          <cell r="B4425" t="str">
            <v>QT1042</v>
          </cell>
          <cell r="C4425" t="str">
            <v>ซาติน แขนสั้นขายาว เสิอน้อย พื้นครีม 2XL (กปก) QC</v>
          </cell>
          <cell r="E4425">
            <v>0</v>
          </cell>
          <cell r="F4425">
            <v>890</v>
          </cell>
        </row>
        <row r="4426">
          <cell r="A4426" t="str">
            <v>QT1043-XL</v>
          </cell>
          <cell r="B4426" t="str">
            <v>QT1043</v>
          </cell>
          <cell r="C4426" t="str">
            <v>ซาติน แขนสั้นขายาว กราฟฟิก ขาวดำ XL (กปก) QC</v>
          </cell>
          <cell r="E4426">
            <v>0</v>
          </cell>
          <cell r="F4426">
            <v>890</v>
          </cell>
        </row>
        <row r="4427">
          <cell r="A4427" t="str">
            <v>QT1044-L</v>
          </cell>
          <cell r="B4427" t="str">
            <v>QT1044</v>
          </cell>
          <cell r="C4427" t="str">
            <v>ซาติน แขนสั้นขายาว อาร์ทหน้ายิ้ม พื้นส้ม L (กปก) QC</v>
          </cell>
          <cell r="E4427">
            <v>0</v>
          </cell>
          <cell r="F4427">
            <v>890</v>
          </cell>
        </row>
        <row r="4428">
          <cell r="A4428" t="str">
            <v>QT1044-M</v>
          </cell>
          <cell r="B4428" t="str">
            <v>QT1044</v>
          </cell>
          <cell r="C4428" t="str">
            <v>ซาติน แขนสั้นขายาว อาร์ทหน้ายิ้ม พื้นส้ม M (กปก) QC</v>
          </cell>
          <cell r="E4428">
            <v>0</v>
          </cell>
          <cell r="F4428">
            <v>890</v>
          </cell>
        </row>
        <row r="4429">
          <cell r="A4429" t="str">
            <v>QT1044-XL</v>
          </cell>
          <cell r="B4429" t="str">
            <v>QT1044</v>
          </cell>
          <cell r="C4429" t="str">
            <v>ซาติน แขนสั้นขายาว อาร์ทหน้ายิ้ม พื้นส้ม XL (กปก) QC</v>
          </cell>
          <cell r="E4429">
            <v>0</v>
          </cell>
          <cell r="F4429">
            <v>890</v>
          </cell>
        </row>
        <row r="4430">
          <cell r="A4430" t="str">
            <v>QT1046-L</v>
          </cell>
          <cell r="B4430" t="str">
            <v>QT1046</v>
          </cell>
          <cell r="C4430" t="str">
            <v>ซาติน แขนสั้นขายาว ดอกไม้แดง ขอบเขียว L QC</v>
          </cell>
          <cell r="E4430">
            <v>0</v>
          </cell>
          <cell r="F4430">
            <v>890</v>
          </cell>
        </row>
        <row r="4431">
          <cell r="A4431" t="str">
            <v>QT1046-XL</v>
          </cell>
          <cell r="B4431" t="str">
            <v>QT1046</v>
          </cell>
          <cell r="C4431" t="str">
            <v>ซาติน แขนสั้นขายาว ดอกไม้แดง ขอบเขียว XL QC</v>
          </cell>
          <cell r="E4431">
            <v>0</v>
          </cell>
          <cell r="F4431">
            <v>890</v>
          </cell>
        </row>
        <row r="4432">
          <cell r="A4432" t="str">
            <v>QT1047-L</v>
          </cell>
          <cell r="B4432" t="str">
            <v>QT1047</v>
          </cell>
          <cell r="C4432" t="str">
            <v>ซาติน แขนสั้นขายาว ส้มเขียว L (กปก) QC</v>
          </cell>
          <cell r="E4432">
            <v>0</v>
          </cell>
          <cell r="F4432">
            <v>890</v>
          </cell>
        </row>
        <row r="4433">
          <cell r="A4433" t="str">
            <v>QT1047-XL</v>
          </cell>
          <cell r="B4433" t="str">
            <v>QT1047</v>
          </cell>
          <cell r="C4433" t="str">
            <v>ซาติน แขนสั้นขายาว ส้มเขียว XL (กปก) QC</v>
          </cell>
          <cell r="E4433">
            <v>0</v>
          </cell>
          <cell r="F4433">
            <v>890</v>
          </cell>
        </row>
        <row r="4434">
          <cell r="A4434" t="str">
            <v>QT1055-M</v>
          </cell>
          <cell r="B4434" t="str">
            <v>QT1055</v>
          </cell>
          <cell r="C4434" t="str">
            <v>ซาติน แขนสั้นขายาว หมีน้อย พื้นน้ำตาล M (กปก) QC</v>
          </cell>
          <cell r="E4434">
            <v>0</v>
          </cell>
          <cell r="F4434">
            <v>890</v>
          </cell>
        </row>
        <row r="4435">
          <cell r="A4435" t="str">
            <v>QT1056-2XL</v>
          </cell>
          <cell r="B4435" t="str">
            <v>QT1056</v>
          </cell>
          <cell r="C4435" t="str">
            <v>ซาติน แขนสั้นขายาว หมีน้อย พื้นครีม 2XL (กปก) QC</v>
          </cell>
          <cell r="E4435">
            <v>0</v>
          </cell>
          <cell r="F4435">
            <v>890</v>
          </cell>
        </row>
        <row r="4436">
          <cell r="A4436" t="str">
            <v>QT1057-L</v>
          </cell>
          <cell r="B4436" t="str">
            <v>QT1057</v>
          </cell>
          <cell r="C4436" t="str">
            <v>ซาติน แขนสั้นขายาว สุนัขลายทาง เขียวอ่อน L (กปก) QC</v>
          </cell>
          <cell r="E4436">
            <v>0</v>
          </cell>
          <cell r="F4436">
            <v>890</v>
          </cell>
        </row>
        <row r="4437">
          <cell r="A4437" t="str">
            <v>QT1064-XL</v>
          </cell>
          <cell r="B4437" t="str">
            <v>QT1064</v>
          </cell>
          <cell r="C4437" t="str">
            <v>ซาติน แขนสั้นขายาว แมวทะเล พื้นครีม XL (กปก) QC</v>
          </cell>
          <cell r="E4437">
            <v>0</v>
          </cell>
          <cell r="F4437">
            <v>890</v>
          </cell>
        </row>
        <row r="4438">
          <cell r="A4438" t="str">
            <v>QT1065-L</v>
          </cell>
          <cell r="B4438" t="str">
            <v>QT1065</v>
          </cell>
          <cell r="C4438" t="str">
            <v>ซาติน แขนสั้นขายาว รวมสัตว์ อวกาศ พื้นครีม L (กปก) QC</v>
          </cell>
          <cell r="E4438">
            <v>0</v>
          </cell>
          <cell r="F4438">
            <v>890</v>
          </cell>
        </row>
        <row r="4439">
          <cell r="A4439" t="str">
            <v>QT1065-M</v>
          </cell>
          <cell r="B4439" t="str">
            <v>QT1065</v>
          </cell>
          <cell r="C4439" t="str">
            <v>ซาติน แขนสั้นขายาว รวมสัตว์ อวกาศ พื้นครีม M (กปก) QC</v>
          </cell>
          <cell r="E4439">
            <v>0</v>
          </cell>
          <cell r="F4439">
            <v>890</v>
          </cell>
        </row>
        <row r="4440">
          <cell r="A4440" t="str">
            <v>QT1065-XL</v>
          </cell>
          <cell r="B4440" t="str">
            <v>QT1065</v>
          </cell>
          <cell r="C4440" t="str">
            <v>ซาติน แขนสั้นขายาว รวมสัตว์ อวกาศ พื้นครีม XL (กปก) QC</v>
          </cell>
          <cell r="E4440">
            <v>0</v>
          </cell>
          <cell r="F4440">
            <v>890</v>
          </cell>
        </row>
        <row r="4441">
          <cell r="A4441" t="str">
            <v>QT1066-2XL</v>
          </cell>
          <cell r="B4441" t="str">
            <v>QT1066</v>
          </cell>
          <cell r="C4441" t="str">
            <v>ซาติน แขนสั้นขายาว รวมสัตว์ อวกาศ พื้นเขียว 2XL (กปก) QC</v>
          </cell>
          <cell r="E4441">
            <v>0</v>
          </cell>
          <cell r="F4441">
            <v>890</v>
          </cell>
        </row>
        <row r="4442">
          <cell r="A4442" t="str">
            <v>QT1066-M</v>
          </cell>
          <cell r="B4442" t="str">
            <v>QT1066</v>
          </cell>
          <cell r="C4442" t="str">
            <v>ซาติน แขนสั้นขายาว รวมสัตว์ อวกาศ พื้นเขียว M (กปก) QC</v>
          </cell>
          <cell r="E4442">
            <v>0</v>
          </cell>
          <cell r="F4442">
            <v>890</v>
          </cell>
        </row>
        <row r="4443">
          <cell r="A4443" t="str">
            <v>QT1066-XL</v>
          </cell>
          <cell r="B4443" t="str">
            <v>QT1066</v>
          </cell>
          <cell r="C4443" t="str">
            <v>ซาติน แขนสั้นขายาว รวมสัตว์ อวกาศ พื้นเขียว XL (กปก) QC</v>
          </cell>
          <cell r="E4443">
            <v>0</v>
          </cell>
          <cell r="F4443">
            <v>890</v>
          </cell>
        </row>
        <row r="4444">
          <cell r="A4444" t="str">
            <v>QT1067-L</v>
          </cell>
          <cell r="B4444" t="str">
            <v>QT1067</v>
          </cell>
          <cell r="C4444" t="str">
            <v>ซาติน  แขนสั้นขายาว Lion rose พื้นขาว L (กปก) QC</v>
          </cell>
          <cell r="E4444">
            <v>0</v>
          </cell>
          <cell r="F4444">
            <v>890</v>
          </cell>
        </row>
        <row r="4445">
          <cell r="A4445" t="str">
            <v>QT1068-M</v>
          </cell>
          <cell r="B4445" t="str">
            <v>QT1068</v>
          </cell>
          <cell r="C4445" t="str">
            <v>ซาติน แขนสั้นขายาว ดอกไม้แดง ขอบเขียว กระดุม M QC</v>
          </cell>
          <cell r="E4445">
            <v>0</v>
          </cell>
          <cell r="F4445">
            <v>890</v>
          </cell>
        </row>
        <row r="4446">
          <cell r="A4446" t="str">
            <v>QT1069-2XL</v>
          </cell>
          <cell r="B4446" t="str">
            <v>QT1069</v>
          </cell>
          <cell r="C4446" t="str">
            <v>ซาติน แขนสั้นขายาว เจ้าหญิงทานตะวัน 2XL QC</v>
          </cell>
          <cell r="E4446">
            <v>0</v>
          </cell>
          <cell r="F4446">
            <v>890</v>
          </cell>
        </row>
        <row r="4447">
          <cell r="A4447" t="str">
            <v>QT1069-XL</v>
          </cell>
          <cell r="B4447" t="str">
            <v>QT1069</v>
          </cell>
          <cell r="C4447" t="str">
            <v>ซาติน แขนสั้นขายาว เจ้าหญิงทานตะวัน XL QC</v>
          </cell>
          <cell r="E4447">
            <v>0</v>
          </cell>
          <cell r="F4447">
            <v>890</v>
          </cell>
        </row>
        <row r="4448">
          <cell r="A4448" t="str">
            <v>QT1078-XL</v>
          </cell>
          <cell r="B4448" t="str">
            <v>QT1078</v>
          </cell>
          <cell r="C4448" t="str">
            <v>ซาติน แขนสั้นขายาว เสื้อขาว กางเกง กรมชมพูXL (กปก) QC</v>
          </cell>
          <cell r="E4448">
            <v>0</v>
          </cell>
          <cell r="F4448">
            <v>890</v>
          </cell>
        </row>
        <row r="4449">
          <cell r="A4449" t="str">
            <v>QT1079-2XL</v>
          </cell>
          <cell r="B4449" t="str">
            <v>QT1079</v>
          </cell>
          <cell r="C4449" t="str">
            <v>ซาติน แขนสั้นขายาว เสื้อขาว คัลเลอร์ฟูล โฮม 2XL  (กปก) QC</v>
          </cell>
          <cell r="E4449">
            <v>0</v>
          </cell>
          <cell r="F4449">
            <v>890</v>
          </cell>
        </row>
        <row r="4450">
          <cell r="A4450" t="str">
            <v>QT1079-M</v>
          </cell>
          <cell r="B4450" t="str">
            <v>QT1079</v>
          </cell>
          <cell r="C4450" t="str">
            <v>ซาติน แขนสั้นขายาว เสื้อขาว คัลเลอร์ฟูล โฮม M (กปก) QC</v>
          </cell>
          <cell r="E4450">
            <v>0</v>
          </cell>
          <cell r="F4450">
            <v>890</v>
          </cell>
        </row>
        <row r="4451">
          <cell r="A4451" t="str">
            <v>QT1081-L</v>
          </cell>
          <cell r="B4451" t="str">
            <v>QT1081</v>
          </cell>
          <cell r="C4451" t="str">
            <v>ซาติน แขนสั้นขายาว เสื้อขาว กางเกงดอกไม้ ชมพู L (กปก) QC</v>
          </cell>
          <cell r="E4451">
            <v>0</v>
          </cell>
          <cell r="F4451">
            <v>890</v>
          </cell>
        </row>
        <row r="4452">
          <cell r="A4452" t="str">
            <v>QT1081-XL</v>
          </cell>
          <cell r="B4452" t="str">
            <v>QT1081</v>
          </cell>
          <cell r="C4452" t="str">
            <v>ซาติน แขนสั้นขายาว เสื้อขาว กางเกงดอกไม้ ชมพู XL (กปก) QC</v>
          </cell>
          <cell r="E4452">
            <v>0</v>
          </cell>
          <cell r="F4452">
            <v>890</v>
          </cell>
        </row>
        <row r="4453">
          <cell r="A4453" t="str">
            <v>QT1089-M</v>
          </cell>
          <cell r="B4453" t="str">
            <v>QT1089</v>
          </cell>
          <cell r="C4453" t="str">
            <v>ซาติน แขนสั้นขายาว กราฟฟิกแดงฟ้า M (กปก) QC</v>
          </cell>
          <cell r="E4453">
            <v>0</v>
          </cell>
          <cell r="F4453">
            <v>890</v>
          </cell>
        </row>
        <row r="4454">
          <cell r="A4454" t="str">
            <v>QT1090-L</v>
          </cell>
          <cell r="B4454" t="str">
            <v>QT1090</v>
          </cell>
          <cell r="C4454" t="str">
            <v>ซาติน แขนสั้นขายาว ดอกชบา พื้นดำ L (กปก) QC</v>
          </cell>
          <cell r="E4454">
            <v>0</v>
          </cell>
          <cell r="F4454">
            <v>890</v>
          </cell>
        </row>
        <row r="4455">
          <cell r="A4455" t="str">
            <v>QT1090-M</v>
          </cell>
          <cell r="B4455" t="str">
            <v>QT1090</v>
          </cell>
          <cell r="C4455" t="str">
            <v>ซาติน แขนสั้นขายาว ดอกชบา พื้นดำ M (กปก) QC</v>
          </cell>
          <cell r="E4455">
            <v>0</v>
          </cell>
          <cell r="F4455">
            <v>890</v>
          </cell>
        </row>
        <row r="4456">
          <cell r="A4456" t="str">
            <v>QT1090-XL</v>
          </cell>
          <cell r="B4456" t="str">
            <v>QT1090</v>
          </cell>
          <cell r="C4456" t="str">
            <v>ซาติน แขนสั้นขายาว ดอกชบา พื้นดำ XL (กปก) QC</v>
          </cell>
          <cell r="E4456">
            <v>0</v>
          </cell>
          <cell r="F4456">
            <v>890</v>
          </cell>
        </row>
        <row r="4457">
          <cell r="A4457" t="str">
            <v>QT1092-XL</v>
          </cell>
          <cell r="B4457" t="str">
            <v>QT1092</v>
          </cell>
          <cell r="C4457" t="str">
            <v>ซาติน แขนสั้นขายาว ทูโทน น้ำเงินเขียว XL (กปก) QC</v>
          </cell>
          <cell r="E4457">
            <v>0</v>
          </cell>
          <cell r="F4457">
            <v>890</v>
          </cell>
        </row>
        <row r="4458">
          <cell r="A4458" t="str">
            <v>QT1093-M</v>
          </cell>
          <cell r="B4458" t="str">
            <v>QT1093</v>
          </cell>
          <cell r="C4458" t="str">
            <v>ซาติน แขนสั้นขายาว พาสเทลชมพู ส้มเหลือง M (กปก) QC</v>
          </cell>
          <cell r="E4458">
            <v>0</v>
          </cell>
          <cell r="F4458">
            <v>890</v>
          </cell>
        </row>
        <row r="4459">
          <cell r="A4459" t="str">
            <v>QT1094-XL</v>
          </cell>
          <cell r="B4459" t="str">
            <v>QT1094</v>
          </cell>
          <cell r="C4459" t="str">
            <v>ซาติน แขนสั้นขายาว ทูโทน เขียวชมพู XL (กปก) QC</v>
          </cell>
          <cell r="E4459">
            <v>0</v>
          </cell>
          <cell r="F4459">
            <v>890</v>
          </cell>
        </row>
        <row r="4460">
          <cell r="A4460" t="str">
            <v>QT1096-2XL</v>
          </cell>
          <cell r="B4460" t="str">
            <v>QT1096</v>
          </cell>
          <cell r="C4460" t="str">
            <v>ซาติน แขนสั้นขายาว สีน้ำคัลเลอร์ฟลู (กปก) 2XL QC</v>
          </cell>
          <cell r="E4460">
            <v>0</v>
          </cell>
          <cell r="F4460">
            <v>890</v>
          </cell>
        </row>
        <row r="4461">
          <cell r="A4461" t="str">
            <v>QT1097-L</v>
          </cell>
          <cell r="B4461" t="str">
            <v>QT1097</v>
          </cell>
          <cell r="C4461" t="str">
            <v>ซาติน แขนสั้นขายาว เสือดาวอเมซอน พื้นดำ L (กปก) QC</v>
          </cell>
          <cell r="E4461">
            <v>0</v>
          </cell>
          <cell r="F4461">
            <v>890</v>
          </cell>
        </row>
        <row r="4462">
          <cell r="A4462" t="str">
            <v>QT1097-M</v>
          </cell>
          <cell r="B4462" t="str">
            <v>QT1097</v>
          </cell>
          <cell r="C4462" t="str">
            <v>ซาติน แขนสั้นขายาว เสือดาวอเมซอน พื้นดำ M (กปก) QC</v>
          </cell>
          <cell r="E4462">
            <v>0</v>
          </cell>
          <cell r="F4462">
            <v>890</v>
          </cell>
        </row>
        <row r="4463">
          <cell r="A4463" t="str">
            <v>QT1099-2XL</v>
          </cell>
          <cell r="B4463" t="str">
            <v>QT1099</v>
          </cell>
          <cell r="C4463" t="str">
            <v>ซาติน แขนสั้นขายาว เสื้อกราฟฟิก กางเกงส้ม 2XL  (กปก) QC</v>
          </cell>
          <cell r="E4463">
            <v>0</v>
          </cell>
          <cell r="F4463">
            <v>890</v>
          </cell>
        </row>
        <row r="4464">
          <cell r="A4464" t="str">
            <v>QT1099-L</v>
          </cell>
          <cell r="B4464" t="str">
            <v>QT1099</v>
          </cell>
          <cell r="C4464" t="str">
            <v>ซาติน แขนสั้นขายาว เสื้อกราฟฟิก กางเกงส้ม L (กปก) QC</v>
          </cell>
          <cell r="E4464">
            <v>0</v>
          </cell>
          <cell r="F4464">
            <v>890</v>
          </cell>
        </row>
        <row r="4465">
          <cell r="A4465" t="str">
            <v>QT1099-M</v>
          </cell>
          <cell r="B4465" t="str">
            <v>QT1099</v>
          </cell>
          <cell r="C4465" t="str">
            <v>ซาติน แขนสั้นขายาว เสื้อกราฟฟิก กางเกงส้ม M (กปก) QC</v>
          </cell>
          <cell r="E4465">
            <v>0</v>
          </cell>
          <cell r="F4465">
            <v>890</v>
          </cell>
        </row>
        <row r="4466">
          <cell r="A4466" t="str">
            <v>QT1099-XL</v>
          </cell>
          <cell r="B4466" t="str">
            <v>QT1099</v>
          </cell>
          <cell r="C4466" t="str">
            <v>ซาติน แขนสั้นขายาว เสื้อกราฟฟิก กางเกงส้ม XL (กปก) QC</v>
          </cell>
          <cell r="E4466">
            <v>0</v>
          </cell>
          <cell r="F4466">
            <v>890</v>
          </cell>
        </row>
        <row r="4467">
          <cell r="A4467" t="str">
            <v>QT1100-2XL</v>
          </cell>
          <cell r="B4467" t="str">
            <v>QT1100</v>
          </cell>
          <cell r="C4467" t="str">
            <v>ซาติน แขนสั้นขายาว ศิลปะ พื้นขาว 2XL (กปก) QC</v>
          </cell>
          <cell r="E4467">
            <v>0</v>
          </cell>
          <cell r="F4467">
            <v>890</v>
          </cell>
        </row>
        <row r="4468">
          <cell r="A4468" t="str">
            <v>QT1101-L</v>
          </cell>
          <cell r="B4468" t="str">
            <v>QT1101</v>
          </cell>
          <cell r="C4468" t="str">
            <v>ซาติน แขนสั้นขายาว ดอกไม้หลากสี พื้นครีม L (กปก) QC</v>
          </cell>
          <cell r="E4468">
            <v>0</v>
          </cell>
          <cell r="F4468">
            <v>890</v>
          </cell>
        </row>
        <row r="4469">
          <cell r="A4469" t="str">
            <v>QT1110-M</v>
          </cell>
          <cell r="B4469" t="str">
            <v>QT1110</v>
          </cell>
          <cell r="C4469" t="str">
            <v>ซาติน แขนสั้นขายาว น้องหมีลายทาง ชมพูขาว M QC</v>
          </cell>
          <cell r="E4469">
            <v>0</v>
          </cell>
          <cell r="F4469">
            <v>890</v>
          </cell>
        </row>
        <row r="4470">
          <cell r="A4470" t="str">
            <v>QT1123-2XL</v>
          </cell>
          <cell r="B4470" t="str">
            <v>QT1123</v>
          </cell>
          <cell r="C4470" t="str">
            <v>ซาติน แขนสั้นขายาว ดอกไม้หลากสี พื้นชมพู 2XL (กปก) QC</v>
          </cell>
          <cell r="E4470">
            <v>0</v>
          </cell>
          <cell r="F4470">
            <v>890</v>
          </cell>
        </row>
        <row r="4471">
          <cell r="A4471" t="str">
            <v>QT1123-XL</v>
          </cell>
          <cell r="B4471" t="str">
            <v>QT1123</v>
          </cell>
          <cell r="C4471" t="str">
            <v>ซาติน แขนสั้นขายาว ดอกไม้หลากสี พื้นชมพู XL (กปก) QC</v>
          </cell>
          <cell r="E4471">
            <v>0</v>
          </cell>
          <cell r="F4471">
            <v>890</v>
          </cell>
        </row>
        <row r="4472">
          <cell r="A4472" t="str">
            <v>QT1126-M</v>
          </cell>
          <cell r="B4472" t="str">
            <v>QT1126</v>
          </cell>
          <cell r="C4472" t="str">
            <v>ซาติน แขนสั้นขายาว กราฟฟิกฟ้า น้ำเงิน ขาว M (กปก) QC</v>
          </cell>
          <cell r="E4472">
            <v>0</v>
          </cell>
          <cell r="F4472">
            <v>890</v>
          </cell>
        </row>
        <row r="4473">
          <cell r="A4473" t="str">
            <v>QT1127-2XL</v>
          </cell>
          <cell r="B4473" t="str">
            <v>QT1127</v>
          </cell>
          <cell r="C4473" t="str">
            <v>ซาติน แขนสั้นขายาว สีรุ้ง พาสเทล 2XL (กปก) QC</v>
          </cell>
          <cell r="E4473">
            <v>0</v>
          </cell>
          <cell r="F4473">
            <v>890</v>
          </cell>
        </row>
        <row r="4474">
          <cell r="A4474" t="str">
            <v>QT1127-M</v>
          </cell>
          <cell r="B4474" t="str">
            <v>QT1127</v>
          </cell>
          <cell r="C4474" t="str">
            <v>ซาติน แขนสั้นขายาว สีรุ้ง พาสเทล M (กปก) QC</v>
          </cell>
          <cell r="E4474">
            <v>0</v>
          </cell>
          <cell r="F4474">
            <v>890</v>
          </cell>
        </row>
        <row r="4475">
          <cell r="A4475" t="str">
            <v>QT1127-XL</v>
          </cell>
          <cell r="B4475" t="str">
            <v>QT1127</v>
          </cell>
          <cell r="C4475" t="str">
            <v>ซาติน แขนสั้นขายาว สีรุ้ง พาสเทล XL (กปก) QC</v>
          </cell>
          <cell r="E4475">
            <v>0</v>
          </cell>
          <cell r="F4475">
            <v>890</v>
          </cell>
        </row>
        <row r="4476">
          <cell r="A4476" t="str">
            <v>QT1129-2XL</v>
          </cell>
          <cell r="B4476" t="str">
            <v>QT1129</v>
          </cell>
          <cell r="C4476" t="str">
            <v>ซาติน แขนสั้นขายาว ดอกไม้กาสะลอง พื้นดำ (กปก) 2XL QC</v>
          </cell>
          <cell r="E4476">
            <v>0</v>
          </cell>
          <cell r="F4476">
            <v>890</v>
          </cell>
        </row>
        <row r="4477">
          <cell r="A4477" t="str">
            <v>QT1129-L</v>
          </cell>
          <cell r="B4477" t="str">
            <v>QT1129</v>
          </cell>
          <cell r="C4477" t="str">
            <v>ซาติน แขนสั้นขายาว ดอกไม้กาสะลอง พื้นดำ (กปก) L QC</v>
          </cell>
          <cell r="E4477">
            <v>0</v>
          </cell>
          <cell r="F4477">
            <v>890</v>
          </cell>
        </row>
        <row r="4478">
          <cell r="A4478" t="str">
            <v>QT1129-M</v>
          </cell>
          <cell r="B4478" t="str">
            <v>QT1129</v>
          </cell>
          <cell r="C4478" t="str">
            <v>ซาติน แขนสั้นขายาว ดอกไม้กาสะลอง พื้นดำ (กปก) M QC</v>
          </cell>
          <cell r="E4478">
            <v>0</v>
          </cell>
          <cell r="F4478">
            <v>890</v>
          </cell>
        </row>
        <row r="4479">
          <cell r="A4479" t="str">
            <v>QT1129-XL</v>
          </cell>
          <cell r="B4479" t="str">
            <v>QT1129</v>
          </cell>
          <cell r="C4479" t="str">
            <v>ซาติน แขนสั้นขายาว ดอกไม้กาสะลอง พื้นดำ (กปก) XL QC</v>
          </cell>
          <cell r="E4479">
            <v>0</v>
          </cell>
          <cell r="F4479">
            <v>890</v>
          </cell>
        </row>
        <row r="4480">
          <cell r="A4480" t="str">
            <v>QT1130-M</v>
          </cell>
          <cell r="B4480" t="str">
            <v>QT1130</v>
          </cell>
          <cell r="C4480" t="str">
            <v>ซาติน แขนสั้นขายาว นกกระยาง พื้นฟ้า (กปก) M QC</v>
          </cell>
          <cell r="E4480">
            <v>0</v>
          </cell>
          <cell r="F4480">
            <v>890</v>
          </cell>
        </row>
        <row r="4481">
          <cell r="A4481" t="str">
            <v>QT1130-XL</v>
          </cell>
          <cell r="B4481" t="str">
            <v>QT1130</v>
          </cell>
          <cell r="C4481" t="str">
            <v>ซาติน แขนสั้นขายาว นกกระยาง พื้นฟ้า (กปก) XL QC</v>
          </cell>
          <cell r="E4481">
            <v>0</v>
          </cell>
          <cell r="F4481">
            <v>890</v>
          </cell>
        </row>
        <row r="4482">
          <cell r="A4482" t="str">
            <v>QT1138-2XL</v>
          </cell>
          <cell r="B4482" t="str">
            <v>QT1138</v>
          </cell>
          <cell r="C4482" t="str">
            <v>ซาติน แขนสั้นขายาว กราฟฟิกฟาโร เขียวแดง 2XL  (กปก) QC</v>
          </cell>
          <cell r="E4482">
            <v>0</v>
          </cell>
          <cell r="F4482">
            <v>890</v>
          </cell>
        </row>
        <row r="4483">
          <cell r="A4483" t="str">
            <v>QT1138-L</v>
          </cell>
          <cell r="B4483" t="str">
            <v>QT1138</v>
          </cell>
          <cell r="C4483" t="str">
            <v>ซาติน แขนสั้นขายาว กราฟฟิกฟาโร เขียวแดง L (กปก) QC</v>
          </cell>
          <cell r="E4483">
            <v>0</v>
          </cell>
          <cell r="F4483">
            <v>890</v>
          </cell>
        </row>
        <row r="4484">
          <cell r="A4484" t="str">
            <v>QT1139-2XL</v>
          </cell>
          <cell r="B4484" t="str">
            <v>QT1139</v>
          </cell>
          <cell r="C4484" t="str">
            <v>ซาติน แขนสั้นขายาว WOMEN Thursday 2XL (กปก) QC</v>
          </cell>
          <cell r="E4484">
            <v>0</v>
          </cell>
          <cell r="F4484">
            <v>990</v>
          </cell>
        </row>
        <row r="4485">
          <cell r="A4485" t="str">
            <v>QT1139-L</v>
          </cell>
          <cell r="B4485" t="str">
            <v>QT1139</v>
          </cell>
          <cell r="C4485" t="str">
            <v>ซาติน แขนสั้นขายาว WOMEN Thursday L (กปก) QC</v>
          </cell>
          <cell r="E4485">
            <v>0</v>
          </cell>
          <cell r="F4485">
            <v>990</v>
          </cell>
        </row>
        <row r="4486">
          <cell r="A4486" t="str">
            <v>QT1139-M</v>
          </cell>
          <cell r="B4486" t="str">
            <v>QT1139</v>
          </cell>
          <cell r="C4486" t="str">
            <v>ซาติน แขนสั้นขายาว WOMEN Thursday M (กปก) QC</v>
          </cell>
          <cell r="E4486">
            <v>0</v>
          </cell>
          <cell r="F4486">
            <v>990</v>
          </cell>
        </row>
        <row r="4487">
          <cell r="A4487" t="str">
            <v>QT1140-2XL</v>
          </cell>
          <cell r="B4487" t="str">
            <v>QT1140</v>
          </cell>
          <cell r="C4487" t="str">
            <v>ซาติน แขนสั้นขายาว WOMEN Tuesday 2XL (กปก) QC</v>
          </cell>
          <cell r="E4487">
            <v>0</v>
          </cell>
          <cell r="F4487">
            <v>990</v>
          </cell>
        </row>
        <row r="4488">
          <cell r="A4488" t="str">
            <v>QT1140-L</v>
          </cell>
          <cell r="B4488" t="str">
            <v>QT1140</v>
          </cell>
          <cell r="C4488" t="str">
            <v>ซาติน แขนสั้นขายาว WOMEN Tuesday L (กปก) QC</v>
          </cell>
          <cell r="E4488">
            <v>0</v>
          </cell>
          <cell r="F4488">
            <v>990</v>
          </cell>
        </row>
        <row r="4489">
          <cell r="A4489" t="str">
            <v>QT1140-M</v>
          </cell>
          <cell r="B4489" t="str">
            <v>QT1140</v>
          </cell>
          <cell r="C4489" t="str">
            <v>ซาติน แขนสั้นขายาว WOMEN Tuesday M (กปก) QC</v>
          </cell>
          <cell r="E4489">
            <v>0</v>
          </cell>
          <cell r="F4489">
            <v>990</v>
          </cell>
        </row>
        <row r="4490">
          <cell r="A4490" t="str">
            <v>QT1140-XL</v>
          </cell>
          <cell r="B4490" t="str">
            <v>QT1140</v>
          </cell>
          <cell r="C4490" t="str">
            <v>ซาติน แขนสั้นขายาว WOMEN Tuesday XL (กปก) QC</v>
          </cell>
          <cell r="E4490">
            <v>0</v>
          </cell>
          <cell r="F4490">
            <v>990</v>
          </cell>
        </row>
        <row r="4491">
          <cell r="A4491" t="str">
            <v>QT1141-2XL</v>
          </cell>
          <cell r="B4491" t="str">
            <v>QT1141</v>
          </cell>
          <cell r="C4491" t="str">
            <v>ซาติน แขนสั้นขายาว WOMEN Wednesday 2XL (กปก) QC</v>
          </cell>
          <cell r="E4491">
            <v>0</v>
          </cell>
          <cell r="F4491">
            <v>990</v>
          </cell>
        </row>
        <row r="4492">
          <cell r="A4492" t="str">
            <v>QT1141-L</v>
          </cell>
          <cell r="B4492" t="str">
            <v>QT1141</v>
          </cell>
          <cell r="C4492" t="str">
            <v>ซาติน แขนสั้นขายาว WOMEN Wednesday L (กปก) QC</v>
          </cell>
          <cell r="E4492">
            <v>0</v>
          </cell>
          <cell r="F4492">
            <v>990</v>
          </cell>
        </row>
        <row r="4493">
          <cell r="A4493" t="str">
            <v>QT1141-M</v>
          </cell>
          <cell r="B4493" t="str">
            <v>QT1141</v>
          </cell>
          <cell r="C4493" t="str">
            <v>ซาติน แขนสั้นขายาว WOMEN Wednesday M (กปก) QC</v>
          </cell>
          <cell r="E4493">
            <v>0</v>
          </cell>
          <cell r="F4493">
            <v>990</v>
          </cell>
        </row>
        <row r="4494">
          <cell r="A4494" t="str">
            <v>QT1142-L</v>
          </cell>
          <cell r="B4494" t="str">
            <v>QT1142</v>
          </cell>
          <cell r="C4494" t="str">
            <v>ซาติน แขนสั้นขายาว WOMEN Friday L (กปก) QC</v>
          </cell>
          <cell r="E4494">
            <v>0</v>
          </cell>
          <cell r="F4494">
            <v>990</v>
          </cell>
        </row>
        <row r="4495">
          <cell r="A4495" t="str">
            <v>QT1143-2XL</v>
          </cell>
          <cell r="B4495" t="str">
            <v>QT1143</v>
          </cell>
          <cell r="C4495" t="str">
            <v>ซาติน แขนสั้นขายาว WOMEN Saturday 2XL (กปก) QC</v>
          </cell>
          <cell r="E4495">
            <v>0</v>
          </cell>
          <cell r="F4495">
            <v>990</v>
          </cell>
        </row>
        <row r="4496">
          <cell r="A4496" t="str">
            <v>QT1143-L</v>
          </cell>
          <cell r="B4496" t="str">
            <v>QT1143</v>
          </cell>
          <cell r="C4496" t="str">
            <v>ซาติน แขนสั้นขายาว WOMEN Saturday L (กปก) QC</v>
          </cell>
          <cell r="E4496">
            <v>0</v>
          </cell>
          <cell r="F4496">
            <v>990</v>
          </cell>
        </row>
        <row r="4497">
          <cell r="A4497" t="str">
            <v>QT1143-M</v>
          </cell>
          <cell r="B4497" t="str">
            <v>QT1143</v>
          </cell>
          <cell r="C4497" t="str">
            <v>ซาติน แขนสั้นขายาว WOMEN Saturday M (กปก) QC</v>
          </cell>
          <cell r="E4497">
            <v>0</v>
          </cell>
          <cell r="F4497">
            <v>990</v>
          </cell>
        </row>
        <row r="4498">
          <cell r="A4498" t="str">
            <v>QT1144-L</v>
          </cell>
          <cell r="B4498" t="str">
            <v>QT1144</v>
          </cell>
          <cell r="C4498" t="str">
            <v>ซาติน แขนสั้นขายาว WOMEN Sunday L (กปก) QC</v>
          </cell>
          <cell r="E4498">
            <v>0</v>
          </cell>
          <cell r="F4498">
            <v>990</v>
          </cell>
        </row>
        <row r="4499">
          <cell r="A4499" t="str">
            <v>QT1144-M</v>
          </cell>
          <cell r="B4499" t="str">
            <v>QT1144</v>
          </cell>
          <cell r="C4499" t="str">
            <v>ซาติน แขนสั้นขายาว WOMEN Sunday M (กปก) QC</v>
          </cell>
          <cell r="E4499">
            <v>0</v>
          </cell>
          <cell r="F4499">
            <v>990</v>
          </cell>
        </row>
        <row r="4500">
          <cell r="A4500" t="str">
            <v>QT1144-XL</v>
          </cell>
          <cell r="B4500" t="str">
            <v>QT1144</v>
          </cell>
          <cell r="C4500" t="str">
            <v>ซาติน แขนสั้นขายาว WOMEN Sunday XL (กปก) QC</v>
          </cell>
          <cell r="E4500">
            <v>0</v>
          </cell>
          <cell r="F4500">
            <v>990</v>
          </cell>
        </row>
        <row r="4501">
          <cell r="A4501" t="str">
            <v>QT1145-L</v>
          </cell>
          <cell r="B4501" t="str">
            <v>QT1145</v>
          </cell>
          <cell r="C4501" t="str">
            <v>ซาติน แขนสั้นขายาว WOMEN Monday L (กปก) QC</v>
          </cell>
          <cell r="E4501">
            <v>0</v>
          </cell>
          <cell r="F4501">
            <v>990</v>
          </cell>
        </row>
        <row r="4502">
          <cell r="A4502" t="str">
            <v>QT1145-M</v>
          </cell>
          <cell r="B4502" t="str">
            <v>QT1145</v>
          </cell>
          <cell r="C4502" t="str">
            <v>ซาติน แขนสั้นขายาว WOMEN Monday M (กปก) QC</v>
          </cell>
          <cell r="E4502">
            <v>0</v>
          </cell>
          <cell r="F4502">
            <v>990</v>
          </cell>
        </row>
        <row r="4503">
          <cell r="A4503" t="str">
            <v>QT1145-XL</v>
          </cell>
          <cell r="B4503" t="str">
            <v>QT1145</v>
          </cell>
          <cell r="C4503" t="str">
            <v>ซาติน แขนสั้นขายาว WOMEN Monday XL (กปก) QC</v>
          </cell>
          <cell r="E4503">
            <v>0</v>
          </cell>
          <cell r="F4503">
            <v>990</v>
          </cell>
        </row>
        <row r="4504">
          <cell r="A4504" t="str">
            <v>QT1146-2XL</v>
          </cell>
          <cell r="B4504" t="str">
            <v>QT1146</v>
          </cell>
          <cell r="C4504" t="str">
            <v>ซาติน แขนสั้นขายาว Pinky Flowers คอปกชมพูอ่อน 2XL (กปก) QC</v>
          </cell>
          <cell r="E4504">
            <v>0</v>
          </cell>
          <cell r="F4504">
            <v>890</v>
          </cell>
        </row>
        <row r="4505">
          <cell r="A4505" t="str">
            <v>QT1146-M</v>
          </cell>
          <cell r="B4505" t="str">
            <v>QT1146</v>
          </cell>
          <cell r="C4505" t="str">
            <v>ซาติน แขนสั้นขายาว Pinky Flowers คอปกชมพูอ่อน M (กปก) QC</v>
          </cell>
          <cell r="E4505">
            <v>0</v>
          </cell>
          <cell r="F4505">
            <v>890</v>
          </cell>
        </row>
        <row r="4506">
          <cell r="A4506" t="str">
            <v>QT1147-M</v>
          </cell>
          <cell r="B4506" t="str">
            <v>QT1147</v>
          </cell>
          <cell r="C4506" t="str">
            <v>ซาติน แขนสั้นขายาว ผลไม้รวม พื้นชมพู ขอบลายทางเขียว (มีกปก) M QC</v>
          </cell>
          <cell r="E4506">
            <v>0</v>
          </cell>
          <cell r="F4506">
            <v>890</v>
          </cell>
        </row>
        <row r="4507">
          <cell r="A4507" t="str">
            <v>QT1148-2XL</v>
          </cell>
          <cell r="B4507" t="str">
            <v>QT1148</v>
          </cell>
          <cell r="C4507" t="str">
            <v>ซาติน แขนสั้นขายาว Tiger Pink (มีกปก) 2XL QC</v>
          </cell>
          <cell r="E4507">
            <v>0</v>
          </cell>
          <cell r="F4507">
            <v>890</v>
          </cell>
        </row>
        <row r="4508">
          <cell r="A4508" t="str">
            <v>QT1148-XL</v>
          </cell>
          <cell r="B4508" t="str">
            <v>QT1148</v>
          </cell>
          <cell r="C4508" t="str">
            <v>ซาติน แขนสั้นขายาว Tiger Pink (มีกปก) XL QC</v>
          </cell>
          <cell r="E4508">
            <v>0</v>
          </cell>
          <cell r="F4508">
            <v>890</v>
          </cell>
        </row>
        <row r="4509">
          <cell r="A4509" t="str">
            <v>QT1149-2XL</v>
          </cell>
          <cell r="B4509" t="str">
            <v>QT1149</v>
          </cell>
          <cell r="C4509" t="str">
            <v>ซาติน แขนสั้นขายาว 12 ราศี พื้นกรม (มีกปก) 2XL QC</v>
          </cell>
          <cell r="E4509">
            <v>0</v>
          </cell>
          <cell r="F4509">
            <v>890</v>
          </cell>
        </row>
        <row r="4510">
          <cell r="A4510" t="str">
            <v>QT1149-3XL</v>
          </cell>
          <cell r="B4510" t="str">
            <v>QT1149</v>
          </cell>
          <cell r="C4510" t="str">
            <v>ซาติน แขนสั้นขายาว 12 ราศี พื้นกรม (มีกปก) 3XL QC</v>
          </cell>
          <cell r="E4510">
            <v>0</v>
          </cell>
          <cell r="F4510">
            <v>890</v>
          </cell>
        </row>
        <row r="4511">
          <cell r="A4511" t="str">
            <v>QT1149-L</v>
          </cell>
          <cell r="B4511" t="str">
            <v>QT1149</v>
          </cell>
          <cell r="C4511" t="str">
            <v>ซาติน แขนสั้นขายาว 12 ราศี พื้นกรม (มีกปก) L QC</v>
          </cell>
          <cell r="E4511">
            <v>0</v>
          </cell>
          <cell r="F4511">
            <v>890</v>
          </cell>
        </row>
        <row r="4512">
          <cell r="A4512" t="str">
            <v>QT1149-M</v>
          </cell>
          <cell r="B4512" t="str">
            <v>QT1149</v>
          </cell>
          <cell r="C4512" t="str">
            <v>ซาติน แขนสั้นขายาว 12 ราศี พื้นกรม (มีกปก) M QC</v>
          </cell>
          <cell r="E4512">
            <v>0</v>
          </cell>
          <cell r="F4512">
            <v>890</v>
          </cell>
        </row>
        <row r="4513">
          <cell r="A4513" t="str">
            <v>QT1149-XL</v>
          </cell>
          <cell r="B4513" t="str">
            <v>QT1149</v>
          </cell>
          <cell r="C4513" t="str">
            <v>ซาติน แขนสั้นขายาว 12 ราศี พื้นกรม (มีกปก) XL QC</v>
          </cell>
          <cell r="E4513">
            <v>0</v>
          </cell>
          <cell r="F4513">
            <v>890</v>
          </cell>
        </row>
        <row r="4514">
          <cell r="A4514" t="str">
            <v>QT1150-2XL</v>
          </cell>
          <cell r="B4514" t="str">
            <v>QT1150</v>
          </cell>
          <cell r="C4514" t="str">
            <v>ซาติน แขนสั้นขายาว 12 ราศี พื้นเขียว (มีกปก) 2XL QC</v>
          </cell>
          <cell r="E4514">
            <v>0</v>
          </cell>
          <cell r="F4514">
            <v>890</v>
          </cell>
        </row>
        <row r="4515">
          <cell r="A4515" t="str">
            <v>QT1150-M</v>
          </cell>
          <cell r="B4515" t="str">
            <v>QT1150</v>
          </cell>
          <cell r="C4515" t="str">
            <v>ซาติน แขนสั้นขายาว 12 ราศี พื้นเขียว (มีกปก) M QC</v>
          </cell>
          <cell r="E4515">
            <v>0</v>
          </cell>
          <cell r="F4515">
            <v>890</v>
          </cell>
        </row>
        <row r="4516">
          <cell r="A4516" t="str">
            <v>QT1151-L</v>
          </cell>
          <cell r="B4516" t="str">
            <v>QT1151</v>
          </cell>
          <cell r="C4516" t="str">
            <v>ซาติน แขนสั้นขายาว อาชา ฟ้าคราม (กปก) L QC</v>
          </cell>
          <cell r="E4516">
            <v>0</v>
          </cell>
          <cell r="F4516">
            <v>890</v>
          </cell>
        </row>
        <row r="4517">
          <cell r="A4517" t="str">
            <v>QT1151-M</v>
          </cell>
          <cell r="B4517" t="str">
            <v>QT1151</v>
          </cell>
          <cell r="C4517" t="str">
            <v>ซาติน แขนสั้นขายาว อาชา ฟ้าคราม (กปก) M QC</v>
          </cell>
          <cell r="E4517">
            <v>0</v>
          </cell>
          <cell r="F4517">
            <v>890</v>
          </cell>
        </row>
        <row r="4518">
          <cell r="A4518" t="str">
            <v>QT1153-L</v>
          </cell>
          <cell r="B4518" t="str">
            <v>QT1153</v>
          </cell>
          <cell r="C4518" t="str">
            <v>ซาติน แขนสั้นขายาว ทิวลิปส้ม พื้นขาว L QC</v>
          </cell>
          <cell r="E4518">
            <v>0</v>
          </cell>
          <cell r="F4518">
            <v>890</v>
          </cell>
        </row>
        <row r="4519">
          <cell r="A4519" t="str">
            <v>QT1153-XL</v>
          </cell>
          <cell r="B4519" t="str">
            <v>QT1153</v>
          </cell>
          <cell r="C4519" t="str">
            <v>ซาติน แขนสั้นขายาว ทิวลิปส้ม พื้นขาว XL QC</v>
          </cell>
          <cell r="E4519">
            <v>0</v>
          </cell>
          <cell r="F4519">
            <v>890</v>
          </cell>
        </row>
        <row r="4520">
          <cell r="A4520" t="str">
            <v>QT1154-M</v>
          </cell>
          <cell r="B4520" t="str">
            <v>QT1154</v>
          </cell>
          <cell r="C4520" t="str">
            <v>ซาติน แขนสั้นขายาว Pink Heart M (กปก) QC</v>
          </cell>
          <cell r="E4520">
            <v>0</v>
          </cell>
          <cell r="F4520">
            <v>890</v>
          </cell>
        </row>
        <row r="4521">
          <cell r="A4521" t="str">
            <v>QT1155-XL</v>
          </cell>
          <cell r="B4521" t="str">
            <v>QT1155</v>
          </cell>
          <cell r="C4521" t="str">
            <v>ซาติน แขนสั้นขายาว Violet Forest XL (กปก) QC</v>
          </cell>
          <cell r="E4521">
            <v>0</v>
          </cell>
          <cell r="F4521">
            <v>890</v>
          </cell>
        </row>
        <row r="4522">
          <cell r="A4522" t="str">
            <v>QT1156-2XL</v>
          </cell>
          <cell r="B4522" t="str">
            <v>QT1156</v>
          </cell>
          <cell r="C4522" t="str">
            <v>ซาติน แขนสั้นขายาว Beautiful Women White 2XL (กปก) QC</v>
          </cell>
          <cell r="E4522">
            <v>0</v>
          </cell>
          <cell r="F4522">
            <v>890</v>
          </cell>
        </row>
        <row r="4523">
          <cell r="A4523" t="str">
            <v>QT1156-M</v>
          </cell>
          <cell r="B4523" t="str">
            <v>QT1156</v>
          </cell>
          <cell r="C4523" t="str">
            <v>ซาติน แขนสั้นขายาว Beautiful Women White M (กปก) QC</v>
          </cell>
          <cell r="E4523">
            <v>0</v>
          </cell>
          <cell r="F4523">
            <v>890</v>
          </cell>
        </row>
        <row r="4524">
          <cell r="A4524" t="str">
            <v>QT1156-XL</v>
          </cell>
          <cell r="B4524" t="str">
            <v>QT1156</v>
          </cell>
          <cell r="C4524" t="str">
            <v>ซาติน แขนสั้นขายาว Beautiful Women White XL (กปก) QC</v>
          </cell>
          <cell r="E4524">
            <v>0</v>
          </cell>
          <cell r="F4524">
            <v>890</v>
          </cell>
        </row>
        <row r="4525">
          <cell r="A4525" t="str">
            <v>QT1162-2XL</v>
          </cell>
          <cell r="B4525" t="str">
            <v>QT1162</v>
          </cell>
          <cell r="C4525" t="str">
            <v>ซาติน แขนสั้นขายาว Muslin Green (กปก) 2XL QC</v>
          </cell>
          <cell r="E4525">
            <v>0</v>
          </cell>
          <cell r="F4525">
            <v>890</v>
          </cell>
        </row>
        <row r="4526">
          <cell r="A4526" t="str">
            <v>QT1164-2XL</v>
          </cell>
          <cell r="B4526" t="str">
            <v>QT1164</v>
          </cell>
          <cell r="C4526" t="str">
            <v>ซาติน แขนสั้นขายาว Muslin Dark Blue (กปก) 2XL QC</v>
          </cell>
          <cell r="E4526">
            <v>0</v>
          </cell>
          <cell r="F4526">
            <v>890</v>
          </cell>
        </row>
        <row r="4527">
          <cell r="A4527" t="str">
            <v>QT1168-2XL</v>
          </cell>
          <cell r="B4527" t="str">
            <v>QT1168</v>
          </cell>
          <cell r="C4527" t="str">
            <v>ซาติน แขนสั้นขายาว Mini Cute เขียวขาว 2XL (กปก) QC</v>
          </cell>
          <cell r="E4527">
            <v>0</v>
          </cell>
          <cell r="F4527">
            <v>890</v>
          </cell>
        </row>
        <row r="4528">
          <cell r="A4528" t="str">
            <v>QT1169-XL</v>
          </cell>
          <cell r="B4528" t="str">
            <v>QT1169</v>
          </cell>
          <cell r="C4528" t="str">
            <v>ซาติน แขนสั้นขายาว Mini Cute เทาขาว XL (กปก) QC</v>
          </cell>
          <cell r="E4528">
            <v>0</v>
          </cell>
          <cell r="F4528">
            <v>890</v>
          </cell>
        </row>
        <row r="4529">
          <cell r="A4529" t="str">
            <v>QT1170-L</v>
          </cell>
          <cell r="B4529" t="str">
            <v>QT1170</v>
          </cell>
          <cell r="C4529" t="str">
            <v>ซาติน แขนสั้นขายาว Mini Cute โอโรสขาว L (กปก) QC</v>
          </cell>
          <cell r="E4529">
            <v>0</v>
          </cell>
          <cell r="F4529">
            <v>890</v>
          </cell>
        </row>
        <row r="4530">
          <cell r="A4530" t="str">
            <v>QT1175-L</v>
          </cell>
          <cell r="B4530" t="str">
            <v>QT1175</v>
          </cell>
          <cell r="C4530" t="str">
            <v>ซาติน แขนสั้นขายาว กวางน้อย พื้นขาว ปกเทา L (กปก) QC</v>
          </cell>
          <cell r="E4530">
            <v>0</v>
          </cell>
          <cell r="F4530">
            <v>890</v>
          </cell>
        </row>
        <row r="4531">
          <cell r="A4531" t="str">
            <v>QT1175-M</v>
          </cell>
          <cell r="B4531" t="str">
            <v>QT1175</v>
          </cell>
          <cell r="C4531" t="str">
            <v>ซาติน แขนสั้นขายาว กวางน้อย พื้นขาว ปกเทา M (กปก) QC</v>
          </cell>
          <cell r="E4531">
            <v>0</v>
          </cell>
          <cell r="F4531">
            <v>890</v>
          </cell>
        </row>
        <row r="4532">
          <cell r="A4532" t="str">
            <v>QT1175-XL</v>
          </cell>
          <cell r="B4532" t="str">
            <v>QT1175</v>
          </cell>
          <cell r="C4532" t="str">
            <v>ซาติน แขนสั้นขายาว กวางน้อย พื้นขาว ปกเทา XL (กปก) QC</v>
          </cell>
          <cell r="E4532">
            <v>0</v>
          </cell>
          <cell r="F4532">
            <v>890</v>
          </cell>
        </row>
        <row r="4533">
          <cell r="A4533" t="str">
            <v>QT1176-L</v>
          </cell>
          <cell r="B4533" t="str">
            <v>QT1176</v>
          </cell>
          <cell r="C4533" t="str">
            <v>ซาติน แขนสั้นขายาว กราฟฟิก พาสเทล ส้ม ชมพู L (กปก) QC</v>
          </cell>
          <cell r="E4533">
            <v>0</v>
          </cell>
          <cell r="F4533">
            <v>890</v>
          </cell>
        </row>
        <row r="4534">
          <cell r="A4534" t="str">
            <v>QT1177-2XL</v>
          </cell>
          <cell r="B4534" t="str">
            <v>QT1177</v>
          </cell>
          <cell r="C4534" t="str">
            <v>ซาติน แขนสั้นขายาว กราฟฟิก พาสเทล ฟ้า เขียว 2XL (กปก) QC</v>
          </cell>
          <cell r="E4534">
            <v>0</v>
          </cell>
          <cell r="F4534">
            <v>890</v>
          </cell>
        </row>
        <row r="4535">
          <cell r="A4535" t="str">
            <v>QT1180-M</v>
          </cell>
          <cell r="B4535" t="str">
            <v>QT1180</v>
          </cell>
          <cell r="C4535" t="str">
            <v>ซาติน แขนสั้นขายาว ดอกเหลืองพื้นขาว M (กปก) QC</v>
          </cell>
          <cell r="E4535">
            <v>0</v>
          </cell>
          <cell r="F4535">
            <v>890</v>
          </cell>
        </row>
        <row r="4536">
          <cell r="A4536" t="str">
            <v>QT1182-2XL</v>
          </cell>
          <cell r="B4536" t="str">
            <v>QT1182</v>
          </cell>
          <cell r="C4536" t="str">
            <v>ซาติน แขนสั้นขายาว หมีฟ้า พื้นฟ้า 2XL (กปก) QC</v>
          </cell>
          <cell r="E4536">
            <v>0</v>
          </cell>
          <cell r="F4536">
            <v>890</v>
          </cell>
        </row>
        <row r="4537">
          <cell r="A4537" t="str">
            <v>QT1182-3XL</v>
          </cell>
          <cell r="B4537" t="str">
            <v>QT1182</v>
          </cell>
          <cell r="C4537" t="str">
            <v>ซาติน แขนสั้นขายาว หมีฟ้า พื้นฟ้า 3XL (กปก) QC</v>
          </cell>
          <cell r="E4537">
            <v>0</v>
          </cell>
          <cell r="F4537">
            <v>890</v>
          </cell>
        </row>
        <row r="4538">
          <cell r="A4538" t="str">
            <v>QT1182-L</v>
          </cell>
          <cell r="B4538" t="str">
            <v>QT1182</v>
          </cell>
          <cell r="C4538" t="str">
            <v>ซาติน แขนสั้นขายาว หมีฟ้า พื้นฟ้า L (กปก) QC</v>
          </cell>
          <cell r="E4538">
            <v>0</v>
          </cell>
          <cell r="F4538">
            <v>890</v>
          </cell>
        </row>
        <row r="4539">
          <cell r="A4539" t="str">
            <v>QT1182-M</v>
          </cell>
          <cell r="B4539" t="str">
            <v>QT1182</v>
          </cell>
          <cell r="C4539" t="str">
            <v>ซาติน แขนสั้นขายาว หมีฟ้า พื้นฟ้า M (กปก) QC</v>
          </cell>
          <cell r="E4539">
            <v>0</v>
          </cell>
          <cell r="F4539">
            <v>890</v>
          </cell>
        </row>
        <row r="4540">
          <cell r="A4540" t="str">
            <v>QT1182-XL</v>
          </cell>
          <cell r="B4540" t="str">
            <v>QT1182</v>
          </cell>
          <cell r="C4540" t="str">
            <v>ซาติน แขนสั้นขายาว หมีฟ้า พื้นฟ้า XL (กปก) QC</v>
          </cell>
          <cell r="E4540">
            <v>0</v>
          </cell>
          <cell r="F4540">
            <v>890</v>
          </cell>
        </row>
        <row r="4541">
          <cell r="A4541" t="str">
            <v>QT1183-2XL</v>
          </cell>
          <cell r="B4541" t="str">
            <v>QT1183</v>
          </cell>
          <cell r="C4541" t="str">
            <v>ซาติน แขนสั้นขายาว กระต่ายชมพู ปกเขียว 2XL (กปก) QC</v>
          </cell>
          <cell r="E4541">
            <v>0</v>
          </cell>
          <cell r="F4541">
            <v>890</v>
          </cell>
        </row>
        <row r="4542">
          <cell r="A4542" t="str">
            <v>QT1183-3XL</v>
          </cell>
          <cell r="B4542" t="str">
            <v>QT1183</v>
          </cell>
          <cell r="C4542" t="str">
            <v>ซาติน แขนสั้นขายาว กระต่ายชมพู ปกเขียว 3XL (กปก) QC</v>
          </cell>
          <cell r="E4542">
            <v>0</v>
          </cell>
          <cell r="F4542">
            <v>890</v>
          </cell>
        </row>
        <row r="4543">
          <cell r="A4543" t="str">
            <v>QT1184-2XL</v>
          </cell>
          <cell r="B4543" t="str">
            <v>QT1184</v>
          </cell>
          <cell r="C4543" t="str">
            <v>ซาติน แขนสั้นขายาว ม้าลาย ปกชมพู 2XL QC</v>
          </cell>
          <cell r="E4543">
            <v>0</v>
          </cell>
          <cell r="F4543">
            <v>990</v>
          </cell>
        </row>
        <row r="4544">
          <cell r="A4544" t="str">
            <v>QT1184-3XL</v>
          </cell>
          <cell r="B4544" t="str">
            <v>QT1184</v>
          </cell>
          <cell r="C4544" t="str">
            <v>ซาติน แขนสั้นขายาว ม้าลาย ปกชมพู 3XL QC</v>
          </cell>
          <cell r="E4544">
            <v>0</v>
          </cell>
          <cell r="F4544">
            <v>990</v>
          </cell>
        </row>
        <row r="4545">
          <cell r="A4545" t="str">
            <v>QT1184-M</v>
          </cell>
          <cell r="B4545" t="str">
            <v>QT1184</v>
          </cell>
          <cell r="C4545" t="str">
            <v>ซาติน แขนสั้นขายาว ม้าลาย ปกชมพู M QC</v>
          </cell>
          <cell r="E4545">
            <v>0</v>
          </cell>
          <cell r="F4545">
            <v>990</v>
          </cell>
        </row>
        <row r="4546">
          <cell r="A4546" t="str">
            <v>QT1184-XL</v>
          </cell>
          <cell r="B4546" t="str">
            <v>QT1184</v>
          </cell>
          <cell r="C4546" t="str">
            <v>ซาติน แขนสั้นขายาว ม้าลาย ปกชมพู XL QC</v>
          </cell>
          <cell r="E4546">
            <v>0</v>
          </cell>
          <cell r="F4546">
            <v>990</v>
          </cell>
        </row>
        <row r="4547">
          <cell r="A4547" t="str">
            <v>QT1186-2XL</v>
          </cell>
          <cell r="B4547" t="str">
            <v>QT1186</v>
          </cell>
          <cell r="C4547" t="str">
            <v>ซาติน แขนสั้นขายาว กุหลาบขอบดำลายดอกไม้ 2XL QC</v>
          </cell>
          <cell r="E4547">
            <v>0</v>
          </cell>
          <cell r="F4547">
            <v>990</v>
          </cell>
        </row>
        <row r="4548">
          <cell r="A4548" t="str">
            <v>QT1186-XL</v>
          </cell>
          <cell r="B4548" t="str">
            <v>QT1186</v>
          </cell>
          <cell r="C4548" t="str">
            <v>ซาติน แขนสั้นขายาว กุหลาบขอบดำลายดอกไม้ XL QC</v>
          </cell>
          <cell r="E4548">
            <v>0</v>
          </cell>
          <cell r="F4548">
            <v>990</v>
          </cell>
        </row>
        <row r="4549">
          <cell r="A4549" t="str">
            <v>QT1188-3XL</v>
          </cell>
          <cell r="B4549" t="str">
            <v>QT1188</v>
          </cell>
          <cell r="C4549" t="str">
            <v>ซาติน แขนสั้นขายาว เงือกน้อยพื้นขาว ปกม่วง (กปก) 3XL QC</v>
          </cell>
          <cell r="E4549">
            <v>0</v>
          </cell>
          <cell r="F4549">
            <v>890</v>
          </cell>
        </row>
        <row r="4550">
          <cell r="A4550" t="str">
            <v>QT1194-L</v>
          </cell>
          <cell r="B4550" t="str">
            <v>QT1194</v>
          </cell>
          <cell r="C4550" t="str">
            <v>ซาติน แขนสั้นขายาว pink sunny time (กปก) L QC</v>
          </cell>
          <cell r="E4550">
            <v>0</v>
          </cell>
          <cell r="F4550">
            <v>890</v>
          </cell>
        </row>
        <row r="4551">
          <cell r="A4551" t="str">
            <v>QT1194-M</v>
          </cell>
          <cell r="B4551" t="str">
            <v>QT1194</v>
          </cell>
          <cell r="C4551" t="str">
            <v>ซาติน แขนสั้นขายาว pink sunny time (กปก) M QC</v>
          </cell>
          <cell r="E4551">
            <v>0</v>
          </cell>
          <cell r="F4551">
            <v>890</v>
          </cell>
        </row>
        <row r="4552">
          <cell r="A4552" t="str">
            <v>QT1195-L</v>
          </cell>
          <cell r="B4552" t="str">
            <v>QT1195</v>
          </cell>
          <cell r="C4552" t="str">
            <v>ซาติน แขนสั้นขายาว กระต่ายขาว พื้นม่วง (กปก) L QC</v>
          </cell>
          <cell r="E4552">
            <v>0</v>
          </cell>
          <cell r="F4552">
            <v>890</v>
          </cell>
        </row>
        <row r="4553">
          <cell r="A4553" t="str">
            <v>QT1195-M</v>
          </cell>
          <cell r="B4553" t="str">
            <v>QT1195</v>
          </cell>
          <cell r="C4553" t="str">
            <v>ซาติน แขนสั้นขายาว กระต่ายขาว พื้นม่วง (กปก) M QC</v>
          </cell>
          <cell r="E4553">
            <v>0</v>
          </cell>
          <cell r="F4553">
            <v>890</v>
          </cell>
        </row>
        <row r="4554">
          <cell r="A4554" t="str">
            <v>QT1195-XL</v>
          </cell>
          <cell r="B4554" t="str">
            <v>QT1195</v>
          </cell>
          <cell r="C4554" t="str">
            <v>ซาติน แขนสั้นขายาว กระต่ายขาว พื้นม่วง (กปก) XL QC</v>
          </cell>
          <cell r="E4554">
            <v>0</v>
          </cell>
          <cell r="F4554">
            <v>890</v>
          </cell>
        </row>
        <row r="4555">
          <cell r="A4555" t="str">
            <v>QT1197-XL</v>
          </cell>
          <cell r="B4555" t="str">
            <v>QT1197</v>
          </cell>
          <cell r="C4555" t="str">
            <v>ซาติน แขนสั้นขายาว นกยูงในป่าหิมพานต์ (กปก) XL QC</v>
          </cell>
          <cell r="E4555">
            <v>0</v>
          </cell>
          <cell r="F4555">
            <v>890</v>
          </cell>
        </row>
        <row r="4556">
          <cell r="A4556" t="str">
            <v>QT1198-M</v>
          </cell>
          <cell r="B4556" t="str">
            <v>QT1198</v>
          </cell>
          <cell r="C4556" t="str">
            <v>ซาติน แขนสั้นขายาว กระต่ายขาว พื้นชมพู ขอบเขียว (กปก) M QC</v>
          </cell>
          <cell r="E4556">
            <v>0</v>
          </cell>
          <cell r="F4556">
            <v>990</v>
          </cell>
        </row>
        <row r="4557">
          <cell r="A4557" t="str">
            <v>QT1199-2XL</v>
          </cell>
          <cell r="B4557" t="str">
            <v>QT1199</v>
          </cell>
          <cell r="C4557" t="str">
            <v>ซาติน แขนสั้นขายาว กระต่ายขาว พื้นเขียวมิ้น ขอบขาว (กปก) 2XL QC</v>
          </cell>
          <cell r="E4557">
            <v>0</v>
          </cell>
          <cell r="F4557">
            <v>890</v>
          </cell>
        </row>
        <row r="4558">
          <cell r="A4558" t="str">
            <v>QT1200-3XL</v>
          </cell>
          <cell r="B4558" t="str">
            <v>QT1200</v>
          </cell>
          <cell r="C4558" t="str">
            <v>ซาติน แขนสั้นขายาว น้องหมา พื้นเทา (กปก) 3XL QC</v>
          </cell>
          <cell r="E4558">
            <v>0</v>
          </cell>
          <cell r="F4558">
            <v>890</v>
          </cell>
        </row>
        <row r="4559">
          <cell r="A4559" t="str">
            <v>QT1200-L</v>
          </cell>
          <cell r="B4559" t="str">
            <v>QT1200</v>
          </cell>
          <cell r="C4559" t="str">
            <v>ซาติน แขนสั้นขายาว น้องหมา พื้นเทา (กปก) L QC</v>
          </cell>
          <cell r="E4559">
            <v>0</v>
          </cell>
          <cell r="F4559">
            <v>890</v>
          </cell>
        </row>
        <row r="4560">
          <cell r="A4560" t="str">
            <v>QT1203-M</v>
          </cell>
          <cell r="B4560" t="str">
            <v>QT1203</v>
          </cell>
          <cell r="C4560" t="str">
            <v>ซาติน แขนสั้นขายาว หมาผลไม้ พื้นชมพู M (กปก) QC</v>
          </cell>
          <cell r="E4560">
            <v>0</v>
          </cell>
          <cell r="F4560">
            <v>890</v>
          </cell>
        </row>
        <row r="4561">
          <cell r="A4561" t="str">
            <v>QT1204-L</v>
          </cell>
          <cell r="B4561" t="str">
            <v>QT1204</v>
          </cell>
          <cell r="C4561" t="str">
            <v>ซาติน แขนสั้นขายาว หัวใจเล็ก พื้นครีม L (กปก) QC</v>
          </cell>
          <cell r="E4561">
            <v>0</v>
          </cell>
          <cell r="F4561">
            <v>890</v>
          </cell>
        </row>
        <row r="4562">
          <cell r="A4562" t="str">
            <v>QT1205-2XL</v>
          </cell>
          <cell r="B4562" t="str">
            <v>QT1205</v>
          </cell>
          <cell r="C4562" t="str">
            <v>ซาติน แขนสั้นขายาว หัวใจเล็ก พื้นม่วง 2XL (กปก) QC</v>
          </cell>
          <cell r="E4562">
            <v>0</v>
          </cell>
          <cell r="F4562">
            <v>890</v>
          </cell>
        </row>
        <row r="4563">
          <cell r="A4563" t="str">
            <v>QT1212-2XL</v>
          </cell>
          <cell r="B4563" t="str">
            <v>QT1212</v>
          </cell>
          <cell r="C4563" t="str">
            <v>ซาติน แขนสั้นขายาว กระต่ายน้อยอุ้มไข่ ปกเหลือง 2XL (กปก) QC</v>
          </cell>
          <cell r="E4563">
            <v>0</v>
          </cell>
          <cell r="F4563">
            <v>890</v>
          </cell>
        </row>
        <row r="4564">
          <cell r="A4564" t="str">
            <v>QT1214-2XL</v>
          </cell>
          <cell r="B4564" t="str">
            <v>QT1214</v>
          </cell>
          <cell r="C4564" t="str">
            <v>ซาติน แขนสั้นขายาว rabbit white flower pink ปกม่วง 2XL (กปก) QC</v>
          </cell>
          <cell r="E4564">
            <v>0</v>
          </cell>
          <cell r="F4564">
            <v>990</v>
          </cell>
        </row>
        <row r="4565">
          <cell r="A4565" t="str">
            <v>QT1214-3XL</v>
          </cell>
          <cell r="B4565" t="str">
            <v>QT1214</v>
          </cell>
          <cell r="C4565" t="str">
            <v>ซาติน แขนสั้นขายาว rabbit white flower pink ปกม่วง 3XL (กปก) QC</v>
          </cell>
          <cell r="E4565">
            <v>0</v>
          </cell>
          <cell r="F4565">
            <v>990</v>
          </cell>
        </row>
        <row r="4566">
          <cell r="A4566" t="str">
            <v>QT1214-L</v>
          </cell>
          <cell r="B4566" t="str">
            <v>QT1214</v>
          </cell>
          <cell r="C4566" t="str">
            <v>ซาติน แขนสั้นขายาว rabbit white flower pink ปกม่วง L (กปก) QC</v>
          </cell>
          <cell r="E4566">
            <v>0</v>
          </cell>
          <cell r="F4566">
            <v>990</v>
          </cell>
        </row>
        <row r="4567">
          <cell r="A4567" t="str">
            <v>QT1214-M</v>
          </cell>
          <cell r="B4567" t="str">
            <v>QT1214</v>
          </cell>
          <cell r="C4567" t="str">
            <v>ซาติน แขนสั้นขายาว rabbit white flower pink ปกม่วง M (กปก) QC</v>
          </cell>
          <cell r="E4567">
            <v>0</v>
          </cell>
          <cell r="F4567">
            <v>990</v>
          </cell>
        </row>
        <row r="4568">
          <cell r="A4568" t="str">
            <v>QT1218-L</v>
          </cell>
          <cell r="B4568" t="str">
            <v>QT1218</v>
          </cell>
          <cell r="C4568" t="str">
            <v>ซาติน แขนสั้นขายาว ช้างชมพู พื้นครีม L (กปก) QC</v>
          </cell>
          <cell r="E4568">
            <v>0</v>
          </cell>
          <cell r="F4568">
            <v>890</v>
          </cell>
        </row>
        <row r="4569">
          <cell r="A4569" t="str">
            <v>QT1221-XL</v>
          </cell>
          <cell r="B4569" t="str">
            <v>QT1221</v>
          </cell>
          <cell r="C4569" t="str">
            <v>ซาติน แขนสั้นขายาว เสือส้ม พื้นชมพู XL (กปก) QC</v>
          </cell>
          <cell r="E4569">
            <v>0</v>
          </cell>
          <cell r="F4569">
            <v>890</v>
          </cell>
        </row>
        <row r="4570">
          <cell r="A4570" t="str">
            <v>QT1224-2XL</v>
          </cell>
          <cell r="B4570" t="str">
            <v>QT1224</v>
          </cell>
          <cell r="C4570" t="str">
            <v>ซาติน แขนสั้นขายาว เสือดาวพื้นน้ำเงิน ปกเสือชมพู 2XL (กปก) QC</v>
          </cell>
          <cell r="E4570">
            <v>0</v>
          </cell>
          <cell r="F4570">
            <v>890</v>
          </cell>
        </row>
        <row r="4571">
          <cell r="A4571" t="str">
            <v>QT1224-3XL</v>
          </cell>
          <cell r="B4571" t="str">
            <v>QT1224</v>
          </cell>
          <cell r="C4571" t="str">
            <v>ซาติน แขนสั้นขายาว เสือดาวพื้นน้ำเงิน ปกเสือชมพู 3XL (กปก) QC</v>
          </cell>
          <cell r="E4571">
            <v>0</v>
          </cell>
          <cell r="F4571">
            <v>890</v>
          </cell>
        </row>
        <row r="4572">
          <cell r="A4572" t="str">
            <v>QT1224-L</v>
          </cell>
          <cell r="B4572" t="str">
            <v>QT1224</v>
          </cell>
          <cell r="C4572" t="str">
            <v>ซาติน แขนสั้นขายาว เสือดาวพื้นน้ำเงิน ปกเสือชมพู L (กปก) QC</v>
          </cell>
          <cell r="E4572">
            <v>0</v>
          </cell>
          <cell r="F4572">
            <v>890</v>
          </cell>
        </row>
        <row r="4573">
          <cell r="A4573" t="str">
            <v>QT1224-M</v>
          </cell>
          <cell r="B4573" t="str">
            <v>QT1224</v>
          </cell>
          <cell r="C4573" t="str">
            <v>ซาติน แขนสั้นขายาว เสือดาวพื้นน้ำเงิน ปกเสือชมพู M (กปก) QC</v>
          </cell>
          <cell r="E4573">
            <v>0</v>
          </cell>
          <cell r="F4573">
            <v>890</v>
          </cell>
        </row>
        <row r="4574">
          <cell r="A4574" t="str">
            <v>QT1224-XL</v>
          </cell>
          <cell r="B4574" t="str">
            <v>QT1224</v>
          </cell>
          <cell r="C4574" t="str">
            <v>ซาติน แขนสั้นขายาว เสือดาวพื้นน้ำเงิน ปกเสือชมพู XL (กปก) QC</v>
          </cell>
          <cell r="E4574">
            <v>0</v>
          </cell>
          <cell r="F4574">
            <v>890</v>
          </cell>
        </row>
        <row r="4575">
          <cell r="A4575" t="str">
            <v>QT1225-3XL</v>
          </cell>
          <cell r="B4575" t="str">
            <v>QT1225</v>
          </cell>
          <cell r="C4575" t="str">
            <v>ซาติน แขนสั้นขายาว นักกีฬา สเก็ต พื้นครีม ปกฟ้า ขาว (กปก) 3XL QC</v>
          </cell>
          <cell r="E4575">
            <v>0</v>
          </cell>
          <cell r="F4575">
            <v>890</v>
          </cell>
        </row>
        <row r="4576">
          <cell r="A4576" t="str">
            <v>QT1225-M</v>
          </cell>
          <cell r="B4576" t="str">
            <v>QT1225</v>
          </cell>
          <cell r="C4576" t="str">
            <v>ซาติน แขนสั้นขายาว นักกีฬา สเก็ต พื้นครีม ปกฟ้า ขาว (กปก) M QC</v>
          </cell>
          <cell r="E4576">
            <v>0</v>
          </cell>
          <cell r="F4576">
            <v>890</v>
          </cell>
        </row>
        <row r="4577">
          <cell r="A4577" t="str">
            <v>QT1225-XL</v>
          </cell>
          <cell r="B4577" t="str">
            <v>QT1225</v>
          </cell>
          <cell r="C4577" t="str">
            <v>ซาติน แขนสั้นขายาว นักกีฬา สเก็ต พื้นครีม ปกฟ้า ขาว (กปก) XL QC</v>
          </cell>
          <cell r="E4577">
            <v>0</v>
          </cell>
          <cell r="F4577">
            <v>890</v>
          </cell>
        </row>
        <row r="4578">
          <cell r="A4578" t="str">
            <v>QT1226-2XL</v>
          </cell>
          <cell r="B4578" t="str">
            <v>QT1226</v>
          </cell>
          <cell r="C4578" t="str">
            <v>ซาติน แขนสั้นขายาว Queen Tarot Card พื้นน้ำเงิน 2XL (กปก) QC</v>
          </cell>
          <cell r="E4578">
            <v>0</v>
          </cell>
          <cell r="F4578">
            <v>990</v>
          </cell>
        </row>
        <row r="4579">
          <cell r="A4579" t="str">
            <v>QT1226-3XL</v>
          </cell>
          <cell r="B4579" t="str">
            <v>QT1226</v>
          </cell>
          <cell r="C4579" t="str">
            <v>ซาติน แขนสั้นขายาว Queen Tarot Card พื้นน้ำเงิน 3XL (กปก) QC</v>
          </cell>
          <cell r="E4579">
            <v>0</v>
          </cell>
          <cell r="F4579">
            <v>990</v>
          </cell>
        </row>
        <row r="4580">
          <cell r="A4580" t="str">
            <v>QT1226-L</v>
          </cell>
          <cell r="B4580" t="str">
            <v>QT1226</v>
          </cell>
          <cell r="C4580" t="str">
            <v>ซาติน แขนสั้นขายาว Queen Tarot Card พื้นน้ำเงิน L (กปก) QC</v>
          </cell>
          <cell r="E4580">
            <v>0</v>
          </cell>
          <cell r="F4580">
            <v>990</v>
          </cell>
        </row>
        <row r="4581">
          <cell r="A4581" t="str">
            <v>QT1226-M</v>
          </cell>
          <cell r="B4581" t="str">
            <v>QT1226</v>
          </cell>
          <cell r="C4581" t="str">
            <v>ซาติน แขนสั้นขายาว Queen Tarot Card พื้นน้ำเงิน M (กปก) QC</v>
          </cell>
          <cell r="E4581">
            <v>0</v>
          </cell>
          <cell r="F4581">
            <v>990</v>
          </cell>
        </row>
        <row r="4582">
          <cell r="A4582" t="str">
            <v>QT1226-XL</v>
          </cell>
          <cell r="B4582" t="str">
            <v>QT1226</v>
          </cell>
          <cell r="C4582" t="str">
            <v>ซาติน แขนสั้นขายาว Queen Tarot Card พื้นน้ำเงิน XL (กปก) QC</v>
          </cell>
          <cell r="E4582">
            <v>0</v>
          </cell>
          <cell r="F4582">
            <v>990</v>
          </cell>
        </row>
        <row r="4583">
          <cell r="A4583" t="str">
            <v>QT1228-2XL</v>
          </cell>
          <cell r="B4583" t="str">
            <v>QT1228</v>
          </cell>
          <cell r="C4583" t="str">
            <v>ซาติน แขนสั้นขายาว Zoo forest พื้นขาว ปกโอโรส 2XL (กปก) QC</v>
          </cell>
          <cell r="E4583">
            <v>0</v>
          </cell>
          <cell r="F4583">
            <v>890</v>
          </cell>
        </row>
        <row r="4584">
          <cell r="A4584" t="str">
            <v>QT1228-XL</v>
          </cell>
          <cell r="B4584" t="str">
            <v>QT1228</v>
          </cell>
          <cell r="C4584" t="str">
            <v>ซาติน แขนสั้นขายาว Zoo forest พื้นขาว ปกโอโรส XL (กปก) QC</v>
          </cell>
          <cell r="E4584">
            <v>0</v>
          </cell>
          <cell r="F4584">
            <v>890</v>
          </cell>
        </row>
        <row r="4585">
          <cell r="A4585" t="str">
            <v>QT1229-XL</v>
          </cell>
          <cell r="B4585" t="str">
            <v>QT1229</v>
          </cell>
          <cell r="C4585" t="str">
            <v>ซาติน แขนสั้นขายาว The Sun พื้นครีม กางเกงเหลือง XL (กปก) QC</v>
          </cell>
          <cell r="E4585">
            <v>0</v>
          </cell>
          <cell r="F4585">
            <v>990</v>
          </cell>
        </row>
        <row r="4586">
          <cell r="A4586" t="str">
            <v>QT1230-L</v>
          </cell>
          <cell r="B4586" t="str">
            <v>QT1230</v>
          </cell>
          <cell r="C4586" t="str">
            <v>ซาติน แขนสั้นขายาว สิงห์โต ช้าง ยีราฟ พื้นขาว ปกเขียว L (กปก) QC</v>
          </cell>
          <cell r="E4586">
            <v>0</v>
          </cell>
          <cell r="F4586">
            <v>890</v>
          </cell>
        </row>
        <row r="4587">
          <cell r="A4587" t="str">
            <v>QT1230-M</v>
          </cell>
          <cell r="B4587" t="str">
            <v>QT1230</v>
          </cell>
          <cell r="C4587" t="str">
            <v>ซาติน แขนสั้นขายาว สิงห์โต ช้าง ยีราฟ พื้นขาว ปกเขียว M (กปก) QC</v>
          </cell>
          <cell r="E4587">
            <v>0</v>
          </cell>
          <cell r="F4587">
            <v>890</v>
          </cell>
        </row>
        <row r="4588">
          <cell r="A4588" t="str">
            <v>QT1231-2XL</v>
          </cell>
          <cell r="B4588" t="str">
            <v>QT1231</v>
          </cell>
          <cell r="C4588" t="str">
            <v>ซาติน แขนสั้นขายาว 12 ราศี พาสเทล ปกม่วงพาสเทล 2XL (กปก) QC</v>
          </cell>
          <cell r="E4588">
            <v>0</v>
          </cell>
          <cell r="F4588">
            <v>890</v>
          </cell>
        </row>
        <row r="4589">
          <cell r="A4589" t="str">
            <v>QT1231-XL</v>
          </cell>
          <cell r="B4589" t="str">
            <v>QT1231</v>
          </cell>
          <cell r="C4589" t="str">
            <v>ซาติน แขนสั้นขายาว 12 ราศี พาสเทล ปกม่วงพาสเทล XL (กปก) QC</v>
          </cell>
          <cell r="E4589">
            <v>0</v>
          </cell>
          <cell r="F4589">
            <v>890</v>
          </cell>
        </row>
        <row r="4590">
          <cell r="A4590" t="str">
            <v>QT1232-3XL</v>
          </cell>
          <cell r="B4590" t="str">
            <v>QT1232</v>
          </cell>
          <cell r="C4590" t="str">
            <v>ซาติน แขนสั้นขายาว น้องแกะ พื้นครีม ขอบเขียว 3XL (กปก) QC</v>
          </cell>
          <cell r="E4590">
            <v>0</v>
          </cell>
          <cell r="F4590">
            <v>890</v>
          </cell>
        </row>
        <row r="4591">
          <cell r="A4591" t="str">
            <v>QT1232-L</v>
          </cell>
          <cell r="B4591" t="str">
            <v>QT1232</v>
          </cell>
          <cell r="C4591" t="str">
            <v>ซาติน แขนสั้นขายาว น้องแกะ พื้นครีม ขอบเขียว L (กปก) QC</v>
          </cell>
          <cell r="E4591">
            <v>0</v>
          </cell>
          <cell r="F4591">
            <v>890</v>
          </cell>
        </row>
        <row r="4592">
          <cell r="A4592" t="str">
            <v>QT1232-XL</v>
          </cell>
          <cell r="B4592" t="str">
            <v>QT1232</v>
          </cell>
          <cell r="C4592" t="str">
            <v>ซาติน แขนสั้นขายาว น้องแกะ พื้นครีม ขอบเขียว XL (กปก) QC</v>
          </cell>
          <cell r="E4592">
            <v>0</v>
          </cell>
          <cell r="F4592">
            <v>890</v>
          </cell>
        </row>
        <row r="4593">
          <cell r="A4593" t="str">
            <v>QT1234-2XL</v>
          </cell>
          <cell r="B4593" t="str">
            <v>QT1234</v>
          </cell>
          <cell r="C4593" t="str">
            <v>ซาติน แขนสั้นขายาว หนูน้อย sweet dream 2XL (กปก) QC</v>
          </cell>
          <cell r="E4593">
            <v>0</v>
          </cell>
          <cell r="F4593">
            <v>890</v>
          </cell>
        </row>
        <row r="4594">
          <cell r="A4594" t="str">
            <v>QT1234-L</v>
          </cell>
          <cell r="B4594" t="str">
            <v>QT1234</v>
          </cell>
          <cell r="C4594" t="str">
            <v>ซาติน แขนสั้นขายาว หนูน้อย sweet dream L (กปก) QC</v>
          </cell>
          <cell r="E4594">
            <v>0</v>
          </cell>
          <cell r="F4594">
            <v>890</v>
          </cell>
        </row>
        <row r="4595">
          <cell r="A4595" t="str">
            <v>QT4000-L</v>
          </cell>
          <cell r="B4595" t="str">
            <v>QT4000</v>
          </cell>
          <cell r="C4595" t="str">
            <v>ซาติน แขนสั้นขายาว Muslin dark brown L (กปก) QC</v>
          </cell>
          <cell r="E4595">
            <v>0</v>
          </cell>
          <cell r="F4595">
            <v>890</v>
          </cell>
        </row>
        <row r="4596">
          <cell r="A4596" t="str">
            <v>QT4001-L</v>
          </cell>
          <cell r="B4596" t="str">
            <v>QT4001</v>
          </cell>
          <cell r="C4596" t="str">
            <v>ซาติน แขนสั้นขายาว Muslin green mermaid L (กปก) QC</v>
          </cell>
          <cell r="E4596">
            <v>0</v>
          </cell>
          <cell r="F4596">
            <v>890</v>
          </cell>
        </row>
        <row r="4597">
          <cell r="A4597" t="str">
            <v>QT4002-L</v>
          </cell>
          <cell r="B4597" t="str">
            <v>QT4002</v>
          </cell>
          <cell r="C4597" t="str">
            <v>ซาติน แขนสั้นขายาว Muslin vanila L (กปก) QC</v>
          </cell>
          <cell r="E4597">
            <v>0</v>
          </cell>
          <cell r="F4597">
            <v>890</v>
          </cell>
        </row>
        <row r="4598">
          <cell r="A4598" t="str">
            <v>QT4003-2XL</v>
          </cell>
          <cell r="B4598" t="str">
            <v>QT4003</v>
          </cell>
          <cell r="C4598" t="str">
            <v>ซาติน แขนสั้นขายาว Muslin wine 2XL (กปก) QC</v>
          </cell>
          <cell r="E4598">
            <v>0</v>
          </cell>
          <cell r="F4598">
            <v>890</v>
          </cell>
        </row>
        <row r="4599">
          <cell r="A4599" t="str">
            <v>QT4003-XL</v>
          </cell>
          <cell r="B4599" t="str">
            <v>QT4003</v>
          </cell>
          <cell r="C4599" t="str">
            <v>ซาติน แขนสั้นขายาว Muslin wine XL (กปก) QC</v>
          </cell>
          <cell r="E4599">
            <v>0</v>
          </cell>
          <cell r="F4599">
            <v>890</v>
          </cell>
        </row>
        <row r="4600">
          <cell r="A4600" t="str">
            <v>QT4005-L</v>
          </cell>
          <cell r="B4600" t="str">
            <v>QT4005</v>
          </cell>
          <cell r="C4600" t="str">
            <v>ซาติน แขนสั้นขายาว Muslin ม่วงอ่อน  L (กปก) QC</v>
          </cell>
          <cell r="E4600">
            <v>0</v>
          </cell>
          <cell r="F4600">
            <v>890</v>
          </cell>
        </row>
        <row r="4601">
          <cell r="A4601" t="str">
            <v>QT4006-XL</v>
          </cell>
          <cell r="B4601" t="str">
            <v>QT4006</v>
          </cell>
          <cell r="C4601" t="str">
            <v>ซาติน แขนสั้นขายาว Muslin pinky XL (กปก) QC</v>
          </cell>
          <cell r="E4601">
            <v>0</v>
          </cell>
          <cell r="F4601">
            <v>890</v>
          </cell>
        </row>
        <row r="4602">
          <cell r="A4602" t="str">
            <v>QU0347-L</v>
          </cell>
          <cell r="B4602" t="str">
            <v>QU347</v>
          </cell>
          <cell r="C4602" t="str">
            <v>ซาติน แขนยาวขาสั้น Coral Sea L QC</v>
          </cell>
          <cell r="E4602">
            <v>0</v>
          </cell>
          <cell r="F4602">
            <v>890</v>
          </cell>
        </row>
        <row r="4603">
          <cell r="A4603" t="str">
            <v>QU0347-M</v>
          </cell>
          <cell r="B4603" t="str">
            <v>QU347</v>
          </cell>
          <cell r="C4603" t="str">
            <v>ซาติน แขนยาวขาสั้น Coral Sea M หลุด QC</v>
          </cell>
          <cell r="E4603">
            <v>0</v>
          </cell>
          <cell r="F4603">
            <v>890</v>
          </cell>
        </row>
        <row r="4604">
          <cell r="A4604" t="str">
            <v>QU0347-XL</v>
          </cell>
          <cell r="B4604" t="str">
            <v>QU347</v>
          </cell>
          <cell r="C4604" t="str">
            <v>ซาติน แขนยาวขาสั้น Coral Sea XL หลุด QC</v>
          </cell>
          <cell r="E4604">
            <v>0</v>
          </cell>
          <cell r="F4604">
            <v>890</v>
          </cell>
        </row>
        <row r="4605">
          <cell r="A4605" t="str">
            <v>QU0360-L</v>
          </cell>
          <cell r="B4605" t="str">
            <v>QU360</v>
          </cell>
          <cell r="C4605" t="str">
            <v>ซาติน แขนยาวขาสั้น Comic book L QC</v>
          </cell>
          <cell r="E4605">
            <v>0</v>
          </cell>
          <cell r="F4605">
            <v>890</v>
          </cell>
        </row>
        <row r="4606">
          <cell r="A4606" t="str">
            <v>QU1001-L</v>
          </cell>
          <cell r="B4606" t="str">
            <v>QU1001</v>
          </cell>
          <cell r="C4606" t="str">
            <v>ซาติน แขนยาวขาสั้น บัวชมพู พื้นม่วง L (กปก) QC</v>
          </cell>
          <cell r="E4606">
            <v>0</v>
          </cell>
          <cell r="F4606">
            <v>890</v>
          </cell>
        </row>
        <row r="4607">
          <cell r="A4607" t="str">
            <v>QU1001-M</v>
          </cell>
          <cell r="B4607" t="str">
            <v>QU1001</v>
          </cell>
          <cell r="C4607" t="str">
            <v>ซาติน แขนยาวขาสั้น บัวชมพู พื้นม่วง M (กปก) QC</v>
          </cell>
          <cell r="E4607">
            <v>0</v>
          </cell>
          <cell r="F4607">
            <v>890</v>
          </cell>
        </row>
        <row r="4608">
          <cell r="A4608" t="str">
            <v>QU1091-2XL</v>
          </cell>
          <cell r="B4608" t="str">
            <v>QU1091</v>
          </cell>
          <cell r="C4608" t="str">
            <v>ซาติน แขนยาวขาสั้น ทูโทน แดงชมพู 2XL (กปก) QC</v>
          </cell>
          <cell r="E4608">
            <v>0</v>
          </cell>
          <cell r="F4608">
            <v>890</v>
          </cell>
        </row>
        <row r="4609">
          <cell r="A4609" t="str">
            <v>QU1091-L</v>
          </cell>
          <cell r="B4609" t="str">
            <v>QU1091</v>
          </cell>
          <cell r="C4609" t="str">
            <v>ซาติน แขนยาวขาสั้น ทูโทน แดงชมพู L (กปก) QC</v>
          </cell>
          <cell r="E4609">
            <v>0</v>
          </cell>
          <cell r="F4609">
            <v>890</v>
          </cell>
        </row>
        <row r="4610">
          <cell r="A4610" t="str">
            <v>QU1091-XL</v>
          </cell>
          <cell r="B4610" t="str">
            <v>QU1091</v>
          </cell>
          <cell r="C4610" t="str">
            <v>ซาติน แขนยาวขาสั้น ทูโทน แดงชมพู XL (กปก) QC</v>
          </cell>
          <cell r="E4610">
            <v>0</v>
          </cell>
          <cell r="F4610">
            <v>890</v>
          </cell>
        </row>
        <row r="4611">
          <cell r="A4611" t="str">
            <v>QU1092-2XL</v>
          </cell>
          <cell r="B4611" t="str">
            <v>QU1092</v>
          </cell>
          <cell r="C4611" t="str">
            <v>ซาติน แขนยาวขาสั้น ทูโทน น้ำเงินเขียว 2XL (กปก) QC</v>
          </cell>
          <cell r="E4611">
            <v>0</v>
          </cell>
          <cell r="F4611">
            <v>890</v>
          </cell>
        </row>
        <row r="4612">
          <cell r="A4612" t="str">
            <v>QU1092-XL</v>
          </cell>
          <cell r="B4612" t="str">
            <v>QU1092</v>
          </cell>
          <cell r="C4612" t="str">
            <v>ซาติน แขนยาวขาสั้น ทูโทน น้ำเงินเขียว XL (กปก) QC</v>
          </cell>
          <cell r="E4612">
            <v>0</v>
          </cell>
          <cell r="F4612">
            <v>890</v>
          </cell>
        </row>
        <row r="4613">
          <cell r="A4613" t="str">
            <v>QU1093-2XL</v>
          </cell>
          <cell r="B4613" t="str">
            <v>QU1093</v>
          </cell>
          <cell r="C4613" t="str">
            <v>ซาติน แขนยาวขาสั้น พาสเทลชมพู ส้มเหลือง 2XL (กปก) QC</v>
          </cell>
          <cell r="E4613">
            <v>0</v>
          </cell>
          <cell r="F4613">
            <v>890</v>
          </cell>
        </row>
        <row r="4614">
          <cell r="A4614" t="str">
            <v>QU1093-L</v>
          </cell>
          <cell r="B4614" t="str">
            <v>QU1093</v>
          </cell>
          <cell r="C4614" t="str">
            <v>ซาติน แขนยาวขาสั้น พาสเทลชมพู ส้มเหลือง L (กปก) QC</v>
          </cell>
          <cell r="E4614">
            <v>0</v>
          </cell>
          <cell r="F4614">
            <v>890</v>
          </cell>
        </row>
        <row r="4615">
          <cell r="A4615" t="str">
            <v>QU1093-XL</v>
          </cell>
          <cell r="B4615" t="str">
            <v>QU1093</v>
          </cell>
          <cell r="C4615" t="str">
            <v>ซาติน แขนยาวขาสั้น พาสเทลชมพู ส้มเหลือง XL (กปก) QC</v>
          </cell>
          <cell r="E4615">
            <v>0</v>
          </cell>
          <cell r="F4615">
            <v>890</v>
          </cell>
        </row>
        <row r="4616">
          <cell r="A4616" t="str">
            <v>QU1094-2XL</v>
          </cell>
          <cell r="B4616" t="str">
            <v>QU1094</v>
          </cell>
          <cell r="C4616" t="str">
            <v>ซาติน แขนยาวขาสั้น ทูโทน เขียวชมพู 2XL (กปก) QC</v>
          </cell>
          <cell r="E4616">
            <v>0</v>
          </cell>
          <cell r="F4616">
            <v>890</v>
          </cell>
        </row>
        <row r="4617">
          <cell r="A4617" t="str">
            <v>QU1094-L</v>
          </cell>
          <cell r="B4617" t="str">
            <v>QU1094</v>
          </cell>
          <cell r="C4617" t="str">
            <v>ซาติน แขนยาวขาสั้น ทูโทน เขียวชมพู L (กปก) QC</v>
          </cell>
          <cell r="E4617">
            <v>0</v>
          </cell>
          <cell r="F4617">
            <v>890</v>
          </cell>
        </row>
        <row r="4618">
          <cell r="A4618" t="str">
            <v>QU1094-XL</v>
          </cell>
          <cell r="B4618" t="str">
            <v>QU1094</v>
          </cell>
          <cell r="C4618" t="str">
            <v>ซาติน แขนยาวขาสั้น ทูโทน เขียวชมพู XL (กปก) QC</v>
          </cell>
          <cell r="E4618">
            <v>0</v>
          </cell>
          <cell r="F4618">
            <v>890</v>
          </cell>
        </row>
        <row r="4619">
          <cell r="A4619" t="str">
            <v>QU1127-XL</v>
          </cell>
          <cell r="B4619" t="str">
            <v>QU1127</v>
          </cell>
          <cell r="C4619" t="str">
            <v>ซาติน แขนยาวขาสั้น สีรุ้ง พาสเทล XL (กปก) QC</v>
          </cell>
          <cell r="E4619">
            <v>0</v>
          </cell>
          <cell r="F4619">
            <v>890</v>
          </cell>
        </row>
        <row r="4620">
          <cell r="A4620" t="str">
            <v>QV0330-2XL</v>
          </cell>
          <cell r="B4620" t="str">
            <v>QV330</v>
          </cell>
          <cell r="C4620" t="str">
            <v>ซาติน แขนสั้นขายาว ปีกัสโซ่ OVERSIZE 2XL QC</v>
          </cell>
          <cell r="E4620">
            <v>0</v>
          </cell>
          <cell r="F4620">
            <v>890</v>
          </cell>
        </row>
        <row r="4621">
          <cell r="A4621" t="str">
            <v>QV0330-3XL</v>
          </cell>
          <cell r="B4621" t="str">
            <v>QV330</v>
          </cell>
          <cell r="C4621" t="str">
            <v>ซาติน แขนสั้นขายาว ปีกัสโซ่ OVERSIZE 3XL QC</v>
          </cell>
          <cell r="E4621">
            <v>0</v>
          </cell>
          <cell r="F4621">
            <v>890</v>
          </cell>
        </row>
        <row r="4622">
          <cell r="A4622" t="str">
            <v>QV0330-L</v>
          </cell>
          <cell r="B4622" t="str">
            <v>QV330</v>
          </cell>
          <cell r="C4622" t="str">
            <v>ซาติน แขนสั้นขายาว ปีกัสโซ่ OVERSIZE L QC</v>
          </cell>
          <cell r="E4622">
            <v>0</v>
          </cell>
          <cell r="F4622">
            <v>890</v>
          </cell>
        </row>
        <row r="4623">
          <cell r="A4623" t="str">
            <v>QV0330-M</v>
          </cell>
          <cell r="B4623" t="str">
            <v>QV330</v>
          </cell>
          <cell r="C4623" t="str">
            <v>ซาติน แขนสั้นขายาว ปีกัสโซ่ OVERSIZE M QC</v>
          </cell>
          <cell r="E4623">
            <v>0</v>
          </cell>
          <cell r="F4623">
            <v>890</v>
          </cell>
        </row>
        <row r="4624">
          <cell r="A4624" t="str">
            <v>QV0330-XL</v>
          </cell>
          <cell r="B4624" t="str">
            <v>QV330</v>
          </cell>
          <cell r="C4624" t="str">
            <v>ซาติน แขนสั้นขายาว ปีกัสโซ่ OVERSIZE XL QC</v>
          </cell>
          <cell r="E4624">
            <v>0</v>
          </cell>
          <cell r="F4624">
            <v>890</v>
          </cell>
        </row>
        <row r="4625">
          <cell r="A4625" t="str">
            <v>QV1085-2XL</v>
          </cell>
          <cell r="B4625" t="str">
            <v>QV1085</v>
          </cell>
          <cell r="C4625" t="str">
            <v>ซาติน แขนสั้นขายาว Flower Red พื้นครีม 2XL (กปก) QC</v>
          </cell>
          <cell r="E4625">
            <v>0</v>
          </cell>
          <cell r="F4625">
            <v>890</v>
          </cell>
        </row>
        <row r="4626">
          <cell r="A4626" t="str">
            <v>QV1085-L</v>
          </cell>
          <cell r="B4626" t="str">
            <v>QV1085</v>
          </cell>
          <cell r="C4626" t="str">
            <v>ซาติน แขนสั้นขายาว Flower Red พื้นครีม L (กปก) QC</v>
          </cell>
          <cell r="E4626">
            <v>0</v>
          </cell>
          <cell r="F4626">
            <v>890</v>
          </cell>
        </row>
        <row r="4627">
          <cell r="A4627" t="str">
            <v>QV1085-M</v>
          </cell>
          <cell r="B4627" t="str">
            <v>QV1085</v>
          </cell>
          <cell r="C4627" t="str">
            <v>ซาติน แขนสั้นขายาว Flower Red พื้นครีม M (กปก) QC</v>
          </cell>
          <cell r="E4627">
            <v>0</v>
          </cell>
          <cell r="F4627">
            <v>890</v>
          </cell>
        </row>
        <row r="4628">
          <cell r="A4628" t="str">
            <v>QV1085-XL</v>
          </cell>
          <cell r="B4628" t="str">
            <v>QV1085</v>
          </cell>
          <cell r="C4628" t="str">
            <v>ซาติน แขนสั้นขายาว Flower Red พื้นครีม XL (กปก) QC</v>
          </cell>
          <cell r="E4628">
            <v>0</v>
          </cell>
          <cell r="F4628">
            <v>890</v>
          </cell>
        </row>
        <row r="4629">
          <cell r="A4629" t="str">
            <v>QV1086-2XL</v>
          </cell>
          <cell r="B4629" t="str">
            <v>QV1086</v>
          </cell>
          <cell r="C4629" t="str">
            <v>ซาติน แขนสั้นขายาว Flower Blue พื้นครีม 2XL (กปก) QC</v>
          </cell>
          <cell r="E4629">
            <v>0</v>
          </cell>
          <cell r="F4629">
            <v>890</v>
          </cell>
        </row>
        <row r="4630">
          <cell r="A4630" t="str">
            <v>QV1086-L</v>
          </cell>
          <cell r="B4630" t="str">
            <v>QV1086</v>
          </cell>
          <cell r="C4630" t="str">
            <v>ซาติน แขนสั้นขายาว Flower Blue พื้นครีม L (กปก) QC</v>
          </cell>
          <cell r="E4630">
            <v>0</v>
          </cell>
          <cell r="F4630">
            <v>890</v>
          </cell>
        </row>
        <row r="4631">
          <cell r="A4631" t="str">
            <v>QV1086-M</v>
          </cell>
          <cell r="B4631" t="str">
            <v>QV1086</v>
          </cell>
          <cell r="C4631" t="str">
            <v>ซาติน แขนสั้นขายาว Flower Blue พื้นครีม M (กปก) QC</v>
          </cell>
          <cell r="E4631">
            <v>0</v>
          </cell>
          <cell r="F4631">
            <v>890</v>
          </cell>
        </row>
        <row r="4632">
          <cell r="A4632" t="str">
            <v>QV1086-XL</v>
          </cell>
          <cell r="B4632" t="str">
            <v>QV1086</v>
          </cell>
          <cell r="C4632" t="str">
            <v>ซาติน แขนสั้นขายาว Flower Blue พื้นครีม XL (กปก) QC</v>
          </cell>
          <cell r="E4632">
            <v>0</v>
          </cell>
          <cell r="F4632">
            <v>890</v>
          </cell>
        </row>
        <row r="4633">
          <cell r="A4633" t="str">
            <v>QV1087-L</v>
          </cell>
          <cell r="B4633" t="str">
            <v>QV1087</v>
          </cell>
          <cell r="C4633" t="str">
            <v>ซาติน แขนสั้นขายาว Flower White&amp;Brown พื้นครีม L (กปก) QC</v>
          </cell>
          <cell r="E4633">
            <v>0</v>
          </cell>
          <cell r="F4633">
            <v>890</v>
          </cell>
        </row>
        <row r="4634">
          <cell r="A4634" t="str">
            <v>QV1087-XL</v>
          </cell>
          <cell r="B4634" t="str">
            <v>QV1087</v>
          </cell>
          <cell r="C4634" t="str">
            <v>ซาติน แขนสั้นขายาว Flower White&amp;Brown พื้นครีม XL (กปก) QC</v>
          </cell>
          <cell r="E4634">
            <v>0</v>
          </cell>
          <cell r="F4634">
            <v>890</v>
          </cell>
        </row>
        <row r="4635">
          <cell r="A4635" t="str">
            <v>QV1088-2XL</v>
          </cell>
          <cell r="B4635" t="str">
            <v>QV1088</v>
          </cell>
          <cell r="C4635" t="str">
            <v>ซาติน แขนสั้นขายาว Flower Pink พื้นครีม 2XL (กปก) QC</v>
          </cell>
          <cell r="E4635">
            <v>0</v>
          </cell>
          <cell r="F4635">
            <v>890</v>
          </cell>
        </row>
        <row r="4636">
          <cell r="A4636" t="str">
            <v>QV1088-L</v>
          </cell>
          <cell r="B4636" t="str">
            <v>QV1088</v>
          </cell>
          <cell r="C4636" t="str">
            <v>ซาติน แขนสั้นขายาว Flower Pink พื้นครีม L (กปก) QC</v>
          </cell>
          <cell r="E4636">
            <v>0</v>
          </cell>
          <cell r="F4636">
            <v>890</v>
          </cell>
        </row>
        <row r="4637">
          <cell r="A4637" t="str">
            <v>QV1088-M</v>
          </cell>
          <cell r="B4637" t="str">
            <v>QV1088</v>
          </cell>
          <cell r="C4637" t="str">
            <v>ซาติน แขนสั้นขายาว Flower Pink พื้นครีม M (กปก) QC</v>
          </cell>
          <cell r="E4637">
            <v>0</v>
          </cell>
          <cell r="F4637">
            <v>890</v>
          </cell>
        </row>
        <row r="4638">
          <cell r="A4638" t="str">
            <v>QV1088-XL</v>
          </cell>
          <cell r="B4638" t="str">
            <v>QV1088</v>
          </cell>
          <cell r="C4638" t="str">
            <v>ซาติน แขนสั้นขายาว Flower Pink พื้นครีม XL (กปก) QC</v>
          </cell>
          <cell r="E4638">
            <v>0</v>
          </cell>
          <cell r="F4638">
            <v>890</v>
          </cell>
        </row>
        <row r="4639">
          <cell r="A4639" t="str">
            <v>QV1179-M</v>
          </cell>
          <cell r="B4639" t="str">
            <v>QV1179</v>
          </cell>
          <cell r="C4639" t="str">
            <v>ซาติน แขนสั้นขายาว หมีเทา พื้นเขียว M (กปก) QC</v>
          </cell>
          <cell r="E4639">
            <v>0</v>
          </cell>
          <cell r="F4639">
            <v>990</v>
          </cell>
        </row>
        <row r="4640">
          <cell r="A4640" t="str">
            <v>QV1189-2XL</v>
          </cell>
          <cell r="B4640" t="str">
            <v>QV1189</v>
          </cell>
          <cell r="C4640" t="str">
            <v>ซาติน แขนสั้นขายาว เสือดาว พื้นน้ำเงิน OVERSIZE (กปก) 2XL QC</v>
          </cell>
          <cell r="E4640">
            <v>0</v>
          </cell>
          <cell r="F4640">
            <v>990</v>
          </cell>
        </row>
        <row r="4641">
          <cell r="A4641" t="str">
            <v>QV1189-L</v>
          </cell>
          <cell r="B4641" t="str">
            <v>QV1189</v>
          </cell>
          <cell r="C4641" t="str">
            <v>ซาติน แขนสั้นขายาว เสือดาว พื้นน้ำเงิน OVERSIZE (กปก) L QC</v>
          </cell>
          <cell r="E4641">
            <v>0</v>
          </cell>
          <cell r="F4641">
            <v>990</v>
          </cell>
        </row>
        <row r="4642">
          <cell r="A4642" t="str">
            <v>QV1208-3XL</v>
          </cell>
          <cell r="B4642" t="str">
            <v>QV1208</v>
          </cell>
          <cell r="C4642" t="str">
            <v>SV1208-2XL ซาติน แขนสั้นขายาว Tiger flower พื้นดำ (กปก) 3XL QC</v>
          </cell>
          <cell r="E4642">
            <v>0</v>
          </cell>
          <cell r="F4642">
            <v>990</v>
          </cell>
        </row>
        <row r="4643">
          <cell r="A4643" t="str">
            <v>QV1219-L</v>
          </cell>
          <cell r="B4643" t="str">
            <v>QV1219</v>
          </cell>
          <cell r="C4643" t="str">
            <v>ซาติน แขนสั้นขายาว กระต่ายขาว พื้นชมพู L (กปก) QC</v>
          </cell>
          <cell r="E4643">
            <v>0</v>
          </cell>
          <cell r="F4643">
            <v>990</v>
          </cell>
        </row>
        <row r="4644">
          <cell r="A4644" t="str">
            <v>QV1219-M</v>
          </cell>
          <cell r="B4644" t="str">
            <v>QV1219</v>
          </cell>
          <cell r="C4644" t="str">
            <v>ซาติน แขนสั้นขายาว กระต่ายขาว พื้นชมพู M (กปก) QC</v>
          </cell>
          <cell r="E4644">
            <v>0</v>
          </cell>
          <cell r="F4644">
            <v>990</v>
          </cell>
        </row>
        <row r="4645">
          <cell r="A4645" t="str">
            <v>QV1219-XL</v>
          </cell>
          <cell r="B4645" t="str">
            <v>QV1219</v>
          </cell>
          <cell r="C4645" t="str">
            <v>ซาติน แขนสั้นขายาว กระต่ายขาว พื้นชมพู XL (กปก) QC</v>
          </cell>
          <cell r="E4645">
            <v>0</v>
          </cell>
          <cell r="F4645">
            <v>990</v>
          </cell>
        </row>
        <row r="4646">
          <cell r="A4646" t="str">
            <v>QV1220-L</v>
          </cell>
          <cell r="B4646" t="str">
            <v>QV1220</v>
          </cell>
          <cell r="C4646" t="str">
            <v>ซาติน แขนสั้นขายาว อิฐบ็อกเหลือง Oversize L (กปก) QC</v>
          </cell>
          <cell r="E4646">
            <v>0</v>
          </cell>
          <cell r="F4646">
            <v>890</v>
          </cell>
        </row>
        <row r="4647">
          <cell r="A4647" t="str">
            <v>QV1220-M</v>
          </cell>
          <cell r="B4647" t="str">
            <v>QV1220</v>
          </cell>
          <cell r="C4647" t="str">
            <v>ซาติน แขนสั้นขายาว อิฐบ็อกเหลือง Oversize M (กปก) QC</v>
          </cell>
          <cell r="E4647">
            <v>0</v>
          </cell>
          <cell r="F4647">
            <v>890</v>
          </cell>
        </row>
        <row r="4648">
          <cell r="A4648" t="str">
            <v>QV1222-L</v>
          </cell>
          <cell r="B4648" t="str">
            <v>QV1222</v>
          </cell>
          <cell r="C4648" t="str">
            <v>ซาติน แขนสั้นขายาว The sun&amp;The moon พื้นฟ้า OVERSIZE L QC</v>
          </cell>
          <cell r="E4648">
            <v>0</v>
          </cell>
          <cell r="F4648">
            <v>990</v>
          </cell>
        </row>
        <row r="4649">
          <cell r="A4649" t="str">
            <v>QV1222-XL</v>
          </cell>
          <cell r="B4649" t="str">
            <v>QV1222</v>
          </cell>
          <cell r="C4649" t="str">
            <v>ซาติน แขนสั้นขายาว The sun&amp;The moon พื้นฟ้า OVERSIZE XL QC</v>
          </cell>
          <cell r="E4649">
            <v>0</v>
          </cell>
          <cell r="F4649">
            <v>990</v>
          </cell>
        </row>
        <row r="4650">
          <cell r="A4650" t="str">
            <v>QV1227-2XL</v>
          </cell>
          <cell r="B4650" t="str">
            <v>QV1227</v>
          </cell>
          <cell r="C4650" t="str">
            <v>ซาติน แขนสั้นขายาว ฟราวเวอร์ การฟฟิก ปกส้ม โอเวอร์ไซส์ 2XL (กปก) QC</v>
          </cell>
          <cell r="E4650">
            <v>0</v>
          </cell>
          <cell r="F4650">
            <v>890</v>
          </cell>
        </row>
        <row r="4651">
          <cell r="A4651" t="str">
            <v>QV1227-3XL</v>
          </cell>
          <cell r="B4651" t="str">
            <v>QV1227</v>
          </cell>
          <cell r="C4651" t="str">
            <v>ซาติน แขนสั้นขายาว ฟราวเวอร์ การฟฟิก ปกส้ม โอเวอร์ไซส์ 3XL (กปก) QC</v>
          </cell>
          <cell r="E4651">
            <v>0</v>
          </cell>
          <cell r="F4651">
            <v>890</v>
          </cell>
        </row>
        <row r="4652">
          <cell r="A4652" t="str">
            <v>QV1227-M</v>
          </cell>
          <cell r="B4652" t="str">
            <v>QV1227</v>
          </cell>
          <cell r="C4652" t="str">
            <v>ซาติน แขนสั้นขายาว ฟราวเวอร์ การฟฟิก ปกส้ม โอเวอร์ไซส์ M (กปก) QC</v>
          </cell>
          <cell r="E4652">
            <v>0</v>
          </cell>
          <cell r="F4652">
            <v>890</v>
          </cell>
        </row>
        <row r="4653">
          <cell r="A4653" t="str">
            <v>QV1227-XL</v>
          </cell>
          <cell r="B4653" t="str">
            <v>QV1227</v>
          </cell>
          <cell r="C4653" t="str">
            <v>ซาติน แขนสั้นขายาว ฟราวเวอร์ การฟฟิก ปกส้ม โอเวอร์ไซส์ XL (กปก) QC</v>
          </cell>
          <cell r="E4653">
            <v>0</v>
          </cell>
          <cell r="F4653">
            <v>890</v>
          </cell>
        </row>
        <row r="4654">
          <cell r="A4654" t="str">
            <v>QV1233-2XL</v>
          </cell>
          <cell r="B4654" t="str">
            <v>QV1233</v>
          </cell>
          <cell r="C4654" t="str">
            <v>ซาติน แขนสั้นขายาว the sun พื้นครีม oversize 2XL (กปก) QC</v>
          </cell>
          <cell r="E4654">
            <v>0</v>
          </cell>
          <cell r="F4654">
            <v>890</v>
          </cell>
        </row>
        <row r="4655">
          <cell r="A4655" t="str">
            <v>QV1233-3XL</v>
          </cell>
          <cell r="B4655" t="str">
            <v>QV1233</v>
          </cell>
          <cell r="C4655" t="str">
            <v>ซาติน แขนสั้นขายาว the sun พื้นครีม oversize 3XL (กปก) QC</v>
          </cell>
          <cell r="E4655">
            <v>0</v>
          </cell>
          <cell r="F4655">
            <v>890</v>
          </cell>
        </row>
        <row r="4656">
          <cell r="A4656" t="str">
            <v>QV1233-XL</v>
          </cell>
          <cell r="B4656" t="str">
            <v>QV1233</v>
          </cell>
          <cell r="C4656" t="str">
            <v>ซาติน แขนสั้นขายาว the sun พื้นครีม oversize XL (กปก) QC</v>
          </cell>
          <cell r="E4656">
            <v>0</v>
          </cell>
          <cell r="F4656">
            <v>890</v>
          </cell>
        </row>
        <row r="4657">
          <cell r="A4657" t="str">
            <v>QW0007-2XL</v>
          </cell>
          <cell r="B4657" t="str">
            <v>QW7</v>
          </cell>
          <cell r="C4657" t="str">
            <v>ซาติน แขนสั้นขาสั้น ควีน สตรอเบอร์รี่ พื้นชมพู Oversize 2XL QC</v>
          </cell>
          <cell r="E4657">
            <v>0</v>
          </cell>
          <cell r="F4657">
            <v>790</v>
          </cell>
        </row>
        <row r="4658">
          <cell r="A4658" t="str">
            <v>QW0007-3XL</v>
          </cell>
          <cell r="B4658" t="str">
            <v>QW7</v>
          </cell>
          <cell r="C4658" t="str">
            <v>ซาติน แขนสั้นขาสั้น ควีน สตรอเบอร์รี่ พื้นชมพู Oversize 3XL หลุด QC</v>
          </cell>
          <cell r="E4658">
            <v>0</v>
          </cell>
          <cell r="F4658">
            <v>790</v>
          </cell>
        </row>
        <row r="4659">
          <cell r="A4659" t="str">
            <v>QW0007-L</v>
          </cell>
          <cell r="B4659" t="str">
            <v>QW7</v>
          </cell>
          <cell r="C4659" t="str">
            <v>ซาติน แขนสั้นขาสั้น ควีน สตรอเบอร์รี่ พื้นชมพู Oversize L หลุด QC</v>
          </cell>
          <cell r="E4659">
            <v>0</v>
          </cell>
          <cell r="F4659">
            <v>790</v>
          </cell>
        </row>
        <row r="4660">
          <cell r="A4660" t="str">
            <v>QW0007-M</v>
          </cell>
          <cell r="B4660" t="str">
            <v>QW7</v>
          </cell>
          <cell r="C4660" t="str">
            <v>ซาติน แขนสั้นขาสั้น ควีน สตรอเบอร์รี่ พื้นชมพู Oversize M QC</v>
          </cell>
          <cell r="E4660">
            <v>0</v>
          </cell>
          <cell r="F4660">
            <v>790</v>
          </cell>
        </row>
        <row r="4661">
          <cell r="A4661" t="str">
            <v>QW0007-XL</v>
          </cell>
          <cell r="B4661" t="str">
            <v>QW7</v>
          </cell>
          <cell r="C4661" t="str">
            <v>ซาติน แขนสั้นขาสั้น ควีน สตรอเบอร์รี่ พื้นชมพู Oversize XL หลุด QC</v>
          </cell>
          <cell r="E4661">
            <v>0</v>
          </cell>
          <cell r="F4661">
            <v>790</v>
          </cell>
        </row>
        <row r="4662">
          <cell r="A4662" t="str">
            <v>QW0237-L</v>
          </cell>
          <cell r="B4662" t="str">
            <v>QW237</v>
          </cell>
          <cell r="C4662" t="str">
            <v>ซาติน แขนสั้นขาสั้น ภาพวาด  OVERSIZE L หลุด QC</v>
          </cell>
          <cell r="E4662">
            <v>0</v>
          </cell>
          <cell r="F4662">
            <v>790</v>
          </cell>
        </row>
        <row r="4663">
          <cell r="A4663" t="str">
            <v>QW0330-2XL</v>
          </cell>
          <cell r="B4663" t="str">
            <v>QW330</v>
          </cell>
          <cell r="C4663" t="str">
            <v>ซาติน แขนสั้นขาสั้น ปีกัสโซ่ OVERSIZE 2XL QC</v>
          </cell>
          <cell r="E4663">
            <v>0</v>
          </cell>
          <cell r="F4663">
            <v>790</v>
          </cell>
        </row>
        <row r="4664">
          <cell r="A4664" t="str">
            <v>QW0330-3XL</v>
          </cell>
          <cell r="B4664" t="str">
            <v>QW330</v>
          </cell>
          <cell r="C4664" t="str">
            <v>ซาติน แขนสั้นขาสั้น ปีกัสโซ่ OVERSIZE 3XL QC</v>
          </cell>
          <cell r="E4664">
            <v>0</v>
          </cell>
          <cell r="F4664">
            <v>790</v>
          </cell>
        </row>
        <row r="4665">
          <cell r="A4665" t="str">
            <v>QW0330-L</v>
          </cell>
          <cell r="B4665" t="str">
            <v>QW330</v>
          </cell>
          <cell r="C4665" t="str">
            <v>ซาติน แขนสั้นขาสั้น ปีกัสโซ่ OVERSIZE L QC</v>
          </cell>
          <cell r="E4665">
            <v>0</v>
          </cell>
          <cell r="F4665">
            <v>790</v>
          </cell>
        </row>
        <row r="4666">
          <cell r="A4666" t="str">
            <v>QW0330-M</v>
          </cell>
          <cell r="B4666" t="str">
            <v>QW330</v>
          </cell>
          <cell r="C4666" t="str">
            <v>ซาติน แขนสั้นขาสั้น ปีกัสโซ่ OVERSIZE M QC</v>
          </cell>
          <cell r="E4666">
            <v>0</v>
          </cell>
          <cell r="F4666">
            <v>790</v>
          </cell>
        </row>
        <row r="4667">
          <cell r="A4667" t="str">
            <v>QW0330-XL</v>
          </cell>
          <cell r="B4667" t="str">
            <v>QW330</v>
          </cell>
          <cell r="C4667" t="str">
            <v>ซาติน แขนสั้นขาสั้น ปีกัสโซ่ OVERSIZE XL QC</v>
          </cell>
          <cell r="E4667">
            <v>0</v>
          </cell>
          <cell r="F4667">
            <v>790</v>
          </cell>
        </row>
        <row r="4668">
          <cell r="A4668" t="str">
            <v>QW0349-M</v>
          </cell>
          <cell r="B4668" t="str">
            <v>QW349</v>
          </cell>
          <cell r="C4668" t="str">
            <v>ซาติน แขนสั้นขาสั้น The Witch M หลุด QC</v>
          </cell>
          <cell r="E4668">
            <v>0</v>
          </cell>
          <cell r="F4668">
            <v>790</v>
          </cell>
        </row>
        <row r="4669">
          <cell r="A4669" t="str">
            <v>QW0368-M</v>
          </cell>
          <cell r="B4669" t="str">
            <v>QW368</v>
          </cell>
          <cell r="C4669" t="str">
            <v>ซาติน แขนสั้นขาสั้น เสือ น้ำเงิน Oversize M หลุด QC</v>
          </cell>
          <cell r="E4669">
            <v>0</v>
          </cell>
          <cell r="F4669">
            <v>790</v>
          </cell>
        </row>
        <row r="4670">
          <cell r="A4670" t="str">
            <v>QW0891-XL</v>
          </cell>
          <cell r="B4670" t="str">
            <v>QW891</v>
          </cell>
          <cell r="C4670" t="str">
            <v>ซาติน แขนสั้นขาสั้น Sweety Rainbow OVERSIZE XL หลุด QC</v>
          </cell>
          <cell r="E4670">
            <v>0</v>
          </cell>
          <cell r="F4670">
            <v>790</v>
          </cell>
        </row>
        <row r="4671">
          <cell r="A4671" t="str">
            <v>QW0892-XL</v>
          </cell>
          <cell r="B4671" t="str">
            <v>QW892</v>
          </cell>
          <cell r="C4671" t="str">
            <v>ซาติน แขนสั้นขาสั้น เกสรดอกไม้ ไฟน้ำเงิน พื้นดำ ขอบแดง XL QC</v>
          </cell>
          <cell r="E4671">
            <v>0</v>
          </cell>
          <cell r="F4671">
            <v>790</v>
          </cell>
        </row>
        <row r="4672">
          <cell r="A4672" t="str">
            <v>QW1085-2XL</v>
          </cell>
          <cell r="B4672" t="str">
            <v>QW1085</v>
          </cell>
          <cell r="C4672" t="str">
            <v>ซาติน แขนสั้นขาสั้น Flower Red พื้นครีม 2XL (กปก) QC</v>
          </cell>
          <cell r="E4672">
            <v>0</v>
          </cell>
          <cell r="F4672">
            <v>790</v>
          </cell>
        </row>
        <row r="4673">
          <cell r="A4673" t="str">
            <v>QW1085-L</v>
          </cell>
          <cell r="B4673" t="str">
            <v>QW1085</v>
          </cell>
          <cell r="C4673" t="str">
            <v>ซาติน แขนสั้นขาสั้น Flower Red พื้นครีม L (กปก) QC</v>
          </cell>
          <cell r="E4673">
            <v>0</v>
          </cell>
          <cell r="F4673">
            <v>790</v>
          </cell>
        </row>
        <row r="4674">
          <cell r="A4674" t="str">
            <v>QW1085-M</v>
          </cell>
          <cell r="B4674" t="str">
            <v>QW1085</v>
          </cell>
          <cell r="C4674" t="str">
            <v>ซาติน แขนสั้นขาสั้น Flower Red พื้นครีม M (กปก) QC</v>
          </cell>
          <cell r="E4674">
            <v>0</v>
          </cell>
          <cell r="F4674">
            <v>790</v>
          </cell>
        </row>
        <row r="4675">
          <cell r="A4675" t="str">
            <v>QW1085-XL</v>
          </cell>
          <cell r="B4675" t="str">
            <v>QW1085</v>
          </cell>
          <cell r="C4675" t="str">
            <v>ซาติน แขนสั้นขาสั้น Flower Red พื้นครีม XL (กปก) QC</v>
          </cell>
          <cell r="E4675">
            <v>0</v>
          </cell>
          <cell r="F4675">
            <v>790</v>
          </cell>
        </row>
        <row r="4676">
          <cell r="A4676" t="str">
            <v>QW1086-2XL</v>
          </cell>
          <cell r="B4676" t="str">
            <v>QW1086</v>
          </cell>
          <cell r="C4676" t="str">
            <v>ซาติน แขนสั้นขาสั้น Flower Blue พื้นครีม 2XL (กปก) QC</v>
          </cell>
          <cell r="E4676">
            <v>0</v>
          </cell>
          <cell r="F4676">
            <v>790</v>
          </cell>
        </row>
        <row r="4677">
          <cell r="A4677" t="str">
            <v>QW1086-L</v>
          </cell>
          <cell r="B4677" t="str">
            <v>QW1086</v>
          </cell>
          <cell r="C4677" t="str">
            <v>ซาติน แขนสั้นขาสั้น Flower Blue พื้นครีม L (กปก) QC</v>
          </cell>
          <cell r="E4677">
            <v>0</v>
          </cell>
          <cell r="F4677">
            <v>790</v>
          </cell>
        </row>
        <row r="4678">
          <cell r="A4678" t="str">
            <v>QW1086-M</v>
          </cell>
          <cell r="B4678" t="str">
            <v>QW1086</v>
          </cell>
          <cell r="C4678" t="str">
            <v>ซาติน แขนสั้นขาสั้น Flower Blue พื้นครีม M (กปก) QC</v>
          </cell>
          <cell r="E4678">
            <v>0</v>
          </cell>
          <cell r="F4678">
            <v>790</v>
          </cell>
        </row>
        <row r="4679">
          <cell r="A4679" t="str">
            <v>QW1087-XL</v>
          </cell>
          <cell r="B4679" t="str">
            <v>QW1087</v>
          </cell>
          <cell r="C4679" t="str">
            <v>ซาติน แขนสั้นขาสั้น Flower White&amp;Brown พื้นครีม XL (กปก) QC</v>
          </cell>
          <cell r="E4679">
            <v>0</v>
          </cell>
          <cell r="F4679">
            <v>790</v>
          </cell>
        </row>
        <row r="4680">
          <cell r="A4680" t="str">
            <v>QW1088-2XL</v>
          </cell>
          <cell r="B4680" t="str">
            <v>QW1088</v>
          </cell>
          <cell r="C4680" t="str">
            <v>ซาติน แขนสั้นขาสั้น Flower Pink พื้นครีม 2XL (กปก) QC</v>
          </cell>
          <cell r="E4680">
            <v>0</v>
          </cell>
          <cell r="F4680">
            <v>790</v>
          </cell>
        </row>
        <row r="4681">
          <cell r="A4681" t="str">
            <v>QW1088-L</v>
          </cell>
          <cell r="B4681" t="str">
            <v>QW1088</v>
          </cell>
          <cell r="C4681" t="str">
            <v>ซาติน แขนสั้นขาสั้น Flower Pink พื้นครีม L (กปก) QC</v>
          </cell>
          <cell r="E4681">
            <v>0</v>
          </cell>
          <cell r="F4681">
            <v>790</v>
          </cell>
        </row>
        <row r="4682">
          <cell r="A4682" t="str">
            <v>QW1088-XL</v>
          </cell>
          <cell r="B4682" t="str">
            <v>QW1088</v>
          </cell>
          <cell r="C4682" t="str">
            <v>ซาติน แขนสั้นขาสั้น Flower Pink พื้นครีม XL (กปก) QC</v>
          </cell>
          <cell r="E4682">
            <v>0</v>
          </cell>
          <cell r="F4682">
            <v>790</v>
          </cell>
        </row>
        <row r="4683">
          <cell r="A4683" t="str">
            <v>QW1179-2XL</v>
          </cell>
          <cell r="B4683" t="str">
            <v>QW1179</v>
          </cell>
          <cell r="C4683" t="str">
            <v>ซาติน แขนสั้นขาสั้น หมีเทา พื้นเขียว 2XL QC</v>
          </cell>
          <cell r="E4683">
            <v>0</v>
          </cell>
          <cell r="F4683">
            <v>890</v>
          </cell>
        </row>
        <row r="4684">
          <cell r="A4684" t="str">
            <v>QW1179-L</v>
          </cell>
          <cell r="B4684" t="str">
            <v>QW1179</v>
          </cell>
          <cell r="C4684" t="str">
            <v>ซาติน แขนสั้นขาสั้น หมีเทา พื้นเขียว L QC</v>
          </cell>
          <cell r="E4684">
            <v>0</v>
          </cell>
          <cell r="F4684">
            <v>890</v>
          </cell>
        </row>
        <row r="4685">
          <cell r="A4685" t="str">
            <v>QW1189-2XL</v>
          </cell>
          <cell r="B4685" t="str">
            <v>QW1189</v>
          </cell>
          <cell r="C4685" t="str">
            <v>ซาติน แขนสั้นขาสั้น เสือดาว พื้นน้ำเงิน OVERSIZE 2XL QC</v>
          </cell>
          <cell r="E4685">
            <v>0</v>
          </cell>
          <cell r="F4685">
            <v>890</v>
          </cell>
        </row>
        <row r="4686">
          <cell r="A4686" t="str">
            <v>QW1189-L</v>
          </cell>
          <cell r="B4686" t="str">
            <v>QW1189</v>
          </cell>
          <cell r="C4686" t="str">
            <v>ซาติน แขนสั้นขาสั้น เสือดาว พื้นน้ำเงิน OVERSIZE L QC</v>
          </cell>
          <cell r="E4686">
            <v>0</v>
          </cell>
          <cell r="F4686">
            <v>890</v>
          </cell>
        </row>
        <row r="4687">
          <cell r="A4687" t="str">
            <v>QW1189-M</v>
          </cell>
          <cell r="B4687" t="str">
            <v>QW1189</v>
          </cell>
          <cell r="C4687" t="str">
            <v>ซาติน แขนสั้นขาสั้น เสือดาว พื้นน้ำเงิน OVERSIZE M QC</v>
          </cell>
          <cell r="E4687">
            <v>0</v>
          </cell>
          <cell r="F4687">
            <v>890</v>
          </cell>
        </row>
        <row r="4688">
          <cell r="A4688" t="str">
            <v>QW1208-M</v>
          </cell>
          <cell r="B4688" t="str">
            <v>QW1208</v>
          </cell>
          <cell r="C4688" t="str">
            <v>ซาติน แขนสั้นขาสั้น Tiger flower พื้นดำ M QC</v>
          </cell>
          <cell r="E4688">
            <v>0</v>
          </cell>
          <cell r="F4688">
            <v>890</v>
          </cell>
        </row>
        <row r="4689">
          <cell r="A4689" t="str">
            <v>QW1208-XL</v>
          </cell>
          <cell r="B4689" t="str">
            <v>QW1208</v>
          </cell>
          <cell r="C4689" t="str">
            <v>ซาติน แขนสั้นขาสั้น Tiger flower พื้นดำ XL QC</v>
          </cell>
          <cell r="E4689">
            <v>0</v>
          </cell>
          <cell r="F4689">
            <v>890</v>
          </cell>
        </row>
        <row r="4690">
          <cell r="A4690" t="str">
            <v>QW1219-L</v>
          </cell>
          <cell r="B4690" t="str">
            <v>QW1219</v>
          </cell>
          <cell r="C4690" t="str">
            <v>ซาติน แขนสั้นขาสั้น กระต่ายขาว พื้นชมพู L QC</v>
          </cell>
          <cell r="E4690">
            <v>0</v>
          </cell>
          <cell r="F4690">
            <v>890</v>
          </cell>
        </row>
        <row r="4691">
          <cell r="A4691" t="str">
            <v>QW1219-M</v>
          </cell>
          <cell r="B4691" t="str">
            <v>QW1219</v>
          </cell>
          <cell r="C4691" t="str">
            <v>ซาติน แขนสั้นขาสั้น กระต่ายขาว พื้นชมพู M QC</v>
          </cell>
          <cell r="E4691">
            <v>0</v>
          </cell>
          <cell r="F4691">
            <v>890</v>
          </cell>
        </row>
        <row r="4692">
          <cell r="A4692" t="str">
            <v>QW1219-XL</v>
          </cell>
          <cell r="B4692" t="str">
            <v>QW1219</v>
          </cell>
          <cell r="C4692" t="str">
            <v>ซาติน แขนสั้นขาสั้น กระต่ายขาว พื้นชมพู XL QC</v>
          </cell>
          <cell r="E4692">
            <v>0</v>
          </cell>
          <cell r="F4692">
            <v>890</v>
          </cell>
        </row>
        <row r="4693">
          <cell r="A4693" t="str">
            <v>QW1220-2XL</v>
          </cell>
          <cell r="B4693" t="str">
            <v>QW1220</v>
          </cell>
          <cell r="C4693" t="str">
            <v>ซาติน แขนสั้นขาสั้น อิฐบ็อกเหลือง Oversize 2XL QC</v>
          </cell>
          <cell r="E4693">
            <v>0</v>
          </cell>
          <cell r="F4693">
            <v>790</v>
          </cell>
        </row>
        <row r="4694">
          <cell r="A4694" t="str">
            <v>QW1222-2XL</v>
          </cell>
          <cell r="B4694" t="str">
            <v>QW1222</v>
          </cell>
          <cell r="C4694" t="str">
            <v>ซาติน แขนสั้นขาสั้น The sun&amp;The moon พื้นฟ้า OVERSIZE 2XL QC</v>
          </cell>
          <cell r="E4694">
            <v>0</v>
          </cell>
          <cell r="F4694">
            <v>890</v>
          </cell>
        </row>
        <row r="4695">
          <cell r="A4695" t="str">
            <v>QW1222-L</v>
          </cell>
          <cell r="B4695" t="str">
            <v>QW1222</v>
          </cell>
          <cell r="C4695" t="str">
            <v>ซาติน แขนสั้นขาสั้น The sun&amp;The moon พื้นฟ้า OVERSIZE L QC</v>
          </cell>
          <cell r="E4695">
            <v>0</v>
          </cell>
          <cell r="F4695">
            <v>890</v>
          </cell>
        </row>
        <row r="4696">
          <cell r="A4696" t="str">
            <v>QW1227-2XL</v>
          </cell>
          <cell r="B4696" t="str">
            <v>QW1227</v>
          </cell>
          <cell r="C4696" t="str">
            <v>ซาติน แขนสั้นขาสั้น ฟราวเวอร์ การฟฟิก ปกส้ม โอเวอร์ไซส์ 2XL QC</v>
          </cell>
          <cell r="E4696">
            <v>0</v>
          </cell>
          <cell r="F4696">
            <v>790</v>
          </cell>
        </row>
        <row r="4697">
          <cell r="A4697" t="str">
            <v>QW1227-3XL</v>
          </cell>
          <cell r="B4697" t="str">
            <v>QW1227</v>
          </cell>
          <cell r="C4697" t="str">
            <v>ซาติน แขนสั้นขาสั้น ฟราวเวอร์ การฟฟิก ปกส้ม โอเวอร์ไซส์ 3XL QC</v>
          </cell>
          <cell r="E4697">
            <v>0</v>
          </cell>
          <cell r="F4697">
            <v>790</v>
          </cell>
        </row>
        <row r="4698">
          <cell r="A4698" t="str">
            <v>QW1227-L</v>
          </cell>
          <cell r="B4698" t="str">
            <v>QW1227</v>
          </cell>
          <cell r="C4698" t="str">
            <v>ซาติน แขนสั้นขาสั้น ฟราวเวอร์ การฟฟิก ปกส้ม โอเวอร์ไซส์ L QC</v>
          </cell>
          <cell r="E4698">
            <v>0</v>
          </cell>
          <cell r="F4698">
            <v>790</v>
          </cell>
        </row>
        <row r="4699">
          <cell r="A4699" t="str">
            <v>QW1227-M</v>
          </cell>
          <cell r="B4699" t="str">
            <v>QW1227</v>
          </cell>
          <cell r="C4699" t="str">
            <v>ซาติน แขนสั้นขาสั้น ฟราวเวอร์ การฟฟิก ปกส้ม โอเวอร์ไซส์ M QC</v>
          </cell>
          <cell r="E4699">
            <v>0</v>
          </cell>
          <cell r="F4699">
            <v>790</v>
          </cell>
        </row>
        <row r="4700">
          <cell r="A4700" t="str">
            <v>QW1227-XL</v>
          </cell>
          <cell r="B4700" t="str">
            <v>QW1227</v>
          </cell>
          <cell r="C4700" t="str">
            <v>ซาติน แขนสั้นขาสั้น ฟราวเวอร์ การฟฟิก ปกส้ม โอเวอร์ไซส์ XL QC</v>
          </cell>
          <cell r="E4700">
            <v>0</v>
          </cell>
          <cell r="F4700">
            <v>790</v>
          </cell>
        </row>
        <row r="4701">
          <cell r="A4701" t="str">
            <v>QW1233-L</v>
          </cell>
          <cell r="B4701" t="str">
            <v>QW1233</v>
          </cell>
          <cell r="C4701" t="str">
            <v>ซาติน แขนสั้นขาสั้น the sun พื้นครีม oversize L QC</v>
          </cell>
          <cell r="E4701">
            <v>0</v>
          </cell>
          <cell r="F4701">
            <v>790</v>
          </cell>
        </row>
        <row r="4702">
          <cell r="A4702" t="str">
            <v>QW1233-M</v>
          </cell>
          <cell r="B4702" t="str">
            <v>QW1233</v>
          </cell>
          <cell r="C4702" t="str">
            <v>ซาติน แขนสั้นขาสั้น the sun พื้นครีม oversize M QC</v>
          </cell>
          <cell r="E4702">
            <v>0</v>
          </cell>
          <cell r="F4702">
            <v>790</v>
          </cell>
        </row>
        <row r="4703">
          <cell r="A4703" t="str">
            <v>QW1233-XL</v>
          </cell>
          <cell r="B4703" t="str">
            <v>QW1233</v>
          </cell>
          <cell r="C4703" t="str">
            <v>ซาติน แขนสั้นขาสั้น the sun พื้นครีม oversize XL QC</v>
          </cell>
          <cell r="E4703">
            <v>0</v>
          </cell>
          <cell r="F4703">
            <v>790</v>
          </cell>
        </row>
        <row r="4704">
          <cell r="A4704" t="str">
            <v>QX0024-M</v>
          </cell>
          <cell r="B4704" t="str">
            <v>QX24</v>
          </cell>
          <cell r="C4704" t="str">
            <v>ซาติน เสื้อคลุม แขนสั้น สายเดี่ยว เสือขาว ลูกไม้ M QC</v>
          </cell>
          <cell r="E4704">
            <v>0</v>
          </cell>
          <cell r="F4704">
            <v>990</v>
          </cell>
        </row>
        <row r="4705">
          <cell r="A4705" t="str">
            <v>QX0027-S</v>
          </cell>
          <cell r="B4705" t="str">
            <v>QX27</v>
          </cell>
          <cell r="C4705" t="str">
            <v>ซาติน เสื้อคลุม แขนยาวขายาว กระบองเพชร S QC</v>
          </cell>
          <cell r="E4705">
            <v>0</v>
          </cell>
          <cell r="F4705">
            <v>690</v>
          </cell>
        </row>
        <row r="4706">
          <cell r="A4706" t="str">
            <v>QX0030-L</v>
          </cell>
          <cell r="B4706" t="str">
            <v>QX30</v>
          </cell>
          <cell r="C4706" t="str">
            <v>ซาติน เสื้อคลุม สายเดี่ยว แขนห้าส่วน พื้นดำ จุดดำ L QC</v>
          </cell>
          <cell r="E4706">
            <v>0</v>
          </cell>
          <cell r="F4706">
            <v>690</v>
          </cell>
        </row>
        <row r="4707">
          <cell r="A4707" t="str">
            <v>QY0018-2XL</v>
          </cell>
          <cell r="B4707" t="str">
            <v>QY18</v>
          </cell>
          <cell r="C4707" t="str">
            <v>ซาติน แขนสั้นขายาว สีกรมขอบขาว ผช 2XL หลุด QC</v>
          </cell>
          <cell r="E4707">
            <v>0</v>
          </cell>
          <cell r="F4707">
            <v>890</v>
          </cell>
        </row>
        <row r="4708">
          <cell r="A4708" t="str">
            <v>QY0018-L</v>
          </cell>
          <cell r="B4708" t="str">
            <v>QY18</v>
          </cell>
          <cell r="C4708" t="str">
            <v>ซาติน แขนสั้นขายาว สีกรมขอบขาว ผช L หลุด QC</v>
          </cell>
          <cell r="E4708">
            <v>0</v>
          </cell>
          <cell r="F4708">
            <v>890</v>
          </cell>
        </row>
        <row r="4709">
          <cell r="A4709" t="str">
            <v>QY0018-M</v>
          </cell>
          <cell r="B4709" t="str">
            <v>QY18</v>
          </cell>
          <cell r="C4709" t="str">
            <v>ซาติน แขนสั้นขายาว สีกรมขอบขาว ผช M หลุด QC</v>
          </cell>
          <cell r="E4709">
            <v>0</v>
          </cell>
          <cell r="F4709">
            <v>890</v>
          </cell>
        </row>
        <row r="4710">
          <cell r="A4710" t="str">
            <v>QY0018-XL</v>
          </cell>
          <cell r="B4710" t="str">
            <v>QY18</v>
          </cell>
          <cell r="C4710" t="str">
            <v>ซาติน แขนสั้นขายาว สีกรมขอบขาว ผช XL หลุด QC</v>
          </cell>
          <cell r="E4710">
            <v>0</v>
          </cell>
          <cell r="F4710">
            <v>890</v>
          </cell>
        </row>
        <row r="4711">
          <cell r="A4711" t="str">
            <v>QY0019-2XL</v>
          </cell>
          <cell r="B4711" t="str">
            <v>QY19</v>
          </cell>
          <cell r="C4711" t="str">
            <v>ซาติน แขนสั้นขายาว สีฟ้าขอบขาว ผช 2XL หลุด QC</v>
          </cell>
          <cell r="E4711">
            <v>0</v>
          </cell>
          <cell r="F4711">
            <v>890</v>
          </cell>
        </row>
        <row r="4712">
          <cell r="A4712" t="str">
            <v>QY0019-L</v>
          </cell>
          <cell r="B4712" t="str">
            <v>QY19</v>
          </cell>
          <cell r="C4712" t="str">
            <v>ซาติน แขนสั้นขายาว สีฟ้าขอบขาว ผช L QC</v>
          </cell>
          <cell r="E4712">
            <v>0</v>
          </cell>
          <cell r="F4712">
            <v>990</v>
          </cell>
        </row>
        <row r="4713">
          <cell r="A4713" t="str">
            <v>QY0019-M</v>
          </cell>
          <cell r="B4713" t="str">
            <v>QY19</v>
          </cell>
          <cell r="C4713" t="str">
            <v>ซาติน แขนสั้นขายาว สีฟ้าขอบขาว ผช M QC</v>
          </cell>
          <cell r="E4713">
            <v>0</v>
          </cell>
          <cell r="F4713">
            <v>990</v>
          </cell>
        </row>
        <row r="4714">
          <cell r="A4714" t="str">
            <v>QY0019-XL</v>
          </cell>
          <cell r="B4714" t="str">
            <v>QY19</v>
          </cell>
          <cell r="C4714" t="str">
            <v>ซาติน แขนสั้นขายาว สีฟ้าขอบขาว ผช XL หลุด QC</v>
          </cell>
          <cell r="E4714">
            <v>0</v>
          </cell>
          <cell r="F4714">
            <v>890</v>
          </cell>
        </row>
        <row r="4715">
          <cell r="A4715" t="str">
            <v>QY0023-2XL</v>
          </cell>
          <cell r="B4715" t="str">
            <v>QY23</v>
          </cell>
          <cell r="C4715" t="str">
            <v>ซาติน แขนสั้นขาสั้น&amp;nbsp;Teddy Bear 2XL หลุด QC</v>
          </cell>
          <cell r="E4715">
            <v>0</v>
          </cell>
          <cell r="F4715">
            <v>790</v>
          </cell>
        </row>
        <row r="4716">
          <cell r="A4716" t="str">
            <v>QY0023-L</v>
          </cell>
          <cell r="B4716" t="str">
            <v>QY23</v>
          </cell>
          <cell r="C4716" t="str">
            <v>ซาติน แขนสั้นขาสั้น Teddy Bear L หลุด QC</v>
          </cell>
          <cell r="E4716">
            <v>0</v>
          </cell>
          <cell r="F4716">
            <v>790</v>
          </cell>
        </row>
        <row r="4717">
          <cell r="A4717" t="str">
            <v>QY0023-M</v>
          </cell>
          <cell r="B4717" t="str">
            <v>QY23</v>
          </cell>
          <cell r="C4717" t="str">
            <v>ซาติน แขนสั้นขาสั้น Teddy Bear M หลุด QC</v>
          </cell>
          <cell r="E4717">
            <v>0</v>
          </cell>
          <cell r="F4717">
            <v>790</v>
          </cell>
        </row>
        <row r="4718">
          <cell r="A4718" t="str">
            <v>QY0023-XL</v>
          </cell>
          <cell r="B4718" t="str">
            <v>QY23</v>
          </cell>
          <cell r="C4718" t="str">
            <v>ซาติน แขนสั้นขาสั้น Teddy Bear XL หลุด QC</v>
          </cell>
          <cell r="E4718">
            <v>0</v>
          </cell>
          <cell r="F4718">
            <v>790</v>
          </cell>
        </row>
        <row r="4719">
          <cell r="A4719" t="str">
            <v>QY0051-L</v>
          </cell>
          <cell r="B4719" t="str">
            <v>QY51</v>
          </cell>
          <cell r="C4719" t="str">
            <v>เยื่อไผ่ แขนยาวขายาว แมวดำ พื้นขาว ผู้ชาย L QC</v>
          </cell>
          <cell r="E4719">
            <v>0</v>
          </cell>
          <cell r="F4719">
            <v>950</v>
          </cell>
        </row>
        <row r="4720">
          <cell r="A4720" t="str">
            <v>QY0080-2XL</v>
          </cell>
          <cell r="B4720" t="str">
            <v>QY80</v>
          </cell>
          <cell r="C4720" t="str">
            <v>ซาติน แขนสั้นขายาว พื้นกรม ลายทางขาว ผู้ชาย 2XL QC</v>
          </cell>
          <cell r="E4720">
            <v>0</v>
          </cell>
          <cell r="F4720">
            <v>990</v>
          </cell>
        </row>
        <row r="4721">
          <cell r="A4721" t="str">
            <v>QY0080-L</v>
          </cell>
          <cell r="B4721" t="str">
            <v>QY80</v>
          </cell>
          <cell r="C4721" t="str">
            <v>ซาติน แขนสั้นขายาว พื้นกรม ลายทางขาว ผู้ชาย L QC</v>
          </cell>
          <cell r="E4721">
            <v>0</v>
          </cell>
          <cell r="F4721">
            <v>990</v>
          </cell>
        </row>
        <row r="4722">
          <cell r="A4722" t="str">
            <v>QY0081-L</v>
          </cell>
          <cell r="B4722" t="str">
            <v>QY81</v>
          </cell>
          <cell r="C4722" t="str">
            <v>ซาติน แขนสั้นขายาว พื้นฟ้า ลายทางขาว ผู้ชาย L QC</v>
          </cell>
          <cell r="E4722">
            <v>0</v>
          </cell>
          <cell r="F4722">
            <v>990</v>
          </cell>
        </row>
        <row r="4723">
          <cell r="A4723" t="str">
            <v>QY0081-XL</v>
          </cell>
          <cell r="B4723" t="str">
            <v>QY81</v>
          </cell>
          <cell r="C4723" t="str">
            <v>ซาติน แขนสั้นขายาว พื้นฟ้า ลายทางขาว ผู้ชาย XL QC</v>
          </cell>
          <cell r="E4723">
            <v>0</v>
          </cell>
          <cell r="F4723">
            <v>990</v>
          </cell>
        </row>
        <row r="4724">
          <cell r="A4724" t="str">
            <v>QY0082-L</v>
          </cell>
          <cell r="B4724" t="str">
            <v>QY82</v>
          </cell>
          <cell r="C4724" t="str">
            <v>ซาติน แขนสั้นขาสั้น พื้นฟ้า ลายทางขาว ผู้ชาย L QC</v>
          </cell>
          <cell r="E4724">
            <v>0</v>
          </cell>
          <cell r="F4724">
            <v>890</v>
          </cell>
        </row>
        <row r="4725">
          <cell r="A4725" t="str">
            <v>QY0083-L</v>
          </cell>
          <cell r="B4725" t="str">
            <v>QY83</v>
          </cell>
          <cell r="C4725" t="str">
            <v>ซาติน แขนสั้นขาสั้น พื้นกรม ลายทางขาว ผู้ชาย L QC</v>
          </cell>
          <cell r="E4725">
            <v>0</v>
          </cell>
          <cell r="F4725">
            <v>890</v>
          </cell>
        </row>
        <row r="4726">
          <cell r="A4726" t="str">
            <v>QY0088-XL</v>
          </cell>
          <cell r="B4726" t="str">
            <v>QY88</v>
          </cell>
          <cell r="C4726" t="str">
            <v>ซาติน แขนสั้นขาสั้น ลายทางขาว พื้นดำ ผู้ชาย XL (กปก) QC</v>
          </cell>
          <cell r="E4726">
            <v>0</v>
          </cell>
          <cell r="F4726">
            <v>890</v>
          </cell>
        </row>
        <row r="4727">
          <cell r="A4727" t="str">
            <v>QY0089-M</v>
          </cell>
          <cell r="B4727" t="str">
            <v>QY89</v>
          </cell>
          <cell r="C4727" t="str">
            <v>ซาติน แขนสั้นขายาว ริ้วขาว ดำ ผู้ชาย M QC</v>
          </cell>
          <cell r="E4727">
            <v>0</v>
          </cell>
          <cell r="F4727">
            <v>990</v>
          </cell>
        </row>
        <row r="4728">
          <cell r="A4728" t="str">
            <v>QY0090-2XL</v>
          </cell>
          <cell r="B4728" t="str">
            <v>QY90</v>
          </cell>
          <cell r="C4728" t="str">
            <v>ซาติน แขนสั้นขายาว ลายทางดำ พื้นครีม 2XL ผู้ชาย QC</v>
          </cell>
          <cell r="E4728">
            <v>0</v>
          </cell>
          <cell r="F4728">
            <v>990</v>
          </cell>
        </row>
        <row r="4729">
          <cell r="A4729" t="str">
            <v>QY0090-M</v>
          </cell>
          <cell r="B4729" t="str">
            <v>QY90</v>
          </cell>
          <cell r="C4729" t="str">
            <v>ซาติน แขนสั้นขายาว ลายทางดำ พื้นครีม M ผู้ชาย QC</v>
          </cell>
          <cell r="E4729">
            <v>0</v>
          </cell>
          <cell r="F4729">
            <v>990</v>
          </cell>
        </row>
        <row r="4730">
          <cell r="A4730" t="str">
            <v>QY0092-M</v>
          </cell>
          <cell r="B4730" t="str">
            <v>QY92</v>
          </cell>
          <cell r="C4730" t="str">
            <v>ซาติน แขนสั้นขายาว ลายทางครีม พื้นดำ M ผู้ชาย QC</v>
          </cell>
          <cell r="E4730">
            <v>0</v>
          </cell>
          <cell r="F4730">
            <v>990</v>
          </cell>
        </row>
        <row r="4731">
          <cell r="A4731" t="str">
            <v>QY0092-XL</v>
          </cell>
          <cell r="B4731" t="str">
            <v>QY92</v>
          </cell>
          <cell r="C4731" t="str">
            <v>ซาติน แขนสั้นขายาว ลายทางครีม พื้นดำ XL ผู้ชาย QC</v>
          </cell>
          <cell r="E4731">
            <v>0</v>
          </cell>
          <cell r="F4731">
            <v>990</v>
          </cell>
        </row>
        <row r="4732">
          <cell r="A4732" t="str">
            <v>QY0095-2XL</v>
          </cell>
          <cell r="B4732" t="str">
            <v>QY95</v>
          </cell>
          <cell r="C4732" t="str">
            <v>ซาติน แขนสั้นขายาว ลายทางกรม แดง กระเป๋านกฮูก 2XL (กปก) ผู้ชาย QC</v>
          </cell>
          <cell r="E4732">
            <v>0</v>
          </cell>
          <cell r="F4732">
            <v>990</v>
          </cell>
        </row>
        <row r="4733">
          <cell r="A4733" t="str">
            <v>QY0095-L</v>
          </cell>
          <cell r="B4733" t="str">
            <v>QY95</v>
          </cell>
          <cell r="C4733" t="str">
            <v>ซาติน แขนสั้นขายาว ลายทางกรม แดง กระเป๋านกฮูก L (กปก) ผู้ชาย QC</v>
          </cell>
          <cell r="E4733">
            <v>0</v>
          </cell>
          <cell r="F4733">
            <v>990</v>
          </cell>
        </row>
        <row r="4734">
          <cell r="A4734" t="str">
            <v>QY0095-M</v>
          </cell>
          <cell r="B4734" t="str">
            <v>QY95</v>
          </cell>
          <cell r="C4734" t="str">
            <v>ซาติน แขนสั้นขายาว ลายทางกรม แดง กระเป๋านกฮูก M (กปก) ผู้ชาย QC</v>
          </cell>
          <cell r="E4734">
            <v>0</v>
          </cell>
          <cell r="F4734">
            <v>990</v>
          </cell>
        </row>
        <row r="4735">
          <cell r="A4735" t="str">
            <v>QY0097-2XL</v>
          </cell>
          <cell r="B4735" t="str">
            <v>QY97</v>
          </cell>
          <cell r="C4735" t="str">
            <v>ซาติน แขนสั้นขาสั้น น้ำตาล หรู 2XL (กปก) ผู้ชาย QC</v>
          </cell>
          <cell r="E4735">
            <v>0</v>
          </cell>
          <cell r="F4735">
            <v>890</v>
          </cell>
        </row>
        <row r="4736">
          <cell r="A4736" t="str">
            <v>QY0097-L</v>
          </cell>
          <cell r="B4736" t="str">
            <v>QY97</v>
          </cell>
          <cell r="C4736" t="str">
            <v>ซาติน แขนสั้นขาสั้น น้ำตาล หรู L (กปก) ผู้ชาย QC</v>
          </cell>
          <cell r="E4736">
            <v>0</v>
          </cell>
          <cell r="F4736">
            <v>890</v>
          </cell>
        </row>
        <row r="4737">
          <cell r="A4737" t="str">
            <v>QY0098-L</v>
          </cell>
          <cell r="B4737" t="str">
            <v>QY98</v>
          </cell>
          <cell r="C4737" t="str">
            <v>ซาติน แขนสั้นขาสั้น กรม ขอบน้ำตาล L (กปก) ผู้ชาย QC</v>
          </cell>
          <cell r="E4737">
            <v>0</v>
          </cell>
          <cell r="F4737">
            <v>890</v>
          </cell>
        </row>
        <row r="4738">
          <cell r="A4738" t="str">
            <v>QY0100-XL</v>
          </cell>
          <cell r="B4738" t="str">
            <v>QY100</v>
          </cell>
          <cell r="C4738" t="str">
            <v>ซาติน แขนสั้นขาสั้น เทา ไทเทเนียม ผู้ชาย XL (กปก) QC</v>
          </cell>
          <cell r="E4738">
            <v>0</v>
          </cell>
          <cell r="F4738">
            <v>890</v>
          </cell>
        </row>
        <row r="4739">
          <cell r="A4739" t="str">
            <v>QY0101-2XL</v>
          </cell>
          <cell r="B4739" t="str">
            <v>QY101</v>
          </cell>
          <cell r="C4739" t="str">
            <v>ซาติน แขนสั้นขาสั้น น้ำเงิน ลายไม้ 2XL (กปก) ผู้ชาย QC</v>
          </cell>
          <cell r="E4739">
            <v>0</v>
          </cell>
          <cell r="F4739">
            <v>890</v>
          </cell>
        </row>
        <row r="4740">
          <cell r="A4740" t="str">
            <v>QY0101-L</v>
          </cell>
          <cell r="B4740" t="str">
            <v>QY101</v>
          </cell>
          <cell r="C4740" t="str">
            <v>ซาติน แขนสั้นขาสั้น น้ำเงิน ลายไม้ L (กปก) ผู้ชาย QC</v>
          </cell>
          <cell r="E4740">
            <v>0</v>
          </cell>
          <cell r="F4740">
            <v>890</v>
          </cell>
        </row>
        <row r="4741">
          <cell r="A4741" t="str">
            <v>QY0101-XL</v>
          </cell>
          <cell r="B4741" t="str">
            <v>QY101</v>
          </cell>
          <cell r="C4741" t="str">
            <v>ซาติน แขนสั้นขาสั้น น้ำเงิน ลายไม้ XL (กปก) ผู้ชาย QC</v>
          </cell>
          <cell r="E4741">
            <v>0</v>
          </cell>
          <cell r="F4741">
            <v>890</v>
          </cell>
        </row>
        <row r="4742">
          <cell r="A4742" t="str">
            <v>QY0102-M</v>
          </cell>
          <cell r="B4742" t="str">
            <v>QY102</v>
          </cell>
          <cell r="C4742" t="str">
            <v>ซาติน แขนสั้นขาสั้น สีเทา ไทเทเนียม ลายขาว T-RUN ผู้ชาย M (กปก) QC</v>
          </cell>
          <cell r="E4742">
            <v>0</v>
          </cell>
          <cell r="F4742">
            <v>890</v>
          </cell>
        </row>
        <row r="4743">
          <cell r="A4743" t="str">
            <v>QY0103-L</v>
          </cell>
          <cell r="B4743" t="str">
            <v>QY103</v>
          </cell>
          <cell r="C4743" t="str">
            <v>เยื่อไผ่ แขนสั้นขายาว ลายทาง gloomy ผู้ชาย L QC</v>
          </cell>
          <cell r="E4743">
            <v>0</v>
          </cell>
          <cell r="F4743">
            <v>990</v>
          </cell>
        </row>
        <row r="4744">
          <cell r="A4744" t="str">
            <v>QY4007-2XL</v>
          </cell>
          <cell r="B4744" t="str">
            <v>QY4007</v>
          </cell>
          <cell r="C4744" t="str">
            <v>ซาติน แขนสั้นขาสั้น Muslin man ligth blue 2XL QC</v>
          </cell>
          <cell r="E4744">
            <v>0</v>
          </cell>
          <cell r="F4744">
            <v>890</v>
          </cell>
        </row>
        <row r="4745">
          <cell r="A4745" t="str">
            <v>QY4007-L</v>
          </cell>
          <cell r="B4745" t="str">
            <v>QY4007</v>
          </cell>
          <cell r="C4745" t="str">
            <v>ซาติน แขนสั้นขาสั้น Muslin man ligth blue L QC</v>
          </cell>
          <cell r="E4745">
            <v>0</v>
          </cell>
          <cell r="F4745">
            <v>890</v>
          </cell>
        </row>
        <row r="4746">
          <cell r="A4746" t="str">
            <v>QY4007-XL</v>
          </cell>
          <cell r="B4746" t="str">
            <v>QY4007</v>
          </cell>
          <cell r="C4746" t="str">
            <v>ซาติน แขนสั้นขาสั้น Muslin man ligth blue XL QC</v>
          </cell>
          <cell r="E4746">
            <v>0</v>
          </cell>
          <cell r="F4746">
            <v>890</v>
          </cell>
        </row>
        <row r="4747">
          <cell r="A4747" t="str">
            <v>QY4010-M</v>
          </cell>
          <cell r="B4747" t="str">
            <v>QY4010</v>
          </cell>
          <cell r="C4747" t="str">
            <v>ซาติน แขนสั้นขายาว man green mermaid M (กปก) QC</v>
          </cell>
          <cell r="E4747">
            <v>0</v>
          </cell>
          <cell r="F4747">
            <v>990</v>
          </cell>
        </row>
        <row r="4748">
          <cell r="A4748" t="str">
            <v>QY4011-2XL</v>
          </cell>
          <cell r="B4748" t="str">
            <v>QY4011</v>
          </cell>
          <cell r="C4748" t="str">
            <v>ซาติน แขนสั้นขายาว Muslin ligth blue 2XL (กปก) QC</v>
          </cell>
          <cell r="E4748">
            <v>0</v>
          </cell>
          <cell r="F4748">
            <v>990</v>
          </cell>
        </row>
        <row r="4749">
          <cell r="A4749" t="str">
            <v>QY4011-L</v>
          </cell>
          <cell r="B4749" t="str">
            <v>QY4011</v>
          </cell>
          <cell r="C4749" t="str">
            <v>ซาติน แขนสั้นขายาว Muslin ligth blue L (กปก) QC</v>
          </cell>
          <cell r="E4749">
            <v>0</v>
          </cell>
          <cell r="F4749">
            <v>990</v>
          </cell>
        </row>
        <row r="4750">
          <cell r="A4750" t="str">
            <v>QY4011-XL</v>
          </cell>
          <cell r="B4750" t="str">
            <v>QY4011</v>
          </cell>
          <cell r="C4750" t="str">
            <v>ซาติน แขนสั้นขายาว Muslin ligth blue XL (กปก) QC</v>
          </cell>
          <cell r="E4750">
            <v>0</v>
          </cell>
          <cell r="F4750">
            <v>990</v>
          </cell>
        </row>
        <row r="4751">
          <cell r="A4751" t="str">
            <v>QY4012-2XL</v>
          </cell>
          <cell r="B4751" t="str">
            <v>QY4012</v>
          </cell>
          <cell r="C4751" t="str">
            <v>ซาติน แขนสั้นขาสั้น Muslin green mermaid 2XL (กปก) QC</v>
          </cell>
          <cell r="E4751">
            <v>0</v>
          </cell>
          <cell r="F4751">
            <v>890</v>
          </cell>
        </row>
        <row r="4752">
          <cell r="A4752" t="str">
            <v>QY4012-XL</v>
          </cell>
          <cell r="B4752" t="str">
            <v>QY4012</v>
          </cell>
          <cell r="C4752" t="str">
            <v>ซาติน แขนสั้นขาสั้น Muslin green mermaid XL (กปก) QC</v>
          </cell>
          <cell r="E4752">
            <v>0</v>
          </cell>
          <cell r="F4752">
            <v>890</v>
          </cell>
        </row>
        <row r="4753">
          <cell r="A4753" t="str">
            <v>QZ0001-M</v>
          </cell>
          <cell r="B4753" t="str">
            <v>QZ1</v>
          </cell>
          <cell r="C4753" t="str">
            <v>เท็นเซล แขนสั้นขาสั้น พื้นเหลืองครีม M QC</v>
          </cell>
          <cell r="E4753">
            <v>0</v>
          </cell>
          <cell r="F4753">
            <v>890</v>
          </cell>
        </row>
        <row r="4754">
          <cell r="A4754" t="str">
            <v>QZ0008-M</v>
          </cell>
          <cell r="B4754" t="str">
            <v>QZ8</v>
          </cell>
          <cell r="C4754" t="str">
            <v>เท็นเซล แขนสั้นขาสั้น แกะ ขอบน้ำตาล พื้นขาว  M QC</v>
          </cell>
          <cell r="E4754">
            <v>0</v>
          </cell>
          <cell r="F4754">
            <v>890</v>
          </cell>
        </row>
        <row r="4755">
          <cell r="A4755" t="str">
            <v>QZ0009-M</v>
          </cell>
          <cell r="B4755" t="str">
            <v>QZ9</v>
          </cell>
          <cell r="C4755" t="str">
            <v>เท็นเซล แขนสั้นขายาว พลุเหลืองเทาม่วง ขอบทอง M QC</v>
          </cell>
          <cell r="E4755">
            <v>0</v>
          </cell>
          <cell r="F4755">
            <v>990</v>
          </cell>
        </row>
        <row r="4756">
          <cell r="A4756" t="str">
            <v>R0128-L</v>
          </cell>
          <cell r="B4756" t="str">
            <v>R128</v>
          </cell>
          <cell r="E4756">
            <v>0</v>
          </cell>
          <cell r="F4756">
            <v>0</v>
          </cell>
        </row>
        <row r="4757">
          <cell r="A4757" t="str">
            <v>SH0001-L</v>
          </cell>
          <cell r="B4757" t="str">
            <v>H1</v>
          </cell>
          <cell r="C4757" t="str">
            <v>ซาติน ไฮเอ็น แขนสั้นขายาว พื้นฟ้า ขอบดำ เกงจุด L</v>
          </cell>
          <cell r="E4757">
            <v>0</v>
          </cell>
          <cell r="F4757">
            <v>0</v>
          </cell>
        </row>
        <row r="4758">
          <cell r="A4758" t="str">
            <v>SH0001-M</v>
          </cell>
          <cell r="B4758" t="str">
            <v>H1</v>
          </cell>
          <cell r="C4758" t="str">
            <v>ซาติน ไฮเอ็น แขนสั้นขายาว พื้นฟ้า ขอบดำ เกงจุด M</v>
          </cell>
          <cell r="E4758">
            <v>0</v>
          </cell>
          <cell r="F4758">
            <v>0</v>
          </cell>
        </row>
        <row r="4759">
          <cell r="A4759" t="str">
            <v>SH0001-XL</v>
          </cell>
          <cell r="B4759" t="str">
            <v>H1</v>
          </cell>
          <cell r="C4759" t="str">
            <v>ซาติน ไฮเอ็น แขนสั้นขายาว พื้นฟ้า ขอบดำ เกงจุด XL</v>
          </cell>
          <cell r="E4759">
            <v>0</v>
          </cell>
          <cell r="F4759">
            <v>0</v>
          </cell>
        </row>
        <row r="4760">
          <cell r="A4760" t="str">
            <v>SH0002-L</v>
          </cell>
          <cell r="B4760" t="str">
            <v>JH2</v>
          </cell>
          <cell r="C4760" t="str">
            <v>ซาติน ไฮเอ็น แขนสั้นขายาว พื้นชมพูอ่อน พู่กัน กระเป๋าจิ้งจอก L (กปก)</v>
          </cell>
          <cell r="E4760">
            <v>0</v>
          </cell>
          <cell r="F4760">
            <v>990</v>
          </cell>
        </row>
        <row r="4761">
          <cell r="A4761" t="str">
            <v>SH0002-M</v>
          </cell>
          <cell r="B4761" t="str">
            <v>H2</v>
          </cell>
          <cell r="C4761" t="str">
            <v>ซาติน ไฮเอ็น แขนสั้นขายาว พื้นชมพูอ่อน พู่กัน กระเป๋าจิ้งจอก M (กปก)</v>
          </cell>
          <cell r="E4761">
            <v>0</v>
          </cell>
          <cell r="F4761">
            <v>990</v>
          </cell>
        </row>
        <row r="4762">
          <cell r="A4762" t="str">
            <v>SH0002-XL</v>
          </cell>
          <cell r="B4762" t="str">
            <v>JH2</v>
          </cell>
          <cell r="C4762" t="str">
            <v>ซาติน ไฮเอ็น แขนสั้นขายาว พื้นชมพูอ่อน พู่กัน กระเป๋าจิ้งจอก XL (กปก) ตัวโชว์</v>
          </cell>
          <cell r="E4762">
            <v>0</v>
          </cell>
          <cell r="F4762">
            <v>990</v>
          </cell>
        </row>
        <row r="4763">
          <cell r="A4763" t="str">
            <v>SH0003-L</v>
          </cell>
          <cell r="B4763" t="str">
            <v>JH3</v>
          </cell>
          <cell r="C4763" t="str">
            <v>ซาติน ไฮเอ็น แขนสั้นขายาว จิ๊กซอว์ ชมพู L (กปก) ตัวโชว์</v>
          </cell>
          <cell r="E4763">
            <v>0</v>
          </cell>
          <cell r="F4763">
            <v>990</v>
          </cell>
        </row>
        <row r="4764">
          <cell r="A4764" t="str">
            <v>SH0003-M</v>
          </cell>
          <cell r="B4764" t="str">
            <v>JH3</v>
          </cell>
          <cell r="C4764" t="str">
            <v>ซาติน ไฮเอ็น แขนสั้นขายาว จิ๊กซอว์ ชมพู M (กปก) ตัวโชว์</v>
          </cell>
          <cell r="E4764">
            <v>0</v>
          </cell>
          <cell r="F4764">
            <v>990</v>
          </cell>
        </row>
        <row r="4765">
          <cell r="A4765" t="str">
            <v>SH0003-XL</v>
          </cell>
          <cell r="B4765" t="str">
            <v>JH3</v>
          </cell>
          <cell r="C4765" t="str">
            <v>ซาติน ไฮเอ็น แขนสั้นขายาว จิ๊กซอว์ ชมพู XL (กปก) ตัวโชว์</v>
          </cell>
          <cell r="E4765">
            <v>0</v>
          </cell>
          <cell r="F4765">
            <v>990</v>
          </cell>
        </row>
        <row r="4766">
          <cell r="A4766" t="str">
            <v>SH0004-L</v>
          </cell>
          <cell r="B4766" t="str">
            <v>H4</v>
          </cell>
          <cell r="C4766" t="str">
            <v>ซาติน ไฮเอ็น เดรส แขนสั้น พื้นครีมอ่อน ภาพวาดม้า L</v>
          </cell>
          <cell r="E4766">
            <v>0</v>
          </cell>
          <cell r="F4766">
            <v>990</v>
          </cell>
        </row>
        <row r="4767">
          <cell r="A4767" t="str">
            <v>SH0004-M</v>
          </cell>
          <cell r="B4767" t="str">
            <v>JH4</v>
          </cell>
          <cell r="C4767" t="str">
            <v>ซาติน ไฮเอ็น เดรส แขนสั้น พื้นครีมอ่อน ภาพวาดม้า M ตัวโชว์</v>
          </cell>
          <cell r="E4767">
            <v>0</v>
          </cell>
          <cell r="F4767">
            <v>0</v>
          </cell>
        </row>
        <row r="4768">
          <cell r="A4768" t="str">
            <v>SH0005-L</v>
          </cell>
          <cell r="B4768" t="str">
            <v>H5</v>
          </cell>
          <cell r="C4768" t="str">
            <v>ซาติน ไฮเอ็น แขนสั้นขายาว พื้นชมพู กลุ่มดาว L</v>
          </cell>
          <cell r="E4768">
            <v>0</v>
          </cell>
          <cell r="F4768">
            <v>0</v>
          </cell>
        </row>
        <row r="4769">
          <cell r="A4769" t="str">
            <v>SH0005-M</v>
          </cell>
          <cell r="B4769" t="str">
            <v>H5</v>
          </cell>
          <cell r="C4769" t="str">
            <v>ซาติน ไฮเอ็น แขนสั้นขายาว พื้นชมพู กลุ่มดาว M</v>
          </cell>
          <cell r="E4769">
            <v>0</v>
          </cell>
          <cell r="F4769">
            <v>850</v>
          </cell>
        </row>
        <row r="4770">
          <cell r="A4770" t="str">
            <v>SH0005-XL</v>
          </cell>
          <cell r="B4770" t="str">
            <v>H5</v>
          </cell>
          <cell r="C4770" t="str">
            <v>ซาติน ไฮเอ็น แขนสั้นขายาว พื้นชมพู กลุ่มดาว XL</v>
          </cell>
          <cell r="E4770">
            <v>0</v>
          </cell>
          <cell r="F4770">
            <v>0</v>
          </cell>
        </row>
        <row r="4771">
          <cell r="A4771" t="str">
            <v>SH0006-L</v>
          </cell>
          <cell r="B4771" t="str">
            <v>H6</v>
          </cell>
          <cell r="C4771" t="str">
            <v>ซาติน ไฮเอ็น แขนสั้นขายาว พื้นชมพู ขอบกรม กระเป๋าโคเวอร์สี่แฉก L</v>
          </cell>
          <cell r="E4771">
            <v>0</v>
          </cell>
          <cell r="F4771">
            <v>0</v>
          </cell>
        </row>
        <row r="4772">
          <cell r="A4772" t="str">
            <v>SH0006-M</v>
          </cell>
          <cell r="B4772" t="str">
            <v>H6</v>
          </cell>
          <cell r="C4772" t="str">
            <v>ซาติน ไฮเอ็น แขนสั้นขายาว พื้นชมพู ขอบกรม กระเป๋าโคเวอร์สี่แฉก M</v>
          </cell>
          <cell r="E4772">
            <v>0</v>
          </cell>
          <cell r="F4772">
            <v>0</v>
          </cell>
        </row>
        <row r="4773">
          <cell r="A4773" t="str">
            <v>SH0006-XL</v>
          </cell>
          <cell r="B4773" t="str">
            <v>H6</v>
          </cell>
          <cell r="C4773" t="str">
            <v>ซาติน ไฮเอ็น แขนสั้นขายาว พื้นชมพู ขอบกรม กระเป๋าโคเวอร์สี่แฉก XL</v>
          </cell>
          <cell r="E4773">
            <v>0</v>
          </cell>
          <cell r="F4773">
            <v>0</v>
          </cell>
        </row>
        <row r="4774">
          <cell r="A4774" t="str">
            <v>SH0007-L</v>
          </cell>
          <cell r="B4774" t="str">
            <v>H7</v>
          </cell>
          <cell r="C4774" t="str">
            <v>ซาติน ไฮเอ็น แขนสั้นขายาว พื้นขาว ขอบกรม กระเป๋าโคเวอร์สี่แฉก L</v>
          </cell>
          <cell r="E4774">
            <v>0</v>
          </cell>
          <cell r="F4774">
            <v>850</v>
          </cell>
        </row>
        <row r="4775">
          <cell r="A4775" t="str">
            <v>SH0007-M</v>
          </cell>
          <cell r="B4775" t="str">
            <v>H7</v>
          </cell>
          <cell r="C4775" t="str">
            <v>ซาติน ไฮเอ็น แขนสั้นขายาว พื้นขาว ขอบกรม กระเป๋าโคเวอร์สี่แฉก M</v>
          </cell>
          <cell r="E4775">
            <v>0</v>
          </cell>
          <cell r="F4775">
            <v>850</v>
          </cell>
        </row>
        <row r="4776">
          <cell r="A4776" t="str">
            <v>SH0007-XL</v>
          </cell>
          <cell r="B4776" t="str">
            <v>H7</v>
          </cell>
          <cell r="C4776" t="str">
            <v>ซาติน ไฮเอ็น แขนสั้นขายาว พื้นขาว ขอบกรม กระเป๋าโคเวอร์สี่แฉก XL</v>
          </cell>
          <cell r="E4776">
            <v>0</v>
          </cell>
          <cell r="F4776">
            <v>0</v>
          </cell>
        </row>
        <row r="4777">
          <cell r="A4777" t="str">
            <v>SH0008-L</v>
          </cell>
          <cell r="B4777" t="str">
            <v>H8</v>
          </cell>
          <cell r="C4777" t="str">
            <v>ซาติน ไฮเอ็น แขนสั้นขายาว ลายทาง ขาว ดำ L (กปก)</v>
          </cell>
          <cell r="E4777">
            <v>0</v>
          </cell>
          <cell r="F4777">
            <v>990</v>
          </cell>
        </row>
        <row r="4778">
          <cell r="A4778" t="str">
            <v>SH0008-M</v>
          </cell>
          <cell r="B4778" t="str">
            <v>H8</v>
          </cell>
          <cell r="C4778" t="str">
            <v>ซาติน ไฮเอ็น แขนสั้นขายาว ลายทาง ขาว ดำ M</v>
          </cell>
          <cell r="E4778">
            <v>0</v>
          </cell>
          <cell r="F4778">
            <v>0</v>
          </cell>
        </row>
        <row r="4779">
          <cell r="A4779" t="str">
            <v>SH0008-XL</v>
          </cell>
          <cell r="B4779" t="str">
            <v>H8</v>
          </cell>
          <cell r="C4779" t="str">
            <v>ซาติน ไฮเอ็น แขนสั้นขายาว ลายทาง ขาว ดำ XL</v>
          </cell>
          <cell r="E4779">
            <v>0</v>
          </cell>
          <cell r="F4779">
            <v>0</v>
          </cell>
        </row>
        <row r="4780">
          <cell r="A4780" t="str">
            <v>SH0009-L</v>
          </cell>
          <cell r="B4780" t="str">
            <v>H9</v>
          </cell>
          <cell r="C4780" t="str">
            <v>ซาติน ไฮเอ็น เดรส แขนสั้น พื้นเขียว ลายจุด ขอบขาว L</v>
          </cell>
          <cell r="E4780">
            <v>0</v>
          </cell>
          <cell r="F4780">
            <v>0</v>
          </cell>
        </row>
        <row r="4781">
          <cell r="A4781" t="str">
            <v>SH0009-M</v>
          </cell>
          <cell r="B4781" t="str">
            <v>H9</v>
          </cell>
          <cell r="C4781" t="str">
            <v>ซาติน ไฮเอ็น เดรส แขนสั้น พื้นเขียว ลายจุด ขอบขาว M</v>
          </cell>
          <cell r="E4781">
            <v>0</v>
          </cell>
          <cell r="F4781">
            <v>0</v>
          </cell>
        </row>
        <row r="4782">
          <cell r="A4782" t="str">
            <v>SH0010-L</v>
          </cell>
          <cell r="B4782" t="str">
            <v>H10</v>
          </cell>
          <cell r="C4782" t="str">
            <v>ซาติน ไฮเอ็น เดรส แขนห้าส่วน ทูโทน Luxury ขาว น้ำตาล L</v>
          </cell>
          <cell r="E4782">
            <v>0</v>
          </cell>
          <cell r="F4782">
            <v>990</v>
          </cell>
        </row>
        <row r="4783">
          <cell r="A4783" t="str">
            <v>SH0010-M</v>
          </cell>
          <cell r="B4783" t="str">
            <v>H10</v>
          </cell>
          <cell r="C4783" t="str">
            <v>ซาติน ไฮเอ็น เดรส แขนห้าส่วน ทูโทน Luxury ขาว น้ำตาล M</v>
          </cell>
          <cell r="E4783">
            <v>0</v>
          </cell>
          <cell r="F4783">
            <v>990</v>
          </cell>
        </row>
        <row r="4784">
          <cell r="A4784" t="str">
            <v>SH0010-XL</v>
          </cell>
          <cell r="B4784" t="str">
            <v>H10</v>
          </cell>
          <cell r="C4784" t="str">
            <v>ซาติน ไฮเอ็น เดรส แขนห้าส่วน ทูโทน Luxury ขาว น้ำตาล XL</v>
          </cell>
          <cell r="E4784">
            <v>0</v>
          </cell>
          <cell r="F4784">
            <v>990</v>
          </cell>
        </row>
        <row r="4785">
          <cell r="A4785" t="str">
            <v>SH0011-L</v>
          </cell>
          <cell r="B4785" t="str">
            <v>JH11</v>
          </cell>
          <cell r="C4785" t="str">
            <v>ซาติน ไฮเอ็น แขนยาวขายาว Blue Mountain L (กปก) ตัวโชว์</v>
          </cell>
          <cell r="E4785">
            <v>0</v>
          </cell>
          <cell r="F4785">
            <v>990</v>
          </cell>
        </row>
        <row r="4786">
          <cell r="A4786" t="str">
            <v>SH0011-M</v>
          </cell>
          <cell r="B4786" t="str">
            <v>H11</v>
          </cell>
          <cell r="C4786" t="str">
            <v>ซาติน ไฮเอ็น แขนยาวขายาว Blue Mountain M (กปก)</v>
          </cell>
          <cell r="E4786">
            <v>0</v>
          </cell>
          <cell r="F4786">
            <v>990</v>
          </cell>
        </row>
        <row r="4787">
          <cell r="A4787" t="str">
            <v>SH0011-XL</v>
          </cell>
          <cell r="B4787" t="str">
            <v>JH11</v>
          </cell>
          <cell r="C4787" t="str">
            <v>ซาติน ไฮเอ็น แขนยาวขายาว Blue Mountain XL (กปก) ตัวโชว์</v>
          </cell>
          <cell r="E4787">
            <v>0</v>
          </cell>
          <cell r="F4787">
            <v>990</v>
          </cell>
        </row>
        <row r="4788">
          <cell r="A4788" t="str">
            <v>SH0012-L</v>
          </cell>
          <cell r="B4788" t="str">
            <v>H12</v>
          </cell>
          <cell r="C4788" t="str">
            <v>ซาติน ไฮเอ็น แขนสั้นขายาว Luxury ขาว น้ำตาล L (กปก)</v>
          </cell>
          <cell r="E4788">
            <v>0</v>
          </cell>
          <cell r="F4788">
            <v>990</v>
          </cell>
        </row>
        <row r="4789">
          <cell r="A4789" t="str">
            <v>SH0012-M</v>
          </cell>
          <cell r="B4789" t="str">
            <v>H12</v>
          </cell>
          <cell r="C4789" t="str">
            <v>ซาติน ไฮเอ็น แขนสั้นขายาว Luxury ขาว น้ำตาล M (กปก)</v>
          </cell>
          <cell r="E4789">
            <v>0</v>
          </cell>
          <cell r="F4789">
            <v>990</v>
          </cell>
        </row>
        <row r="4790">
          <cell r="A4790" t="str">
            <v>SH0012-XL</v>
          </cell>
          <cell r="B4790" t="str">
            <v>H12</v>
          </cell>
          <cell r="C4790" t="str">
            <v>ซาติน ไฮเอ็น แขนสั้นขายาว Luxury ขาว น้ำตาล XL (กปก)</v>
          </cell>
          <cell r="E4790">
            <v>0</v>
          </cell>
          <cell r="F4790">
            <v>990</v>
          </cell>
        </row>
        <row r="4791">
          <cell r="A4791" t="str">
            <v>SH0013-L</v>
          </cell>
          <cell r="B4791" t="str">
            <v>JH13</v>
          </cell>
          <cell r="C4791" t="str">
            <v>ซาติน ไฮเอ็น แขนสั้นขายาว พื้นครีมอ่อน ภาพวาดม้า L (กปก) ตัวโชว์</v>
          </cell>
          <cell r="E4791">
            <v>0</v>
          </cell>
          <cell r="F4791">
            <v>990</v>
          </cell>
        </row>
        <row r="4792">
          <cell r="A4792" t="str">
            <v>SH0013-M</v>
          </cell>
          <cell r="B4792" t="str">
            <v>JH13</v>
          </cell>
          <cell r="C4792" t="str">
            <v>ซาติน ไฮเอ็น แขนสั้นขายาว พื้นครีมอ่อน ภาพวาดม้า M (กปก) ตัวโชว์</v>
          </cell>
          <cell r="E4792">
            <v>0</v>
          </cell>
          <cell r="F4792">
            <v>990</v>
          </cell>
        </row>
        <row r="4793">
          <cell r="A4793" t="str">
            <v>SH0013-XL</v>
          </cell>
          <cell r="B4793" t="str">
            <v>JH13</v>
          </cell>
          <cell r="C4793" t="str">
            <v>ซาติน ไฮเอ็น แขนสั้นขายาว พื้นครีมอ่อน ภาพวาดม้า XL (กปก) ตัวโชว์</v>
          </cell>
          <cell r="E4793">
            <v>0</v>
          </cell>
          <cell r="F4793">
            <v>990</v>
          </cell>
        </row>
        <row r="4794">
          <cell r="A4794" t="str">
            <v>SH0014-L</v>
          </cell>
          <cell r="B4794" t="str">
            <v>JH14</v>
          </cell>
          <cell r="C4794" t="str">
            <v>ซาติน ไฮเอ็น แขนสั้นขายาว หัวใจเล็กระบาย พื้นเขียว L ตัวโชว์</v>
          </cell>
          <cell r="E4794">
            <v>0</v>
          </cell>
          <cell r="F4794">
            <v>990</v>
          </cell>
        </row>
        <row r="4795">
          <cell r="A4795" t="str">
            <v>SH0014-M</v>
          </cell>
          <cell r="B4795" t="str">
            <v>JH14</v>
          </cell>
          <cell r="C4795" t="str">
            <v>ซาติน ไฮเอ็น แขนสั้นขายาว หัวใจเล็กระบาย พื้นเขียว M ตัวโชว์</v>
          </cell>
          <cell r="E4795">
            <v>0</v>
          </cell>
          <cell r="F4795">
            <v>990</v>
          </cell>
        </row>
        <row r="4796">
          <cell r="A4796" t="str">
            <v>SH0014-XL</v>
          </cell>
          <cell r="B4796" t="str">
            <v>JH14</v>
          </cell>
          <cell r="C4796" t="str">
            <v>ซาติน ไฮเอ็น แขนสั้นขายาว หัวใจเล็กระบาย พื้นเขียว XL ตัวโชว์</v>
          </cell>
          <cell r="E4796">
            <v>0</v>
          </cell>
          <cell r="F4796">
            <v>990</v>
          </cell>
        </row>
        <row r="4797">
          <cell r="A4797" t="str">
            <v>SH0015-L</v>
          </cell>
          <cell r="B4797" t="str">
            <v>H15</v>
          </cell>
          <cell r="C4797" t="str">
            <v>ซาติน ไฮเอ็น แขนสั้นขาสั้น Baby Tiger สีเหลือง L (กปก)</v>
          </cell>
          <cell r="E4797">
            <v>0</v>
          </cell>
          <cell r="F4797">
            <v>990</v>
          </cell>
        </row>
        <row r="4798">
          <cell r="A4798" t="str">
            <v>SH0015-M</v>
          </cell>
          <cell r="B4798" t="str">
            <v>H15</v>
          </cell>
          <cell r="C4798" t="str">
            <v>ซาติน ไฮเอ็น แขนสั้นขาสั้น Baby Tiger สีเหลือง M (กปก)</v>
          </cell>
          <cell r="E4798">
            <v>0</v>
          </cell>
          <cell r="F4798">
            <v>990</v>
          </cell>
        </row>
        <row r="4799">
          <cell r="A4799" t="str">
            <v>SH0015-XL</v>
          </cell>
          <cell r="B4799" t="str">
            <v>JH15</v>
          </cell>
          <cell r="C4799" t="str">
            <v>ซาติน ไฮเอ็น แขนสั้นขาสั้น Baby Tiger สีเหลือง XL (กปก) ตัวโชว์</v>
          </cell>
          <cell r="E4799">
            <v>0</v>
          </cell>
          <cell r="F4799">
            <v>990</v>
          </cell>
        </row>
        <row r="4800">
          <cell r="A4800" t="str">
            <v>SH0016-L</v>
          </cell>
          <cell r="B4800" t="str">
            <v>JH16</v>
          </cell>
          <cell r="C4800" t="str">
            <v>ซาติน ไฮเอ็น แขนสั้นขายาว Baby Tiger สีเหลือง L ตัวโชว์</v>
          </cell>
          <cell r="E4800">
            <v>0</v>
          </cell>
          <cell r="F4800">
            <v>990</v>
          </cell>
        </row>
        <row r="4801">
          <cell r="A4801" t="str">
            <v>SH0016-M</v>
          </cell>
          <cell r="B4801" t="str">
            <v>JH16</v>
          </cell>
          <cell r="C4801" t="str">
            <v>ซาติน ไฮเอ็น แขนสั้นขายาว Baby Tiger สีเหลือง M ตัวโชว์</v>
          </cell>
          <cell r="E4801">
            <v>0</v>
          </cell>
          <cell r="F4801">
            <v>990</v>
          </cell>
        </row>
        <row r="4802">
          <cell r="A4802" t="str">
            <v>SH0016-XL</v>
          </cell>
          <cell r="B4802" t="str">
            <v>JH16</v>
          </cell>
          <cell r="C4802" t="str">
            <v>ซาติน ไฮเอ็น แขนสั้นขายาว Baby Tiger สีเหลือง XL ตัวโชว์</v>
          </cell>
          <cell r="E4802">
            <v>0</v>
          </cell>
          <cell r="F4802">
            <v>990</v>
          </cell>
        </row>
        <row r="4803">
          <cell r="A4803" t="str">
            <v>SH0017-L</v>
          </cell>
          <cell r="B4803" t="str">
            <v>H17</v>
          </cell>
          <cell r="C4803" t="str">
            <v>ซาติน ไฮเอ็น แขนสั้นขายาว ลายทางไม้ไผ่ ปกแพนด้า L (กปก)</v>
          </cell>
          <cell r="E4803">
            <v>0</v>
          </cell>
          <cell r="F4803">
            <v>990</v>
          </cell>
        </row>
        <row r="4804">
          <cell r="A4804" t="str">
            <v>SH0017-M</v>
          </cell>
          <cell r="B4804" t="str">
            <v>H17</v>
          </cell>
          <cell r="C4804" t="str">
            <v>ซาติน ไฮเอ็น แขนสั้นขายาว ลายทางไม้ไผ่ ปกแพนด้า M (กปก)</v>
          </cell>
          <cell r="E4804">
            <v>0</v>
          </cell>
          <cell r="F4804">
            <v>990</v>
          </cell>
        </row>
        <row r="4805">
          <cell r="A4805" t="str">
            <v>SH0017-XL</v>
          </cell>
          <cell r="B4805" t="str">
            <v>H17</v>
          </cell>
          <cell r="C4805" t="str">
            <v>ซาติน ไฮเอ็น แขนสั้นขายาว ลายทางไม้ไผ่ ปกแพนด้า XL (กปก)</v>
          </cell>
          <cell r="E4805">
            <v>0</v>
          </cell>
          <cell r="F4805">
            <v>990</v>
          </cell>
        </row>
        <row r="4806">
          <cell r="A4806" t="str">
            <v>SH0018-L</v>
          </cell>
          <cell r="B4806" t="str">
            <v>JH18</v>
          </cell>
          <cell r="C4806" t="str">
            <v>ซาติน ไฮเอ็น แขนยาวขายาว Luxury  น้ำตาล L ตัวโชว์</v>
          </cell>
          <cell r="E4806">
            <v>0</v>
          </cell>
          <cell r="F4806">
            <v>990</v>
          </cell>
        </row>
        <row r="4807">
          <cell r="A4807" t="str">
            <v>SH0018-M</v>
          </cell>
          <cell r="B4807" t="str">
            <v>H18</v>
          </cell>
          <cell r="C4807" t="str">
            <v>ซาติน ไฮเอ็น แขนยาวขายาว Luxury  น้ำตาล M</v>
          </cell>
          <cell r="E4807">
            <v>0</v>
          </cell>
          <cell r="F4807">
            <v>990</v>
          </cell>
        </row>
        <row r="4808">
          <cell r="A4808" t="str">
            <v>SH0018-XL</v>
          </cell>
          <cell r="B4808" t="str">
            <v>JH18</v>
          </cell>
          <cell r="C4808" t="str">
            <v>ซาติน ไฮเอ็น แขนยาวขายาว Luxury  น้ำตาล XL ตัวโชว์</v>
          </cell>
          <cell r="E4808">
            <v>0</v>
          </cell>
          <cell r="F4808">
            <v>990</v>
          </cell>
        </row>
        <row r="4809">
          <cell r="A4809" t="str">
            <v>SH0019-L</v>
          </cell>
          <cell r="B4809" t="str">
            <v>H19</v>
          </cell>
          <cell r="C4809" t="str">
            <v>ซาติน ไฮเอ็น แขนยาวขายาว พื้นฟ้า ปกน้ำเงิน L</v>
          </cell>
          <cell r="E4809">
            <v>0</v>
          </cell>
          <cell r="F4809">
            <v>990</v>
          </cell>
        </row>
        <row r="4810">
          <cell r="A4810" t="str">
            <v>SH0019-M</v>
          </cell>
          <cell r="B4810" t="str">
            <v>H19</v>
          </cell>
          <cell r="C4810" t="str">
            <v>ซาติน ไฮเอ็น แขนยาวขายาว พื้นฟ้า ปกน้ำเงิน M</v>
          </cell>
          <cell r="E4810">
            <v>0</v>
          </cell>
          <cell r="F4810">
            <v>990</v>
          </cell>
        </row>
        <row r="4811">
          <cell r="A4811" t="str">
            <v>SH0019-XL</v>
          </cell>
          <cell r="B4811" t="str">
            <v>H19</v>
          </cell>
          <cell r="C4811" t="str">
            <v>ซาติน ไฮเอ็น แขนยาวขายาว พื้นฟ้า ปกน้ำเงิน XL</v>
          </cell>
          <cell r="E4811">
            <v>0</v>
          </cell>
          <cell r="F4811">
            <v>990</v>
          </cell>
        </row>
        <row r="4812">
          <cell r="A4812" t="str">
            <v>SH0020-L</v>
          </cell>
          <cell r="B4812" t="str">
            <v>H20</v>
          </cell>
          <cell r="C4812" t="str">
            <v>ซาติน ไฮเอ็น เสื้อคลุม พื้นชมพูอ่อน พู่กัน กระเป๋าจิ้งจอก L</v>
          </cell>
          <cell r="E4812">
            <v>0</v>
          </cell>
          <cell r="F4812">
            <v>990</v>
          </cell>
        </row>
        <row r="4813">
          <cell r="A4813" t="str">
            <v>SH0020-M</v>
          </cell>
          <cell r="B4813" t="str">
            <v>H20</v>
          </cell>
          <cell r="C4813" t="str">
            <v>ซาติน ไฮเอ็น เสื้อคลุม พื้นชมพูอ่อน พู่กัน กระเป๋าจิ้งจอก M</v>
          </cell>
          <cell r="E4813">
            <v>0</v>
          </cell>
          <cell r="F4813">
            <v>990</v>
          </cell>
        </row>
        <row r="4814">
          <cell r="A4814" t="str">
            <v>SH0020-XL</v>
          </cell>
          <cell r="B4814" t="str">
            <v>H20</v>
          </cell>
          <cell r="C4814" t="str">
            <v>ซาติน ไฮเอ็น เสื้อคลุม พื้นชมพูอ่อน พู่กัน กระเป๋าจิ้งจอก XL</v>
          </cell>
          <cell r="E4814">
            <v>0</v>
          </cell>
          <cell r="F4814">
            <v>990</v>
          </cell>
        </row>
        <row r="4815">
          <cell r="A4815" t="str">
            <v>SH0021-L</v>
          </cell>
          <cell r="B4815" t="str">
            <v>H21</v>
          </cell>
          <cell r="C4815" t="str">
            <v>ซาติน ไฮเอ็น แขนยาวขายาว พื้นขาว หน้าต่างดำ L</v>
          </cell>
          <cell r="E4815">
            <v>0</v>
          </cell>
          <cell r="F4815">
            <v>990</v>
          </cell>
        </row>
        <row r="4816">
          <cell r="A4816" t="str">
            <v>SH0021-M</v>
          </cell>
          <cell r="B4816" t="str">
            <v>JH21</v>
          </cell>
          <cell r="C4816" t="str">
            <v>ซาติน ไฮเอ็น แขนยาวขายาว พื้นขาว หน้าต่างดำ M ตัวโชว์</v>
          </cell>
          <cell r="E4816">
            <v>0</v>
          </cell>
          <cell r="F4816">
            <v>990</v>
          </cell>
        </row>
        <row r="4817">
          <cell r="A4817" t="str">
            <v>SH0021-XL</v>
          </cell>
          <cell r="B4817" t="str">
            <v>H21</v>
          </cell>
          <cell r="C4817" t="str">
            <v>ซาติน ไฮเอ็น แขนยาวขายาว พื้นขาว หน้าต่างดำ XL</v>
          </cell>
          <cell r="E4817">
            <v>0</v>
          </cell>
          <cell r="F4817">
            <v>990</v>
          </cell>
        </row>
        <row r="4818">
          <cell r="A4818" t="str">
            <v>SH0022-L</v>
          </cell>
          <cell r="B4818" t="str">
            <v>H22</v>
          </cell>
          <cell r="C4818" t="str">
            <v>ซาติน ไฮเอ็น แขนสั้นขายาว ตารางชมพู กระเป๋าจิ้งจอก L (กปก)</v>
          </cell>
          <cell r="E4818">
            <v>0</v>
          </cell>
          <cell r="F4818">
            <v>990</v>
          </cell>
        </row>
        <row r="4819">
          <cell r="A4819" t="str">
            <v>SH0022-M</v>
          </cell>
          <cell r="B4819" t="str">
            <v>H22</v>
          </cell>
          <cell r="C4819" t="str">
            <v>ซาติน ไฮเอ็น แขนสั้นขายาว ตารางชมพู กระเป๋าจิ้งจอก M (กปก)</v>
          </cell>
          <cell r="E4819">
            <v>0</v>
          </cell>
          <cell r="F4819">
            <v>990</v>
          </cell>
        </row>
        <row r="4820">
          <cell r="A4820" t="str">
            <v>SH0022-XL</v>
          </cell>
          <cell r="B4820" t="str">
            <v>H22</v>
          </cell>
          <cell r="C4820" t="str">
            <v>ซาติน ไฮเอ็น แขนสั้นขายาว ตารางชมพู กระเป๋าจิ้งจอก XL (กปก)</v>
          </cell>
          <cell r="E4820">
            <v>0</v>
          </cell>
          <cell r="F4820">
            <v>990</v>
          </cell>
        </row>
        <row r="4821">
          <cell r="A4821" t="str">
            <v>SH0023-L</v>
          </cell>
          <cell r="B4821" t="str">
            <v>H23</v>
          </cell>
          <cell r="C4821" t="str">
            <v>ซาติน ไฮเอ็น แขนยาวขายาว พื้นชมพูอ่อน พู่กัน กระเป๋าจิ้งจอก L (กปก)</v>
          </cell>
          <cell r="E4821">
            <v>0</v>
          </cell>
          <cell r="F4821">
            <v>990</v>
          </cell>
        </row>
        <row r="4822">
          <cell r="A4822" t="str">
            <v>SH0023-M</v>
          </cell>
          <cell r="B4822" t="str">
            <v>H23</v>
          </cell>
          <cell r="C4822" t="str">
            <v>ซาติน ไฮเอ็น แขนยาวขายาว พื้นชมพูอ่อน พู่กัน กระเป๋าจิ้งจอก M (กปก)</v>
          </cell>
          <cell r="E4822">
            <v>0</v>
          </cell>
          <cell r="F4822">
            <v>990</v>
          </cell>
        </row>
        <row r="4823">
          <cell r="A4823" t="str">
            <v>SH0023-XL</v>
          </cell>
          <cell r="B4823" t="str">
            <v>JH23</v>
          </cell>
          <cell r="C4823" t="str">
            <v>ซาติน ไฮเอ็น แขนยาวขายาว พื้นชมพูอ่อน พู่กัน กระเป๋าจิ้งจอก XL (กปก) ตัวโชว์</v>
          </cell>
          <cell r="E4823">
            <v>0</v>
          </cell>
          <cell r="F4823">
            <v>990</v>
          </cell>
        </row>
        <row r="4824">
          <cell r="A4824" t="str">
            <v>SH0024-L</v>
          </cell>
          <cell r="B4824" t="str">
            <v>JH24</v>
          </cell>
          <cell r="C4824" t="str">
            <v>ซาติน ไฮเอ็น เดรส สายเดี่ยว Blue Mountain L ตัวโชว์</v>
          </cell>
          <cell r="E4824">
            <v>0</v>
          </cell>
          <cell r="F4824">
            <v>990</v>
          </cell>
        </row>
        <row r="4825">
          <cell r="A4825" t="str">
            <v>SH0024-M</v>
          </cell>
          <cell r="B4825" t="str">
            <v>JH24</v>
          </cell>
          <cell r="C4825" t="str">
            <v>ซาติน ไฮเอ็น เดรส สายเดี่ยว Blue Mountain M ตัวโชว์</v>
          </cell>
          <cell r="E4825">
            <v>0</v>
          </cell>
          <cell r="F4825">
            <v>990</v>
          </cell>
        </row>
        <row r="4826">
          <cell r="A4826" t="str">
            <v>SH0025-L</v>
          </cell>
          <cell r="B4826" t="str">
            <v>H25</v>
          </cell>
          <cell r="C4826" t="str">
            <v>ซาติน ไฮเอ็น แขนยาวขายาว พื้นครีม ปกขาว L</v>
          </cell>
          <cell r="E4826">
            <v>0</v>
          </cell>
          <cell r="F4826">
            <v>990</v>
          </cell>
        </row>
        <row r="4827">
          <cell r="A4827" t="str">
            <v>SH0025-M</v>
          </cell>
          <cell r="B4827" t="str">
            <v>H25</v>
          </cell>
          <cell r="C4827" t="str">
            <v>ซาติน ไฮเอ็น แขนยาวขายาว พื้นครีม ปกขาว M</v>
          </cell>
          <cell r="E4827">
            <v>0</v>
          </cell>
          <cell r="F4827">
            <v>990</v>
          </cell>
        </row>
        <row r="4828">
          <cell r="A4828" t="str">
            <v>SH0025-XL</v>
          </cell>
          <cell r="B4828" t="str">
            <v>JH25</v>
          </cell>
          <cell r="C4828" t="str">
            <v>ซาติน ไฮเอ็น แขนยาวขายาว พื้นครีม ปกขาว XL ตัวโชว์</v>
          </cell>
          <cell r="E4828">
            <v>0</v>
          </cell>
          <cell r="F4828">
            <v>990</v>
          </cell>
        </row>
        <row r="4829">
          <cell r="A4829" t="str">
            <v>SH0026-L</v>
          </cell>
          <cell r="B4829" t="str">
            <v>H26</v>
          </cell>
          <cell r="C4829" t="str">
            <v>ซาติน ไฮเอ็น แขนยาวขายาว พื้นชมพู ปกกรม L</v>
          </cell>
          <cell r="E4829">
            <v>0</v>
          </cell>
          <cell r="F4829">
            <v>990</v>
          </cell>
        </row>
        <row r="4830">
          <cell r="A4830" t="str">
            <v>SH0026-M</v>
          </cell>
          <cell r="B4830" t="str">
            <v>JH26</v>
          </cell>
          <cell r="C4830" t="str">
            <v>ซาติน ไฮเอ็น แขนยาวขายาว พื้นชมพู ปกกรม M ตัวโชว์</v>
          </cell>
          <cell r="E4830">
            <v>0</v>
          </cell>
          <cell r="F4830">
            <v>990</v>
          </cell>
        </row>
        <row r="4831">
          <cell r="A4831" t="str">
            <v>SH0026-XL</v>
          </cell>
          <cell r="B4831" t="str">
            <v>H26</v>
          </cell>
          <cell r="C4831" t="str">
            <v>ซาติน ไฮเอ็น แขนยาวขายาว พื้นชมพู ปกกรม XL</v>
          </cell>
          <cell r="E4831">
            <v>0</v>
          </cell>
          <cell r="F4831">
            <v>990</v>
          </cell>
        </row>
        <row r="4832">
          <cell r="A4832" t="str">
            <v>SH0027-L</v>
          </cell>
          <cell r="B4832" t="str">
            <v>H27</v>
          </cell>
          <cell r="C4832" t="str">
            <v>ซาติน ไฮเอ็น แขนยาวขายาว พื้นเขียว ปกขาว L</v>
          </cell>
          <cell r="E4832">
            <v>0</v>
          </cell>
          <cell r="F4832">
            <v>990</v>
          </cell>
        </row>
        <row r="4833">
          <cell r="A4833" t="str">
            <v>SH0027-M</v>
          </cell>
          <cell r="B4833" t="str">
            <v>H27</v>
          </cell>
          <cell r="C4833" t="str">
            <v>ซาติน ไฮเอ็น แขนยาวขายาว พื้นเขียว ปกขาว M</v>
          </cell>
          <cell r="E4833">
            <v>0</v>
          </cell>
          <cell r="F4833">
            <v>990</v>
          </cell>
        </row>
        <row r="4834">
          <cell r="A4834" t="str">
            <v>SH0027-XL</v>
          </cell>
          <cell r="B4834" t="str">
            <v>H27</v>
          </cell>
          <cell r="C4834" t="str">
            <v>ซาติน ไฮเอ็น แขนยาวขายาว พื้นเขียว ปกขาว XL</v>
          </cell>
          <cell r="E4834">
            <v>0</v>
          </cell>
          <cell r="F4834">
            <v>990</v>
          </cell>
        </row>
        <row r="4835">
          <cell r="A4835" t="str">
            <v>SH0028-L</v>
          </cell>
          <cell r="B4835" t="str">
            <v>H28</v>
          </cell>
          <cell r="C4835" t="str">
            <v>ซาติน ไฮเอ็น แขนยาวขายาว พื้นเหลือง ปกขาว L</v>
          </cell>
          <cell r="E4835">
            <v>0</v>
          </cell>
          <cell r="F4835">
            <v>990</v>
          </cell>
        </row>
        <row r="4836">
          <cell r="A4836" t="str">
            <v>SH0028-M</v>
          </cell>
          <cell r="B4836" t="str">
            <v>H28</v>
          </cell>
          <cell r="C4836" t="str">
            <v>ซาติน ไฮเอ็น แขนยาวขายาว พื้นเหลือง ปกขาว M</v>
          </cell>
          <cell r="E4836">
            <v>0</v>
          </cell>
          <cell r="F4836">
            <v>990</v>
          </cell>
        </row>
        <row r="4837">
          <cell r="A4837" t="str">
            <v>SH0028-XL</v>
          </cell>
          <cell r="B4837" t="str">
            <v>H28</v>
          </cell>
          <cell r="C4837" t="str">
            <v>ซาติน ไฮเอ็น แขนยาวขายาว พื้นเหลือง ปกขาว XL</v>
          </cell>
          <cell r="E4837">
            <v>0</v>
          </cell>
          <cell r="F4837">
            <v>990</v>
          </cell>
        </row>
        <row r="4838">
          <cell r="A4838" t="str">
            <v>SH0029-L</v>
          </cell>
          <cell r="B4838" t="str">
            <v>H29</v>
          </cell>
          <cell r="C4838" t="str">
            <v>ซาติน ไฮเอ็น แขนสั้นขายาว พื้นฟ้า ขอบดำ กระเป๋า V L</v>
          </cell>
          <cell r="E4838">
            <v>0</v>
          </cell>
          <cell r="F4838">
            <v>990</v>
          </cell>
        </row>
        <row r="4839">
          <cell r="A4839" t="str">
            <v>SH0029-M</v>
          </cell>
          <cell r="B4839" t="str">
            <v>H29</v>
          </cell>
          <cell r="C4839" t="str">
            <v>ซาติน ไฮเอ็น แขนสั้นขายาว พื้นฟ้า ขอบดำ กระเป๋า V M</v>
          </cell>
          <cell r="E4839">
            <v>0</v>
          </cell>
          <cell r="F4839">
            <v>990</v>
          </cell>
        </row>
        <row r="4840">
          <cell r="A4840" t="str">
            <v>SH0029-XL</v>
          </cell>
          <cell r="B4840" t="str">
            <v>H29</v>
          </cell>
          <cell r="C4840" t="str">
            <v>ซาติน ไฮเอ็น แขนสั้นขายาว พื้นฟ้า ขอบดำ กระเป๋า V XL</v>
          </cell>
          <cell r="E4840">
            <v>0</v>
          </cell>
          <cell r="F4840">
            <v>990</v>
          </cell>
        </row>
        <row r="4841">
          <cell r="A4841" t="str">
            <v>SH0030-L</v>
          </cell>
          <cell r="B4841" t="str">
            <v>H30</v>
          </cell>
          <cell r="C4841" t="str">
            <v>ซาติน ไฮเอ็น แขนสั้นขายาว พื้นครีม ขอบดำ กระเป๋า V L</v>
          </cell>
          <cell r="E4841">
            <v>0</v>
          </cell>
          <cell r="F4841">
            <v>990</v>
          </cell>
        </row>
        <row r="4842">
          <cell r="A4842" t="str">
            <v>SH0030-M</v>
          </cell>
          <cell r="B4842" t="str">
            <v>H30</v>
          </cell>
          <cell r="C4842" t="str">
            <v>ซาติน ไฮเอ็น แขนสั้นขายาว พื้นครีม ขอบดำ กระเป๋า V M</v>
          </cell>
          <cell r="E4842">
            <v>0</v>
          </cell>
          <cell r="F4842">
            <v>990</v>
          </cell>
        </row>
        <row r="4843">
          <cell r="A4843" t="str">
            <v>SH0030-XL</v>
          </cell>
          <cell r="B4843" t="str">
            <v>H30</v>
          </cell>
          <cell r="C4843" t="str">
            <v>ซาติน ไฮเอ็น แขนสั้นขายาว พื้นครีม ขอบดำ กระเป๋า V XL</v>
          </cell>
          <cell r="E4843">
            <v>0</v>
          </cell>
          <cell r="F4843">
            <v>990</v>
          </cell>
        </row>
        <row r="4844">
          <cell r="A4844" t="str">
            <v>SH0031-L</v>
          </cell>
          <cell r="B4844" t="str">
            <v>H31</v>
          </cell>
          <cell r="C4844" t="str">
            <v>ซาติน ไฮเอ็น แขนยาวขายาว จิ๊กซอว์ ชมพู L</v>
          </cell>
          <cell r="E4844">
            <v>0</v>
          </cell>
          <cell r="F4844">
            <v>990</v>
          </cell>
        </row>
        <row r="4845">
          <cell r="A4845" t="str">
            <v>SH0031-M</v>
          </cell>
          <cell r="B4845" t="str">
            <v>JH31</v>
          </cell>
          <cell r="C4845" t="str">
            <v>ซาติน ไฮเอ็น แขนยาวขายาว จิ๊กซอว์ ชมพู M ตัวโชว์</v>
          </cell>
          <cell r="E4845">
            <v>0</v>
          </cell>
          <cell r="F4845">
            <v>990</v>
          </cell>
        </row>
        <row r="4846">
          <cell r="A4846" t="str">
            <v>SH0031-XL</v>
          </cell>
          <cell r="B4846" t="str">
            <v>JH31</v>
          </cell>
          <cell r="C4846" t="str">
            <v>ซาติน ไฮเอ็น แขนยาวขายาว จิ๊กซอว์ ชมพู XL ตัวโชว์</v>
          </cell>
          <cell r="E4846">
            <v>0</v>
          </cell>
          <cell r="F4846">
            <v>990</v>
          </cell>
        </row>
        <row r="4847">
          <cell r="A4847" t="str">
            <v>SH0032-L</v>
          </cell>
          <cell r="B4847" t="str">
            <v>JH32</v>
          </cell>
          <cell r="C4847" t="str">
            <v>ซาติน ไฮเอ็น เดรสแขนสั้น จิ๊กซอว์ ชมพู L ตัวโชว์</v>
          </cell>
          <cell r="E4847">
            <v>0</v>
          </cell>
          <cell r="F4847">
            <v>990</v>
          </cell>
        </row>
        <row r="4848">
          <cell r="A4848" t="str">
            <v>SH0032-M</v>
          </cell>
          <cell r="B4848" t="str">
            <v>H32</v>
          </cell>
          <cell r="C4848" t="str">
            <v>ซาติน ไฮเอ็น เดรสแขนสั้น จิ๊กซอว์ ชมพู M</v>
          </cell>
          <cell r="E4848">
            <v>0</v>
          </cell>
          <cell r="F4848">
            <v>990</v>
          </cell>
        </row>
        <row r="4849">
          <cell r="A4849" t="str">
            <v>SH0033-L</v>
          </cell>
          <cell r="B4849" t="str">
            <v>JH33</v>
          </cell>
          <cell r="C4849" t="str">
            <v>ซาติน ไฮเอ็น แขนยาวขายาว พื้นน้ำเงิน ปกขาว L ตัวโชว์</v>
          </cell>
          <cell r="E4849">
            <v>0</v>
          </cell>
          <cell r="F4849">
            <v>990</v>
          </cell>
        </row>
        <row r="4850">
          <cell r="A4850" t="str">
            <v>SH0033-M</v>
          </cell>
          <cell r="B4850" t="str">
            <v>JH33</v>
          </cell>
          <cell r="C4850" t="str">
            <v>ซาติน ไฮเอ็น แขนยาวขายาว พื้นน้ำเงิน ปกขาว M ตัวโชว์</v>
          </cell>
          <cell r="E4850">
            <v>0</v>
          </cell>
          <cell r="F4850">
            <v>990</v>
          </cell>
        </row>
        <row r="4851">
          <cell r="A4851" t="str">
            <v>SH0033-XL</v>
          </cell>
          <cell r="B4851" t="str">
            <v>JH33</v>
          </cell>
          <cell r="C4851" t="str">
            <v>ซาติน ไฮเอ็น แขนยาวขายาว พื้นน้ำเงิน ปกขาว XL ตัวโชว์</v>
          </cell>
          <cell r="E4851">
            <v>0</v>
          </cell>
          <cell r="F4851">
            <v>990</v>
          </cell>
        </row>
        <row r="4852">
          <cell r="A4852" t="str">
            <v>SH0034-L</v>
          </cell>
          <cell r="B4852" t="str">
            <v>H34</v>
          </cell>
          <cell r="C4852" t="str">
            <v>ซาติน ไฮเอ็น เดรส แขนสั้น Blue Mountain L</v>
          </cell>
          <cell r="E4852">
            <v>0</v>
          </cell>
          <cell r="F4852">
            <v>990</v>
          </cell>
        </row>
        <row r="4853">
          <cell r="A4853" t="str">
            <v>SH0034-M</v>
          </cell>
          <cell r="B4853" t="str">
            <v>QH34</v>
          </cell>
          <cell r="C4853" t="str">
            <v>ซาติน ไฮเอ็น เดรส แขนสั้น Blue Mountain M QC</v>
          </cell>
          <cell r="E4853">
            <v>0</v>
          </cell>
          <cell r="F4853">
            <v>990</v>
          </cell>
        </row>
        <row r="4854">
          <cell r="A4854" t="str">
            <v>SH0034-XL</v>
          </cell>
          <cell r="B4854" t="str">
            <v>H34</v>
          </cell>
          <cell r="C4854" t="str">
            <v>ซาติน ไฮเอ็น เดรส แขนสั้น Blue Mountain XL</v>
          </cell>
          <cell r="E4854">
            <v>0</v>
          </cell>
          <cell r="F4854">
            <v>990</v>
          </cell>
        </row>
        <row r="4855">
          <cell r="A4855" t="str">
            <v>SJ0001-L</v>
          </cell>
          <cell r="B4855" t="str">
            <v>J1</v>
          </cell>
          <cell r="C4855" t="str">
            <v>ซาติน ขายาว กราฟฟิค ดอกไม้ส้ม L</v>
          </cell>
          <cell r="E4855">
            <v>0</v>
          </cell>
          <cell r="F4855">
            <v>690</v>
          </cell>
        </row>
        <row r="4856">
          <cell r="A4856" t="str">
            <v>SJ0001-M</v>
          </cell>
          <cell r="B4856" t="str">
            <v>J1</v>
          </cell>
          <cell r="C4856" t="str">
            <v>ซาติน ขายาว กราฟฟิค ดอกไม้ส้ม M</v>
          </cell>
          <cell r="E4856">
            <v>0</v>
          </cell>
          <cell r="F4856">
            <v>590</v>
          </cell>
        </row>
        <row r="4857">
          <cell r="A4857" t="str">
            <v>SJ0001-XL</v>
          </cell>
          <cell r="B4857" t="str">
            <v>J1</v>
          </cell>
          <cell r="C4857" t="str">
            <v>ซาติน ขายาว กราฟฟิค ดอกไม้ส้ม XL</v>
          </cell>
          <cell r="E4857">
            <v>0</v>
          </cell>
          <cell r="F4857">
            <v>690</v>
          </cell>
        </row>
        <row r="4858">
          <cell r="A4858" t="str">
            <v>SK0001-M</v>
          </cell>
          <cell r="B4858" t="str">
            <v>K1</v>
          </cell>
          <cell r="C4858" t="str">
            <v>ซาติน เดรสแขนยาว แพนด้า ชมพู M</v>
          </cell>
          <cell r="E4858">
            <v>0</v>
          </cell>
          <cell r="F4858">
            <v>890</v>
          </cell>
        </row>
        <row r="4859">
          <cell r="A4859" t="str">
            <v>SK0001-S</v>
          </cell>
          <cell r="B4859" t="str">
            <v>K1</v>
          </cell>
          <cell r="C4859" t="str">
            <v>ซาติน เดรสแขนยาว แพนด้าชมพู S</v>
          </cell>
          <cell r="E4859">
            <v>0</v>
          </cell>
          <cell r="F4859">
            <v>890</v>
          </cell>
        </row>
        <row r="4860">
          <cell r="A4860" t="str">
            <v>SK0002-M</v>
          </cell>
          <cell r="B4860" t="str">
            <v>K2</v>
          </cell>
          <cell r="C4860" t="str">
            <v>ซาติน เดรสแขนยาว แพนด้าเขียวเข้ม M</v>
          </cell>
          <cell r="E4860">
            <v>0</v>
          </cell>
          <cell r="F4860">
            <v>890</v>
          </cell>
        </row>
        <row r="4861">
          <cell r="A4861" t="str">
            <v>SK0002-S</v>
          </cell>
          <cell r="B4861" t="str">
            <v>K2</v>
          </cell>
          <cell r="C4861" t="str">
            <v>ซาติน เดรสแขนยาว แพนด้า เขียวเข้ม S</v>
          </cell>
          <cell r="E4861">
            <v>0</v>
          </cell>
          <cell r="F4861">
            <v>890</v>
          </cell>
        </row>
        <row r="4862">
          <cell r="A4862" t="str">
            <v>SK0003-M</v>
          </cell>
          <cell r="B4862" t="str">
            <v>K3</v>
          </cell>
          <cell r="C4862" t="str">
            <v>ซาติน เดรสแขนยาว ดอกกุหลาบ M</v>
          </cell>
          <cell r="E4862">
            <v>0</v>
          </cell>
          <cell r="F4862">
            <v>890</v>
          </cell>
        </row>
        <row r="4863">
          <cell r="A4863" t="str">
            <v>SK0004-L</v>
          </cell>
          <cell r="B4863" t="str">
            <v>K4</v>
          </cell>
          <cell r="C4863" t="str">
            <v>ซาติน เดรส ตารางขาวดำ L</v>
          </cell>
          <cell r="E4863">
            <v>0</v>
          </cell>
          <cell r="F4863">
            <v>890</v>
          </cell>
        </row>
        <row r="4864">
          <cell r="A4864" t="str">
            <v>SK0004-M</v>
          </cell>
          <cell r="B4864" t="str">
            <v>K4</v>
          </cell>
          <cell r="C4864" t="str">
            <v>ซาติน เดรส ตาราง ขาวดำ M</v>
          </cell>
          <cell r="E4864">
            <v>0</v>
          </cell>
          <cell r="F4864">
            <v>890</v>
          </cell>
        </row>
        <row r="4865">
          <cell r="A4865" t="str">
            <v>SK0004-XL</v>
          </cell>
          <cell r="B4865" t="str">
            <v>K4</v>
          </cell>
          <cell r="C4865" t="str">
            <v>ซาติน เดรส ตาราง ขาวดำ XL</v>
          </cell>
          <cell r="E4865">
            <v>0</v>
          </cell>
          <cell r="F4865">
            <v>890</v>
          </cell>
        </row>
        <row r="4866">
          <cell r="A4866" t="str">
            <v>SK0005-L</v>
          </cell>
          <cell r="B4866" t="str">
            <v>JK5</v>
          </cell>
          <cell r="C4866" t="str">
            <v>ซาติน เดรส+กางเกง ชมพู นู้ด L ตัวโชว์</v>
          </cell>
          <cell r="E4866">
            <v>0</v>
          </cell>
          <cell r="F4866">
            <v>890</v>
          </cell>
        </row>
        <row r="4867">
          <cell r="A4867" t="str">
            <v>SK0005-M</v>
          </cell>
          <cell r="B4867" t="str">
            <v>JK5</v>
          </cell>
          <cell r="C4867" t="str">
            <v>ซาติน เดรส+กางเกง ชมพู นู้ด M ตัวโชว์</v>
          </cell>
          <cell r="E4867">
            <v>0</v>
          </cell>
          <cell r="F4867">
            <v>890</v>
          </cell>
        </row>
        <row r="4868">
          <cell r="A4868" t="str">
            <v>SK0006-L</v>
          </cell>
          <cell r="B4868" t="str">
            <v>JK6</v>
          </cell>
          <cell r="C4868" t="str">
            <v>ซาติน เดรส+กางเกง ฟ้าเข้ม L ตัวโชว์</v>
          </cell>
          <cell r="E4868">
            <v>0</v>
          </cell>
          <cell r="F4868">
            <v>890</v>
          </cell>
        </row>
        <row r="4869">
          <cell r="A4869" t="str">
            <v>SK0006-M</v>
          </cell>
          <cell r="B4869" t="str">
            <v>JK6</v>
          </cell>
          <cell r="C4869" t="str">
            <v>ซาติน เดรส+กางเกง ฟ้าเข้ม M ตัวโชว์</v>
          </cell>
          <cell r="E4869">
            <v>0</v>
          </cell>
          <cell r="F4869">
            <v>890</v>
          </cell>
        </row>
        <row r="4870">
          <cell r="A4870" t="str">
            <v>SK0007-L</v>
          </cell>
          <cell r="B4870" t="str">
            <v>K7</v>
          </cell>
          <cell r="C4870" t="str">
            <v>ซาติน เดรสแขนสั้น สีขาว ขอบโอรส L</v>
          </cell>
          <cell r="E4870">
            <v>0</v>
          </cell>
          <cell r="F4870">
            <v>890</v>
          </cell>
        </row>
        <row r="4871">
          <cell r="A4871" t="str">
            <v>SK0007-M</v>
          </cell>
          <cell r="B4871" t="str">
            <v>K7</v>
          </cell>
          <cell r="C4871" t="str">
            <v>ซาติน เดรสแขนสั้น สีขาว ขอบโอรส M</v>
          </cell>
          <cell r="E4871">
            <v>0</v>
          </cell>
          <cell r="F4871">
            <v>890</v>
          </cell>
        </row>
        <row r="4872">
          <cell r="A4872" t="str">
            <v>SK0008-L</v>
          </cell>
          <cell r="B4872" t="str">
            <v>K8</v>
          </cell>
          <cell r="C4872" t="str">
            <v>ซาติน เดรสแขนสั้น ลายทางชมพู โบว์ดำ L</v>
          </cell>
          <cell r="E4872">
            <v>0</v>
          </cell>
          <cell r="F4872">
            <v>890</v>
          </cell>
        </row>
        <row r="4873">
          <cell r="A4873" t="str">
            <v>SK0008-M</v>
          </cell>
          <cell r="B4873" t="str">
            <v>K8</v>
          </cell>
          <cell r="C4873" t="str">
            <v>ซาติน เดรสแขนสั้น ลายทางชมพู โบว์ดำ M</v>
          </cell>
          <cell r="E4873">
            <v>0</v>
          </cell>
          <cell r="F4873">
            <v>890</v>
          </cell>
        </row>
        <row r="4874">
          <cell r="A4874" t="str">
            <v>SK0009-L</v>
          </cell>
          <cell r="B4874" t="str">
            <v>K9</v>
          </cell>
          <cell r="C4874" t="str">
            <v>ซาติน เดรส คอบัว นางฟ้า ขาวขอบดำ L</v>
          </cell>
          <cell r="E4874">
            <v>0</v>
          </cell>
          <cell r="F4874">
            <v>890</v>
          </cell>
        </row>
        <row r="4875">
          <cell r="A4875" t="str">
            <v>SK0009-M</v>
          </cell>
          <cell r="B4875" t="str">
            <v>K9</v>
          </cell>
          <cell r="C4875" t="str">
            <v>ซาติน เดรส คอบัว นางฟ้า ขาวขอบดำ M</v>
          </cell>
          <cell r="E4875">
            <v>0</v>
          </cell>
          <cell r="F4875">
            <v>890</v>
          </cell>
        </row>
        <row r="4876">
          <cell r="A4876" t="str">
            <v>SK0010-L</v>
          </cell>
          <cell r="B4876" t="str">
            <v>K10</v>
          </cell>
          <cell r="C4876" t="str">
            <v>ซาติน เดรส คอบัว นางฟ้า ชมพู ขอบม่วง L</v>
          </cell>
          <cell r="E4876">
            <v>0</v>
          </cell>
          <cell r="F4876">
            <v>890</v>
          </cell>
        </row>
        <row r="4877">
          <cell r="A4877" t="str">
            <v>SK0010-M</v>
          </cell>
          <cell r="B4877" t="str">
            <v>K10</v>
          </cell>
          <cell r="C4877" t="str">
            <v>ซาติน เดรส คอบัว นางฟ้า ชมพู ขอบม่วง M</v>
          </cell>
          <cell r="E4877">
            <v>0</v>
          </cell>
          <cell r="F4877">
            <v>890</v>
          </cell>
        </row>
        <row r="4878">
          <cell r="A4878" t="str">
            <v>SK0011-L</v>
          </cell>
          <cell r="B4878" t="str">
            <v>K11</v>
          </cell>
          <cell r="C4878" t="str">
            <v>ซาติน เดรส คอระบาย สีเขียวมิ้น L</v>
          </cell>
          <cell r="E4878">
            <v>0</v>
          </cell>
          <cell r="F4878">
            <v>890</v>
          </cell>
        </row>
        <row r="4879">
          <cell r="A4879" t="str">
            <v>SK0011-M</v>
          </cell>
          <cell r="B4879" t="str">
            <v>K11</v>
          </cell>
          <cell r="C4879" t="str">
            <v>ซาติน เดรส คอระบาย สีเขียวมิ้น M</v>
          </cell>
          <cell r="E4879">
            <v>0</v>
          </cell>
          <cell r="F4879">
            <v>890</v>
          </cell>
        </row>
        <row r="4880">
          <cell r="A4880" t="str">
            <v>SK0012-F</v>
          </cell>
          <cell r="B4880" t="str">
            <v>K12</v>
          </cell>
          <cell r="C4880" t="str">
            <v>ซาติน เดรสแขนสี่ส่วน น้องแมว Freesize</v>
          </cell>
          <cell r="E4880">
            <v>0</v>
          </cell>
          <cell r="F4880">
            <v>890</v>
          </cell>
        </row>
        <row r="4881">
          <cell r="A4881" t="str">
            <v>SK0013-L</v>
          </cell>
          <cell r="B4881" t="str">
            <v>K13</v>
          </cell>
          <cell r="C4881" t="str">
            <v>ซาติน เดรส ขาวจุดโอรส ขอบเขียว L</v>
          </cell>
          <cell r="E4881">
            <v>0</v>
          </cell>
          <cell r="F4881">
            <v>890</v>
          </cell>
        </row>
        <row r="4882">
          <cell r="A4882" t="str">
            <v>SK0013-M</v>
          </cell>
          <cell r="B4882" t="str">
            <v>K13</v>
          </cell>
          <cell r="C4882" t="str">
            <v>ซาติน เดรส ขาวจุดโอรส ขอบเขียว M</v>
          </cell>
          <cell r="E4882">
            <v>0</v>
          </cell>
          <cell r="F4882">
            <v>890</v>
          </cell>
        </row>
        <row r="4883">
          <cell r="A4883" t="str">
            <v>SK0014-L</v>
          </cell>
          <cell r="B4883" t="str">
            <v>K14</v>
          </cell>
          <cell r="C4883" t="str">
            <v>เดรส แขนสี่ส่วน สีชมพูอ่อน ลายจุด ขอบฟ้า L</v>
          </cell>
          <cell r="E4883">
            <v>0</v>
          </cell>
          <cell r="F4883">
            <v>890</v>
          </cell>
        </row>
        <row r="4884">
          <cell r="A4884" t="str">
            <v>SK0014-M</v>
          </cell>
          <cell r="B4884" t="str">
            <v>K14</v>
          </cell>
          <cell r="C4884" t="str">
            <v>เดรส แขนสี่ส่วน สีชมพูอ่อน ลายจุด ขอบฟ้า M</v>
          </cell>
          <cell r="E4884">
            <v>0</v>
          </cell>
          <cell r="F4884">
            <v>890</v>
          </cell>
        </row>
        <row r="4885">
          <cell r="A4885" t="str">
            <v>SK0015-L</v>
          </cell>
          <cell r="B4885" t="str">
            <v>K15</v>
          </cell>
          <cell r="C4885" t="str">
            <v>ซาติน เดรส แขนสั้น ลายหัวใจ ชมพูนู๊ด L</v>
          </cell>
          <cell r="E4885">
            <v>0</v>
          </cell>
          <cell r="F4885">
            <v>890</v>
          </cell>
        </row>
        <row r="4886">
          <cell r="A4886" t="str">
            <v>SK0015-M</v>
          </cell>
          <cell r="B4886" t="str">
            <v>K15</v>
          </cell>
          <cell r="C4886" t="str">
            <v>ซาติน เดรส แขนสั้น ลายหัวใจ ชมพูนู๊ด M</v>
          </cell>
          <cell r="E4886">
            <v>0</v>
          </cell>
          <cell r="F4886">
            <v>890</v>
          </cell>
        </row>
        <row r="4887">
          <cell r="A4887" t="str">
            <v>SK0016-L</v>
          </cell>
          <cell r="B4887" t="str">
            <v>K16</v>
          </cell>
          <cell r="C4887" t="str">
            <v>ซาติน เดรส แขนสั้น ลายหัวใจ ชมพูอ่อน L</v>
          </cell>
          <cell r="E4887">
            <v>0</v>
          </cell>
          <cell r="F4887">
            <v>890</v>
          </cell>
        </row>
        <row r="4888">
          <cell r="A4888" t="str">
            <v>SK0016-M</v>
          </cell>
          <cell r="B4888" t="str">
            <v>K16</v>
          </cell>
          <cell r="C4888" t="str">
            <v>ซาติน เดรส แขนสั้น ลายหัวใจ ชมพูอ่อน M</v>
          </cell>
          <cell r="E4888">
            <v>0</v>
          </cell>
          <cell r="F4888">
            <v>890</v>
          </cell>
        </row>
        <row r="4889">
          <cell r="A4889" t="str">
            <v>SK0017-L</v>
          </cell>
          <cell r="B4889" t="str">
            <v>K17</v>
          </cell>
          <cell r="C4889" t="str">
            <v>เดรสซาติน แขนสี่ส่วน ดาว L</v>
          </cell>
          <cell r="E4889">
            <v>0</v>
          </cell>
          <cell r="F4889">
            <v>890</v>
          </cell>
        </row>
        <row r="4890">
          <cell r="A4890" t="str">
            <v>SK0017-M</v>
          </cell>
          <cell r="B4890" t="str">
            <v>K17</v>
          </cell>
          <cell r="C4890" t="str">
            <v>ซาติน เดรสแขนสี่ส่วน ดาว M</v>
          </cell>
          <cell r="E4890">
            <v>0</v>
          </cell>
          <cell r="F4890">
            <v>890</v>
          </cell>
        </row>
        <row r="4891">
          <cell r="A4891" t="str">
            <v>SK0017-S</v>
          </cell>
          <cell r="B4891" t="str">
            <v>K17</v>
          </cell>
          <cell r="C4891" t="str">
            <v>เดรสซาติน แขนสี่ส่วน ดาว S</v>
          </cell>
          <cell r="E4891">
            <v>0</v>
          </cell>
          <cell r="F4891">
            <v>890</v>
          </cell>
        </row>
        <row r="4892">
          <cell r="A4892" t="str">
            <v>SK0018-L</v>
          </cell>
          <cell r="B4892" t="str">
            <v>K18</v>
          </cell>
          <cell r="C4892" t="str">
            <v>ซาติน เดรสแขนยาว สีดำ L</v>
          </cell>
          <cell r="E4892">
            <v>0</v>
          </cell>
          <cell r="F4892">
            <v>890</v>
          </cell>
        </row>
        <row r="4893">
          <cell r="A4893" t="str">
            <v>SK0018-M</v>
          </cell>
          <cell r="B4893" t="str">
            <v>K18</v>
          </cell>
          <cell r="C4893" t="str">
            <v>ซาติน เดรสแขนยาว สีดำ M</v>
          </cell>
          <cell r="E4893">
            <v>0</v>
          </cell>
          <cell r="F4893">
            <v>890</v>
          </cell>
        </row>
        <row r="4894">
          <cell r="A4894" t="str">
            <v>SK0019-L</v>
          </cell>
          <cell r="B4894" t="str">
            <v>K19</v>
          </cell>
          <cell r="C4894" t="str">
            <v>ซาติน เดรสแขนยาว ชมพู  L</v>
          </cell>
          <cell r="E4894">
            <v>0</v>
          </cell>
          <cell r="F4894">
            <v>890</v>
          </cell>
        </row>
        <row r="4895">
          <cell r="A4895" t="str">
            <v>SK0019-M</v>
          </cell>
          <cell r="B4895" t="str">
            <v>K19</v>
          </cell>
          <cell r="C4895" t="str">
            <v>ซาติน เดรสแขนยาว ชมพู  M</v>
          </cell>
          <cell r="E4895">
            <v>0</v>
          </cell>
          <cell r="F4895">
            <v>890</v>
          </cell>
        </row>
        <row r="4896">
          <cell r="A4896" t="str">
            <v>SK0020-L</v>
          </cell>
          <cell r="B4896" t="str">
            <v>K20</v>
          </cell>
          <cell r="C4896" t="str">
            <v>ซาตินเดรส แขนสั้น ชมพูแขนลูกไม้ L</v>
          </cell>
          <cell r="E4896">
            <v>0</v>
          </cell>
          <cell r="F4896">
            <v>890</v>
          </cell>
        </row>
        <row r="4897">
          <cell r="A4897" t="str">
            <v>SK0020-M</v>
          </cell>
          <cell r="B4897" t="str">
            <v>K20</v>
          </cell>
          <cell r="C4897" t="str">
            <v>ซาตินเดรส แขนสั้น ชมพูแขนลูกไม้ M</v>
          </cell>
          <cell r="E4897">
            <v>0</v>
          </cell>
          <cell r="F4897">
            <v>890</v>
          </cell>
        </row>
        <row r="4898">
          <cell r="A4898" t="str">
            <v>SK0020-XL</v>
          </cell>
          <cell r="B4898" t="str">
            <v>K20</v>
          </cell>
          <cell r="C4898" t="str">
            <v>ซาตินเดรส แขนสั้น ชมพูแขนลูกไม้ XL</v>
          </cell>
          <cell r="E4898">
            <v>0</v>
          </cell>
          <cell r="F4898">
            <v>890</v>
          </cell>
        </row>
        <row r="4899">
          <cell r="A4899" t="str">
            <v>SK0021-L</v>
          </cell>
          <cell r="B4899" t="str">
            <v>K21</v>
          </cell>
          <cell r="C4899" t="str">
            <v>ซาตินเดรส แขนสั้น ฟ้าแขนลูกไม้ L</v>
          </cell>
          <cell r="E4899">
            <v>0</v>
          </cell>
          <cell r="F4899">
            <v>890</v>
          </cell>
        </row>
        <row r="4900">
          <cell r="A4900" t="str">
            <v>SK0021-M</v>
          </cell>
          <cell r="B4900" t="str">
            <v>K21</v>
          </cell>
          <cell r="C4900" t="str">
            <v>ซาตินเดรส แขนสั้น ฟ้าแขนลูกไม้ M</v>
          </cell>
          <cell r="E4900">
            <v>0</v>
          </cell>
          <cell r="F4900">
            <v>890</v>
          </cell>
        </row>
        <row r="4901">
          <cell r="A4901" t="str">
            <v>SK0021-XL</v>
          </cell>
          <cell r="B4901" t="str">
            <v>K21</v>
          </cell>
          <cell r="C4901" t="str">
            <v>ซาตินเดรส แขนสั้น ฟ้าแขนลูกไม้ XL</v>
          </cell>
          <cell r="E4901">
            <v>0</v>
          </cell>
          <cell r="F4901">
            <v>890</v>
          </cell>
        </row>
        <row r="4902">
          <cell r="A4902" t="str">
            <v>SK0022-L</v>
          </cell>
          <cell r="B4902" t="str">
            <v>K22</v>
          </cell>
          <cell r="C4902" t="str">
            <v>ซาตินเดรส แขนยาว สีครีมขอบดำ ลายตัวอักษร L</v>
          </cell>
          <cell r="E4902">
            <v>0</v>
          </cell>
          <cell r="F4902">
            <v>890</v>
          </cell>
        </row>
        <row r="4903">
          <cell r="A4903" t="str">
            <v>SK0022-M</v>
          </cell>
          <cell r="B4903" t="str">
            <v>K22</v>
          </cell>
          <cell r="C4903" t="str">
            <v>ซาตินเดรส แขนยาว สีครีมขอบดำ ลายตัวอักษร M</v>
          </cell>
          <cell r="E4903">
            <v>0</v>
          </cell>
          <cell r="F4903">
            <v>890</v>
          </cell>
        </row>
        <row r="4904">
          <cell r="A4904" t="str">
            <v>SK0023-L</v>
          </cell>
          <cell r="B4904" t="str">
            <v>K23</v>
          </cell>
          <cell r="C4904" t="str">
            <v>ซาติน แเดรสแขนสี่ส่วน น้ำเงินชมพู hair love L</v>
          </cell>
          <cell r="E4904">
            <v>0</v>
          </cell>
          <cell r="F4904">
            <v>890</v>
          </cell>
        </row>
        <row r="4905">
          <cell r="A4905" t="str">
            <v>SK0023-M</v>
          </cell>
          <cell r="B4905" t="str">
            <v>K23</v>
          </cell>
          <cell r="C4905" t="str">
            <v>ซาติน แเดรสแขนสี่ส่วน น้ำเงินชมพู hair love M</v>
          </cell>
          <cell r="E4905">
            <v>0</v>
          </cell>
          <cell r="F4905">
            <v>890</v>
          </cell>
        </row>
        <row r="4906">
          <cell r="A4906" t="str">
            <v>SK0024-L</v>
          </cell>
          <cell r="B4906" t="str">
            <v>K24</v>
          </cell>
          <cell r="C4906" t="str">
            <v>ซาตินแเดรสแขนสี่ส่วน น้ำตาลเขียว hair love L</v>
          </cell>
          <cell r="E4906">
            <v>0</v>
          </cell>
          <cell r="F4906">
            <v>890</v>
          </cell>
        </row>
        <row r="4907">
          <cell r="A4907" t="str">
            <v>SK0024-M</v>
          </cell>
          <cell r="B4907" t="str">
            <v>K24</v>
          </cell>
          <cell r="C4907" t="str">
            <v>ซาตินแเดรสแขนสี่ส่วน น้ำตาลเขียว hair love M</v>
          </cell>
          <cell r="E4907">
            <v>0</v>
          </cell>
          <cell r="F4907">
            <v>890</v>
          </cell>
        </row>
        <row r="4908">
          <cell r="A4908" t="str">
            <v>SK0025-L</v>
          </cell>
          <cell r="B4908" t="str">
            <v>JK25</v>
          </cell>
          <cell r="C4908" t="str">
            <v>ซาติน เดรส+กางเกง สีกรมเข้ม L ตัวโชว์</v>
          </cell>
          <cell r="E4908">
            <v>0</v>
          </cell>
          <cell r="F4908">
            <v>890</v>
          </cell>
        </row>
        <row r="4909">
          <cell r="A4909" t="str">
            <v>SK0025-M</v>
          </cell>
          <cell r="B4909" t="str">
            <v>JK25</v>
          </cell>
          <cell r="C4909" t="str">
            <v>ซาติน เดรส+กางเกง สีกรมเข้ม M ตัวโชว์</v>
          </cell>
          <cell r="E4909">
            <v>0</v>
          </cell>
          <cell r="F4909">
            <v>890</v>
          </cell>
        </row>
        <row r="4910">
          <cell r="A4910" t="str">
            <v>SK0026-L</v>
          </cell>
          <cell r="B4910" t="str">
            <v>K26</v>
          </cell>
          <cell r="C4910" t="str">
            <v>เดรสซาติน แขนสั้น ม้าลาย L</v>
          </cell>
          <cell r="E4910">
            <v>0</v>
          </cell>
          <cell r="F4910">
            <v>890</v>
          </cell>
        </row>
        <row r="4911">
          <cell r="A4911" t="str">
            <v>SK0026-M</v>
          </cell>
          <cell r="B4911" t="str">
            <v>K26</v>
          </cell>
          <cell r="C4911" t="str">
            <v>เดรสซาติน แขนสั้น ม้าลาย M</v>
          </cell>
          <cell r="E4911">
            <v>0</v>
          </cell>
          <cell r="F4911">
            <v>890</v>
          </cell>
        </row>
        <row r="4912">
          <cell r="A4912" t="str">
            <v>SK0027-F</v>
          </cell>
          <cell r="B4912" t="str">
            <v>K27</v>
          </cell>
          <cell r="C4912" t="str">
            <v>เดรสฟรีไชส์ หน้ายิ้มสีส้ม ฟรีไซส์</v>
          </cell>
          <cell r="E4912">
            <v>0</v>
          </cell>
          <cell r="F4912">
            <v>890</v>
          </cell>
        </row>
        <row r="4913">
          <cell r="A4913" t="str">
            <v>SK0028-L</v>
          </cell>
          <cell r="B4913" t="str">
            <v>K28</v>
          </cell>
          <cell r="C4913" t="str">
            <v>ซาติน เดรสแขนสั้น โดนัดผู้หญิง พื้นกรม L</v>
          </cell>
          <cell r="E4913">
            <v>0</v>
          </cell>
          <cell r="F4913">
            <v>890</v>
          </cell>
        </row>
        <row r="4914">
          <cell r="A4914" t="str">
            <v>SK0028-M</v>
          </cell>
          <cell r="B4914" t="str">
            <v>K28</v>
          </cell>
          <cell r="C4914" t="str">
            <v>ซาติน เดรสแขนสั้น โดนัดผู้หญิง พื้นกรม M</v>
          </cell>
          <cell r="E4914">
            <v>0</v>
          </cell>
          <cell r="F4914">
            <v>890</v>
          </cell>
        </row>
        <row r="4915">
          <cell r="A4915" t="str">
            <v>SK0029-L</v>
          </cell>
          <cell r="B4915" t="str">
            <v>K29</v>
          </cell>
          <cell r="C4915" t="str">
            <v>ซาติน เดรสแขนสั้น โดนัดผู้หญิง พื้นขาว L</v>
          </cell>
          <cell r="E4915">
            <v>0</v>
          </cell>
          <cell r="F4915">
            <v>890</v>
          </cell>
        </row>
        <row r="4916">
          <cell r="A4916" t="str">
            <v>SK0029-M</v>
          </cell>
          <cell r="B4916" t="str">
            <v>K29</v>
          </cell>
          <cell r="C4916" t="str">
            <v>ซาติน เดรสแขนสั้น โดนัดผู้หญิง พื้นขาว M</v>
          </cell>
          <cell r="E4916">
            <v>0</v>
          </cell>
          <cell r="F4916">
            <v>890</v>
          </cell>
        </row>
        <row r="4917">
          <cell r="A4917" t="str">
            <v>SK0030-L</v>
          </cell>
          <cell r="B4917" t="str">
            <v>K30</v>
          </cell>
          <cell r="C4917" t="str">
            <v>ซาติน เดรสแขนห้าส่วน สีเหลือง ขอบเขียว ลายหัวใจ L</v>
          </cell>
          <cell r="E4917">
            <v>0</v>
          </cell>
          <cell r="F4917">
            <v>890</v>
          </cell>
        </row>
        <row r="4918">
          <cell r="A4918" t="str">
            <v>SK0030-M</v>
          </cell>
          <cell r="B4918" t="str">
            <v>K30</v>
          </cell>
          <cell r="C4918" t="str">
            <v>ซาติน เดรสแขนห้าส่วน สีเหลือง ขอบเขียว ลายหัวใจ M</v>
          </cell>
          <cell r="E4918">
            <v>0</v>
          </cell>
          <cell r="F4918">
            <v>890</v>
          </cell>
        </row>
        <row r="4919">
          <cell r="A4919" t="str">
            <v>SK0031-L</v>
          </cell>
          <cell r="B4919" t="str">
            <v>QK31</v>
          </cell>
          <cell r="C4919" t="str">
            <v>ซาติน เดรสแขนห้าส่วน สีชมพูนู้ด ขอบเงิน ลายหัวใจ L QC</v>
          </cell>
          <cell r="E4919">
            <v>0</v>
          </cell>
          <cell r="F4919">
            <v>890</v>
          </cell>
        </row>
        <row r="4920">
          <cell r="A4920" t="str">
            <v>SK0031-M</v>
          </cell>
          <cell r="B4920" t="str">
            <v>K31</v>
          </cell>
          <cell r="C4920" t="str">
            <v>ซาติน เดรสแขนห้าส่วน สีชมพูนู้ด ขอบเงิน ลายหัวใจ M</v>
          </cell>
          <cell r="E4920">
            <v>0</v>
          </cell>
          <cell r="F4920">
            <v>890</v>
          </cell>
        </row>
        <row r="4921">
          <cell r="A4921" t="str">
            <v>SK0032-L</v>
          </cell>
          <cell r="B4921" t="str">
            <v>K32</v>
          </cell>
          <cell r="C4921" t="str">
            <v>ซาติน เดรสแขนห้าส่วน สีโอรส ขอบเงิน ลายหัวใจ L</v>
          </cell>
          <cell r="E4921">
            <v>0</v>
          </cell>
          <cell r="F4921">
            <v>890</v>
          </cell>
        </row>
        <row r="4922">
          <cell r="A4922" t="str">
            <v>SK0032-M</v>
          </cell>
          <cell r="B4922" t="str">
            <v>K32</v>
          </cell>
          <cell r="C4922" t="str">
            <v>ซาติน เดรสแขนห้าส่วน สีโอรส ขอบเงิน ลายหัวใจ M</v>
          </cell>
          <cell r="E4922">
            <v>0</v>
          </cell>
          <cell r="F4922">
            <v>890</v>
          </cell>
        </row>
        <row r="4923">
          <cell r="A4923" t="str">
            <v>SK0033-M</v>
          </cell>
          <cell r="B4923" t="str">
            <v>K33</v>
          </cell>
          <cell r="C4923" t="str">
            <v>ซาติน เดรส ลายทางส้มน้ำเงิน M</v>
          </cell>
          <cell r="E4923">
            <v>0</v>
          </cell>
          <cell r="F4923">
            <v>890</v>
          </cell>
        </row>
        <row r="4924">
          <cell r="A4924" t="str">
            <v>SK0033-S</v>
          </cell>
          <cell r="B4924" t="str">
            <v>K33</v>
          </cell>
          <cell r="C4924" t="str">
            <v>ซาติน เดรส ลายทางส้มน้ำเงิน S</v>
          </cell>
          <cell r="E4924">
            <v>0</v>
          </cell>
          <cell r="F4924">
            <v>890</v>
          </cell>
        </row>
        <row r="4925">
          <cell r="A4925" t="str">
            <v>SK0034-L</v>
          </cell>
          <cell r="B4925" t="str">
            <v>K34</v>
          </cell>
          <cell r="C4925" t="str">
            <v>ซาติน เดรสแขนสั้น สีฟ้า ลายจุดชมพู L</v>
          </cell>
          <cell r="E4925">
            <v>0</v>
          </cell>
          <cell r="F4925">
            <v>890</v>
          </cell>
        </row>
        <row r="4926">
          <cell r="A4926" t="str">
            <v>SK0034-M</v>
          </cell>
          <cell r="B4926" t="str">
            <v>K34</v>
          </cell>
          <cell r="C4926" t="str">
            <v>ซาติน เดรสแขนสั้น สีฟ้า ลายจุดชมพู M</v>
          </cell>
          <cell r="E4926">
            <v>0</v>
          </cell>
          <cell r="F4926">
            <v>890</v>
          </cell>
        </row>
        <row r="4927">
          <cell r="A4927" t="str">
            <v>SK0035-L</v>
          </cell>
          <cell r="B4927" t="str">
            <v>K35</v>
          </cell>
          <cell r="C4927" t="str">
            <v>ซาติน เดรสแขนสั้น สีขาว ลายจุดสีโอรส L</v>
          </cell>
          <cell r="E4927">
            <v>0</v>
          </cell>
          <cell r="F4927">
            <v>890</v>
          </cell>
        </row>
        <row r="4928">
          <cell r="A4928" t="str">
            <v>SK0035-M</v>
          </cell>
          <cell r="B4928" t="str">
            <v>K35</v>
          </cell>
          <cell r="C4928" t="str">
            <v>ซาติน เดรสแขนสั้น สีขาว ลายจุดสีโอรส M</v>
          </cell>
          <cell r="E4928">
            <v>0</v>
          </cell>
          <cell r="F4928">
            <v>890</v>
          </cell>
        </row>
        <row r="4929">
          <cell r="A4929" t="str">
            <v>SK0036-L</v>
          </cell>
          <cell r="B4929" t="str">
            <v>K36</v>
          </cell>
          <cell r="C4929" t="str">
            <v>ซาติน เดรสกระเป๋าลูกไม้ พื้นฟ้า L</v>
          </cell>
          <cell r="E4929">
            <v>0</v>
          </cell>
          <cell r="F4929">
            <v>890</v>
          </cell>
        </row>
        <row r="4930">
          <cell r="A4930" t="str">
            <v>SK0036-M</v>
          </cell>
          <cell r="B4930" t="str">
            <v>K36</v>
          </cell>
          <cell r="C4930" t="str">
            <v>ซาติน เดรสกระเป๋าลูกไม้ พื้นฟ้า M</v>
          </cell>
          <cell r="E4930">
            <v>0</v>
          </cell>
          <cell r="F4930">
            <v>890</v>
          </cell>
        </row>
        <row r="4931">
          <cell r="A4931" t="str">
            <v>SK0037-L</v>
          </cell>
          <cell r="B4931" t="str">
            <v>K37</v>
          </cell>
          <cell r="C4931" t="str">
            <v>ซาติน เดรสกระเป๋าลูกไม้ พื้นครีม L</v>
          </cell>
          <cell r="E4931">
            <v>0</v>
          </cell>
          <cell r="F4931">
            <v>890</v>
          </cell>
        </row>
        <row r="4932">
          <cell r="A4932" t="str">
            <v>SK0037-M</v>
          </cell>
          <cell r="B4932" t="str">
            <v>K37</v>
          </cell>
          <cell r="C4932" t="str">
            <v>ซาติน เดรสกระเป๋าลูกไม้ พื้นครีม M</v>
          </cell>
          <cell r="E4932">
            <v>0</v>
          </cell>
          <cell r="F4932">
            <v>890</v>
          </cell>
        </row>
        <row r="4933">
          <cell r="A4933" t="str">
            <v>SK0038-L</v>
          </cell>
          <cell r="B4933" t="str">
            <v>K38</v>
          </cell>
          <cell r="C4933" t="str">
            <v>ซาติน เดรสแขนยาว เหลือง L</v>
          </cell>
          <cell r="E4933">
            <v>0</v>
          </cell>
          <cell r="F4933">
            <v>890</v>
          </cell>
        </row>
        <row r="4934">
          <cell r="A4934" t="str">
            <v>SK0038-M</v>
          </cell>
          <cell r="B4934" t="str">
            <v>K38</v>
          </cell>
          <cell r="C4934" t="str">
            <v>ซาติน เดรสแขนยาว เหลือง M</v>
          </cell>
          <cell r="E4934">
            <v>0</v>
          </cell>
          <cell r="F4934">
            <v>890</v>
          </cell>
        </row>
        <row r="4935">
          <cell r="A4935" t="str">
            <v>SK0039-M</v>
          </cell>
          <cell r="B4935" t="str">
            <v>K39</v>
          </cell>
          <cell r="C4935" t="str">
            <v>ซาติน เดรสแขนสี่ส่วน ABC พื้นชมพู M</v>
          </cell>
          <cell r="E4935">
            <v>0</v>
          </cell>
          <cell r="F4935">
            <v>890</v>
          </cell>
        </row>
        <row r="4936">
          <cell r="A4936" t="str">
            <v>SK0039-S</v>
          </cell>
          <cell r="B4936" t="str">
            <v>K39</v>
          </cell>
          <cell r="C4936" t="str">
            <v>ซาติน เดรสแขนสี่ส่วน ABC พื้นชมพู S</v>
          </cell>
          <cell r="E4936">
            <v>0</v>
          </cell>
          <cell r="F4936">
            <v>890</v>
          </cell>
        </row>
        <row r="4937">
          <cell r="A4937" t="str">
            <v>SK0040-L</v>
          </cell>
          <cell r="B4937" t="str">
            <v>K40</v>
          </cell>
          <cell r="C4937" t="str">
            <v>ซาติน เดรส จุดขาว พื้นส้ม L</v>
          </cell>
          <cell r="E4937">
            <v>0</v>
          </cell>
          <cell r="F4937">
            <v>890</v>
          </cell>
        </row>
        <row r="4938">
          <cell r="A4938" t="str">
            <v>SK0040-M</v>
          </cell>
          <cell r="B4938" t="str">
            <v>K40</v>
          </cell>
          <cell r="C4938" t="str">
            <v>ซาติน เดรส จุดขาว พื้นส้ม M</v>
          </cell>
          <cell r="E4938">
            <v>0</v>
          </cell>
          <cell r="F4938">
            <v>890</v>
          </cell>
        </row>
        <row r="4939">
          <cell r="A4939" t="str">
            <v>SK0041-L</v>
          </cell>
          <cell r="B4939" t="str">
            <v>K41</v>
          </cell>
          <cell r="C4939" t="str">
            <v>ซาติน เดรส จุดขาว พื้นชมพู L</v>
          </cell>
          <cell r="E4939">
            <v>0</v>
          </cell>
          <cell r="F4939">
            <v>890</v>
          </cell>
        </row>
        <row r="4940">
          <cell r="A4940" t="str">
            <v>SK0041-M</v>
          </cell>
          <cell r="B4940" t="str">
            <v>K41</v>
          </cell>
          <cell r="C4940" t="str">
            <v>ซาติน เดรส จุดขาว พื้นชมพู M</v>
          </cell>
          <cell r="E4940">
            <v>0</v>
          </cell>
          <cell r="F4940">
            <v>890</v>
          </cell>
        </row>
        <row r="4941">
          <cell r="A4941" t="str">
            <v>SK0042-L</v>
          </cell>
          <cell r="B4941" t="str">
            <v>K42</v>
          </cell>
          <cell r="C4941" t="str">
            <v>ซาติน เดรสแขนสี่ส่วน ลายจุด L</v>
          </cell>
          <cell r="E4941">
            <v>0</v>
          </cell>
          <cell r="F4941">
            <v>890</v>
          </cell>
        </row>
        <row r="4942">
          <cell r="A4942" t="str">
            <v>SK0042-M</v>
          </cell>
          <cell r="B4942" t="str">
            <v>K42</v>
          </cell>
          <cell r="C4942" t="str">
            <v>ซาติน เดรสแขนสี่ส่วน ลายจุด M</v>
          </cell>
          <cell r="E4942">
            <v>0</v>
          </cell>
          <cell r="F4942">
            <v>890</v>
          </cell>
        </row>
        <row r="4943">
          <cell r="A4943" t="str">
            <v>SK0043-L</v>
          </cell>
          <cell r="B4943" t="str">
            <v>K43</v>
          </cell>
          <cell r="C4943" t="str">
            <v>ซาตินเดรส แขนยาว สีกรม ขอบขาว L</v>
          </cell>
          <cell r="E4943">
            <v>0</v>
          </cell>
          <cell r="F4943">
            <v>890</v>
          </cell>
        </row>
        <row r="4944">
          <cell r="A4944" t="str">
            <v>SK0043-M</v>
          </cell>
          <cell r="B4944" t="str">
            <v>JK43</v>
          </cell>
          <cell r="C4944" t="str">
            <v>ซาติน เดรสแขนยาว สีกรม ขอบขาว M ตัวโชว์</v>
          </cell>
          <cell r="E4944">
            <v>0</v>
          </cell>
          <cell r="F4944">
            <v>890</v>
          </cell>
        </row>
        <row r="4945">
          <cell r="A4945" t="str">
            <v>SK0044-L</v>
          </cell>
          <cell r="B4945" t="str">
            <v>K44</v>
          </cell>
          <cell r="C4945" t="str">
            <v>ซาตินเดรส แขนยาว สีครีมขอบดำ L</v>
          </cell>
          <cell r="E4945">
            <v>0</v>
          </cell>
          <cell r="F4945">
            <v>890</v>
          </cell>
        </row>
        <row r="4946">
          <cell r="A4946" t="str">
            <v>SK0044-M</v>
          </cell>
          <cell r="B4946" t="str">
            <v>K44</v>
          </cell>
          <cell r="C4946" t="str">
            <v>ซาตินเดรส แขนยาว สีครีมขอบดำ M</v>
          </cell>
          <cell r="E4946">
            <v>0</v>
          </cell>
          <cell r="F4946">
            <v>890</v>
          </cell>
        </row>
        <row r="4947">
          <cell r="A4947" t="str">
            <v>SK0045-L</v>
          </cell>
          <cell r="B4947" t="str">
            <v>K45</v>
          </cell>
          <cell r="C4947" t="str">
            <v>ซาติน เดรสแขนสี่ส่วน พื้นขาว ขอบดำ L</v>
          </cell>
          <cell r="E4947">
            <v>0</v>
          </cell>
          <cell r="F4947">
            <v>890</v>
          </cell>
        </row>
        <row r="4948">
          <cell r="A4948" t="str">
            <v>SK0045-M</v>
          </cell>
          <cell r="B4948" t="str">
            <v>K45</v>
          </cell>
          <cell r="C4948" t="str">
            <v>ซาติน เดรสแขนสี่ส่วน พื้นขาว ขอบดำ M</v>
          </cell>
          <cell r="E4948">
            <v>0</v>
          </cell>
          <cell r="F4948">
            <v>890</v>
          </cell>
        </row>
        <row r="4949">
          <cell r="A4949" t="str">
            <v>SK0046-L</v>
          </cell>
          <cell r="B4949" t="str">
            <v>K46</v>
          </cell>
          <cell r="C4949" t="str">
            <v>ซาติน เดรสแขนสี่ส่วน พื้นดำ ขอบขาว L</v>
          </cell>
          <cell r="E4949">
            <v>0</v>
          </cell>
          <cell r="F4949">
            <v>890</v>
          </cell>
        </row>
        <row r="4950">
          <cell r="A4950" t="str">
            <v>SK0046-M</v>
          </cell>
          <cell r="B4950" t="str">
            <v>K46</v>
          </cell>
          <cell r="C4950" t="str">
            <v>ซาติน เดรสแขนสี่ส่วน พื้นดำ ขอบขาว M</v>
          </cell>
          <cell r="E4950">
            <v>0</v>
          </cell>
          <cell r="F4950">
            <v>890</v>
          </cell>
        </row>
        <row r="4951">
          <cell r="A4951" t="str">
            <v>SK0047-L</v>
          </cell>
          <cell r="B4951" t="str">
            <v>K47</v>
          </cell>
          <cell r="C4951" t="str">
            <v>ซาติน เดรส กระเป๋าผีเสื้อ พื้นขาว L</v>
          </cell>
          <cell r="E4951">
            <v>0</v>
          </cell>
          <cell r="F4951">
            <v>890</v>
          </cell>
        </row>
        <row r="4952">
          <cell r="A4952" t="str">
            <v>SK0047-M</v>
          </cell>
          <cell r="B4952" t="str">
            <v>K47</v>
          </cell>
          <cell r="C4952" t="str">
            <v>ซาติน เดรส กระเป๋าผีเสื้อ พื้นขาว M</v>
          </cell>
          <cell r="E4952">
            <v>0</v>
          </cell>
          <cell r="F4952">
            <v>890</v>
          </cell>
        </row>
        <row r="4953">
          <cell r="A4953" t="str">
            <v>SK0048-L</v>
          </cell>
          <cell r="B4953" t="str">
            <v>K48</v>
          </cell>
          <cell r="C4953" t="str">
            <v>ซาติน เดรส กระเป๋าผีเสื้อ พื้นชมพู L</v>
          </cell>
          <cell r="E4953">
            <v>0</v>
          </cell>
          <cell r="F4953">
            <v>890</v>
          </cell>
        </row>
        <row r="4954">
          <cell r="A4954" t="str">
            <v>SK0048-M</v>
          </cell>
          <cell r="B4954" t="str">
            <v>K48</v>
          </cell>
          <cell r="C4954" t="str">
            <v>ซาติน เดรส กระเป๋าผีเสื้อ พื้นชมพู M</v>
          </cell>
          <cell r="E4954">
            <v>0</v>
          </cell>
          <cell r="F4954">
            <v>890</v>
          </cell>
        </row>
        <row r="4955">
          <cell r="A4955" t="str">
            <v>SK0049-L</v>
          </cell>
          <cell r="B4955" t="str">
            <v>K49</v>
          </cell>
          <cell r="C4955" t="str">
            <v>ซาติน เดรสแขนยาว BURB พื้นขาว L</v>
          </cell>
          <cell r="E4955">
            <v>0</v>
          </cell>
          <cell r="F4955">
            <v>890</v>
          </cell>
        </row>
        <row r="4956">
          <cell r="A4956" t="str">
            <v>SK0049-M</v>
          </cell>
          <cell r="B4956" t="str">
            <v>K49</v>
          </cell>
          <cell r="C4956" t="str">
            <v>ซาติน เดรสแขนยาว BURB พื้นขาว M</v>
          </cell>
          <cell r="E4956">
            <v>0</v>
          </cell>
          <cell r="F4956">
            <v>890</v>
          </cell>
        </row>
        <row r="4957">
          <cell r="A4957" t="str">
            <v>SK0050-L</v>
          </cell>
          <cell r="B4957" t="str">
            <v>K50</v>
          </cell>
          <cell r="C4957" t="str">
            <v>ซาติน เดรสแขนยาว ช้างดัมโบ้ พื้นขาว L</v>
          </cell>
          <cell r="E4957">
            <v>0</v>
          </cell>
          <cell r="F4957">
            <v>890</v>
          </cell>
        </row>
        <row r="4958">
          <cell r="A4958" t="str">
            <v>SK0050-M</v>
          </cell>
          <cell r="B4958" t="str">
            <v>K50</v>
          </cell>
          <cell r="C4958" t="str">
            <v>ซาติน เดรสแขนยาว ช้างดัมโบ้ พื้นขาว M</v>
          </cell>
          <cell r="E4958">
            <v>0</v>
          </cell>
          <cell r="F4958">
            <v>890</v>
          </cell>
        </row>
        <row r="4959">
          <cell r="A4959" t="str">
            <v>SK0051-L</v>
          </cell>
          <cell r="B4959" t="str">
            <v>K51</v>
          </cell>
          <cell r="C4959" t="str">
            <v>ซาติน เดรสแขนยาว ช้างดัมโบ้ พื้นชมพู L</v>
          </cell>
          <cell r="E4959">
            <v>0</v>
          </cell>
          <cell r="F4959">
            <v>890</v>
          </cell>
        </row>
        <row r="4960">
          <cell r="A4960" t="str">
            <v>SK0051-M</v>
          </cell>
          <cell r="B4960" t="str">
            <v>K51</v>
          </cell>
          <cell r="C4960" t="str">
            <v>ซาติน เดรสแขนยาว ช้างดัมโบ้ พื้นชมพู M</v>
          </cell>
          <cell r="E4960">
            <v>0</v>
          </cell>
          <cell r="F4960">
            <v>890</v>
          </cell>
        </row>
        <row r="4961">
          <cell r="A4961" t="str">
            <v>SK0052-L</v>
          </cell>
          <cell r="B4961" t="str">
            <v>K52</v>
          </cell>
          <cell r="C4961" t="str">
            <v>ซาติน เดรสแขนยาว ปกผีเสื้อ พื้นดำ L</v>
          </cell>
          <cell r="E4961">
            <v>0</v>
          </cell>
          <cell r="F4961">
            <v>890</v>
          </cell>
        </row>
        <row r="4962">
          <cell r="A4962" t="str">
            <v>SK0053-L</v>
          </cell>
          <cell r="B4962" t="str">
            <v>K53</v>
          </cell>
          <cell r="C4962" t="str">
            <v>ซาติน เดรสแขนยาว ปกผีเสื้อ พื้นขาว L</v>
          </cell>
          <cell r="E4962">
            <v>0</v>
          </cell>
          <cell r="F4962">
            <v>890</v>
          </cell>
        </row>
        <row r="4963">
          <cell r="A4963" t="str">
            <v>SK0053-M</v>
          </cell>
          <cell r="B4963" t="str">
            <v>K53</v>
          </cell>
          <cell r="C4963" t="str">
            <v>ซาติน เดรสแขนยาว ปกผีเสื้อ พื้นขาว M</v>
          </cell>
          <cell r="E4963">
            <v>0</v>
          </cell>
          <cell r="F4963">
            <v>890</v>
          </cell>
        </row>
        <row r="4964">
          <cell r="A4964" t="str">
            <v>SK0054-L</v>
          </cell>
          <cell r="B4964" t="str">
            <v>K54</v>
          </cell>
          <cell r="C4964" t="str">
            <v>ซาติน เดรสแขนยาว ลูกแพร พื้นขาว L</v>
          </cell>
          <cell r="E4964">
            <v>0</v>
          </cell>
          <cell r="F4964">
            <v>890</v>
          </cell>
        </row>
        <row r="4965">
          <cell r="A4965" t="str">
            <v>SK0054-M</v>
          </cell>
          <cell r="B4965" t="str">
            <v>K54</v>
          </cell>
          <cell r="C4965" t="str">
            <v>ซาติน เดรสแขนยาว ลูกแพร พื้นขาว M</v>
          </cell>
          <cell r="E4965">
            <v>0</v>
          </cell>
          <cell r="F4965">
            <v>890</v>
          </cell>
        </row>
        <row r="4966">
          <cell r="A4966" t="str">
            <v>SK0055-L</v>
          </cell>
          <cell r="B4966" t="str">
            <v>K55</v>
          </cell>
          <cell r="C4966" t="str">
            <v>ซาติน เดรสแขนยาว Happy Planet L</v>
          </cell>
          <cell r="E4966">
            <v>0</v>
          </cell>
          <cell r="F4966">
            <v>890</v>
          </cell>
        </row>
        <row r="4967">
          <cell r="A4967" t="str">
            <v>SK0055-M</v>
          </cell>
          <cell r="B4967" t="str">
            <v>K55</v>
          </cell>
          <cell r="C4967" t="str">
            <v>ซาติน เดรสแขนยาว Happy Planet M</v>
          </cell>
          <cell r="E4967">
            <v>0</v>
          </cell>
          <cell r="F4967">
            <v>890</v>
          </cell>
        </row>
        <row r="4968">
          <cell r="A4968" t="str">
            <v>SK0056-L</v>
          </cell>
          <cell r="B4968" t="str">
            <v>K56</v>
          </cell>
          <cell r="C4968" t="str">
            <v>ซาติน เดรสแขนห้าส่วน ลายทาง สีเขียว L</v>
          </cell>
          <cell r="E4968">
            <v>0</v>
          </cell>
          <cell r="F4968">
            <v>890</v>
          </cell>
        </row>
        <row r="4969">
          <cell r="A4969" t="str">
            <v>SK0056-M</v>
          </cell>
          <cell r="B4969" t="str">
            <v>K56</v>
          </cell>
          <cell r="C4969" t="str">
            <v>ซาติน เดรสแขนห้าส่วน ลายทาง สีเขียว M</v>
          </cell>
          <cell r="E4969">
            <v>0</v>
          </cell>
          <cell r="F4969">
            <v>890</v>
          </cell>
        </row>
        <row r="4970">
          <cell r="A4970" t="str">
            <v>SK0057-L</v>
          </cell>
          <cell r="B4970" t="str">
            <v>K57</v>
          </cell>
          <cell r="C4970" t="str">
            <v>ซาติน เดรสแขนห้าส่วน ลายทาง สีชมพู L</v>
          </cell>
          <cell r="E4970">
            <v>0</v>
          </cell>
          <cell r="F4970">
            <v>890</v>
          </cell>
        </row>
        <row r="4971">
          <cell r="A4971" t="str">
            <v>SK0057-M</v>
          </cell>
          <cell r="B4971" t="str">
            <v>K57</v>
          </cell>
          <cell r="C4971" t="str">
            <v>ซาติน เดรสแขนห้าส่วน ลายทาง สีชมพู M</v>
          </cell>
          <cell r="E4971">
            <v>0</v>
          </cell>
          <cell r="F4971">
            <v>890</v>
          </cell>
        </row>
        <row r="4972">
          <cell r="A4972" t="str">
            <v>SK0058-L</v>
          </cell>
          <cell r="B4972" t="str">
            <v>K58</v>
          </cell>
          <cell r="C4972" t="str">
            <v>ซาติน เดรสแขนยาว BURB พื้นขมพู L</v>
          </cell>
          <cell r="E4972">
            <v>0</v>
          </cell>
          <cell r="F4972">
            <v>890</v>
          </cell>
        </row>
        <row r="4973">
          <cell r="A4973" t="str">
            <v>SK0058-M</v>
          </cell>
          <cell r="B4973" t="str">
            <v>K58</v>
          </cell>
          <cell r="C4973" t="str">
            <v>ซาติน เดรสแขนยาว BURB พื้นขมพู M</v>
          </cell>
          <cell r="E4973">
            <v>0</v>
          </cell>
          <cell r="F4973">
            <v>890</v>
          </cell>
        </row>
        <row r="4974">
          <cell r="A4974" t="str">
            <v>SK0059-M</v>
          </cell>
          <cell r="B4974" t="str">
            <v>K59</v>
          </cell>
          <cell r="C4974" t="str">
            <v>ซาติน เดรสแขนยาว Four Bear พื้นขาว M</v>
          </cell>
          <cell r="E4974">
            <v>0</v>
          </cell>
          <cell r="F4974">
            <v>890</v>
          </cell>
        </row>
        <row r="4975">
          <cell r="A4975" t="str">
            <v>SK0061-L</v>
          </cell>
          <cell r="B4975" t="str">
            <v>K61</v>
          </cell>
          <cell r="C4975" t="str">
            <v>ซาติน เดรสแขนยาว Sunshine ปกดำ พื้นขมพู L</v>
          </cell>
          <cell r="E4975">
            <v>0</v>
          </cell>
          <cell r="F4975">
            <v>890</v>
          </cell>
        </row>
        <row r="4976">
          <cell r="A4976" t="str">
            <v>SK0061-M</v>
          </cell>
          <cell r="B4976" t="str">
            <v>K61</v>
          </cell>
          <cell r="C4976" t="str">
            <v>ซาติน เดรสแขนยาว Sunshine ปกดำ พื้นขมพู M</v>
          </cell>
          <cell r="E4976">
            <v>0</v>
          </cell>
          <cell r="F4976">
            <v>890</v>
          </cell>
        </row>
        <row r="4977">
          <cell r="A4977" t="str">
            <v>SK0062-L</v>
          </cell>
          <cell r="B4977" t="str">
            <v>K62</v>
          </cell>
          <cell r="C4977" t="str">
            <v>ซาติน เดรสแขนยาว Sunshine ปกดำ พื้นขาว L</v>
          </cell>
          <cell r="E4977">
            <v>0</v>
          </cell>
          <cell r="F4977">
            <v>890</v>
          </cell>
        </row>
        <row r="4978">
          <cell r="A4978" t="str">
            <v>SK0062-M</v>
          </cell>
          <cell r="B4978" t="str">
            <v>K62</v>
          </cell>
          <cell r="C4978" t="str">
            <v>ซาติน เดรสแขนยาว Sunshine ปกดำ พื้นขาว M</v>
          </cell>
          <cell r="E4978">
            <v>0</v>
          </cell>
          <cell r="F4978">
            <v>890</v>
          </cell>
        </row>
        <row r="4979">
          <cell r="A4979" t="str">
            <v>SK0063-L</v>
          </cell>
          <cell r="B4979" t="str">
            <v>K63</v>
          </cell>
          <cell r="C4979" t="str">
            <v>ซาติน เดรสแขนยาว WAFFFLE พื้นฟ้า L</v>
          </cell>
          <cell r="E4979">
            <v>0</v>
          </cell>
          <cell r="F4979">
            <v>890</v>
          </cell>
        </row>
        <row r="4980">
          <cell r="A4980" t="str">
            <v>SK0063-M</v>
          </cell>
          <cell r="B4980" t="str">
            <v>K63</v>
          </cell>
          <cell r="C4980" t="str">
            <v>ซาติน เดรสแขนยาว WAFFFLE พื้นฟ้า M</v>
          </cell>
          <cell r="E4980">
            <v>0</v>
          </cell>
          <cell r="F4980">
            <v>890</v>
          </cell>
        </row>
        <row r="4981">
          <cell r="A4981" t="str">
            <v>SK0064-L</v>
          </cell>
          <cell r="B4981" t="str">
            <v>K64</v>
          </cell>
          <cell r="C4981" t="str">
            <v>ซาติน เดรสแขนยาว WAFFFLE พื้นชมพู L</v>
          </cell>
          <cell r="E4981">
            <v>0</v>
          </cell>
          <cell r="F4981">
            <v>890</v>
          </cell>
        </row>
        <row r="4982">
          <cell r="A4982" t="str">
            <v>SK0064-M</v>
          </cell>
          <cell r="B4982" t="str">
            <v>K64</v>
          </cell>
          <cell r="C4982" t="str">
            <v>ซาติน เดรสแขนยาว WAFFFLE พื้นชมพู M</v>
          </cell>
          <cell r="E4982">
            <v>0</v>
          </cell>
          <cell r="F4982">
            <v>890</v>
          </cell>
        </row>
        <row r="4983">
          <cell r="A4983" t="str">
            <v>SK0065-L</v>
          </cell>
          <cell r="B4983" t="str">
            <v>K65</v>
          </cell>
          <cell r="C4983" t="str">
            <v>ซาติน เดรสแขนยาว Stawberry พื้นฟ้า L</v>
          </cell>
          <cell r="E4983">
            <v>0</v>
          </cell>
          <cell r="F4983">
            <v>890</v>
          </cell>
        </row>
        <row r="4984">
          <cell r="A4984" t="str">
            <v>SK0065-M</v>
          </cell>
          <cell r="B4984" t="str">
            <v>K65</v>
          </cell>
          <cell r="C4984" t="str">
            <v>ซาติน เดรสแขนยาว Stawberry พื้นฟ้า M</v>
          </cell>
          <cell r="E4984">
            <v>0</v>
          </cell>
          <cell r="F4984">
            <v>890</v>
          </cell>
        </row>
        <row r="4985">
          <cell r="A4985" t="str">
            <v>SK0066-L</v>
          </cell>
          <cell r="B4985" t="str">
            <v>K66</v>
          </cell>
          <cell r="C4985" t="str">
            <v>ซาติน เดรสแขนยาว Stawberry พื้นขาว L</v>
          </cell>
          <cell r="E4985">
            <v>0</v>
          </cell>
          <cell r="F4985">
            <v>890</v>
          </cell>
        </row>
        <row r="4986">
          <cell r="A4986" t="str">
            <v>SK0066-M</v>
          </cell>
          <cell r="B4986" t="str">
            <v>K66</v>
          </cell>
          <cell r="C4986" t="str">
            <v>ซาติน เดรสแขนยาว Stawberry พื้นขาว M</v>
          </cell>
          <cell r="E4986">
            <v>0</v>
          </cell>
          <cell r="F4986">
            <v>890</v>
          </cell>
        </row>
        <row r="4987">
          <cell r="A4987" t="str">
            <v>SK0067-L</v>
          </cell>
          <cell r="B4987" t="str">
            <v>K67</v>
          </cell>
          <cell r="C4987" t="str">
            <v>ซาติน เดรสแขนยาว Stawberry พื้นชมพู L</v>
          </cell>
          <cell r="E4987">
            <v>0</v>
          </cell>
          <cell r="F4987">
            <v>890</v>
          </cell>
        </row>
        <row r="4988">
          <cell r="A4988" t="str">
            <v>SK0067-M</v>
          </cell>
          <cell r="B4988" t="str">
            <v>K67</v>
          </cell>
          <cell r="C4988" t="str">
            <v>ซาติน เดรสแขนยาว Stawberry พื้นชมพู M</v>
          </cell>
          <cell r="E4988">
            <v>0</v>
          </cell>
          <cell r="F4988">
            <v>890</v>
          </cell>
        </row>
        <row r="4989">
          <cell r="A4989" t="str">
            <v>SK0068-L</v>
          </cell>
          <cell r="B4989" t="str">
            <v>K68</v>
          </cell>
          <cell r="C4989" t="str">
            <v>ซาติน เดรสแขนยาว ส้ม พื้นชมพู L</v>
          </cell>
          <cell r="E4989">
            <v>0</v>
          </cell>
          <cell r="F4989">
            <v>890</v>
          </cell>
        </row>
        <row r="4990">
          <cell r="A4990" t="str">
            <v>SK0069-L</v>
          </cell>
          <cell r="B4990" t="str">
            <v>K69</v>
          </cell>
          <cell r="C4990" t="str">
            <v>ซาติน เดรสแขนยาว WAFFFLE พื้นเทา L</v>
          </cell>
          <cell r="E4990">
            <v>0</v>
          </cell>
          <cell r="F4990">
            <v>890</v>
          </cell>
        </row>
        <row r="4991">
          <cell r="A4991" t="str">
            <v>SK0069-M</v>
          </cell>
          <cell r="B4991" t="str">
            <v>K69</v>
          </cell>
          <cell r="C4991" t="str">
            <v>ซาติน เดรสแขนยาว WAFFFLE พื้นเทา M</v>
          </cell>
          <cell r="E4991">
            <v>0</v>
          </cell>
          <cell r="F4991">
            <v>890</v>
          </cell>
        </row>
        <row r="4992">
          <cell r="A4992" t="str">
            <v>SK0070-L</v>
          </cell>
          <cell r="B4992" t="str">
            <v>K70</v>
          </cell>
          <cell r="C4992" t="str">
            <v>ซาติน เดรสแขนยาว WAFFFLE พื้นขาว L</v>
          </cell>
          <cell r="E4992">
            <v>0</v>
          </cell>
          <cell r="F4992">
            <v>890</v>
          </cell>
        </row>
        <row r="4993">
          <cell r="A4993" t="str">
            <v>SK0070-M</v>
          </cell>
          <cell r="B4993" t="str">
            <v>K70</v>
          </cell>
          <cell r="C4993" t="str">
            <v>ซาติน เดรสแขนยาว WAFFFLE พื้นขาว M</v>
          </cell>
          <cell r="E4993">
            <v>0</v>
          </cell>
          <cell r="F4993">
            <v>890</v>
          </cell>
        </row>
        <row r="4994">
          <cell r="A4994" t="str">
            <v>SK0071-L</v>
          </cell>
          <cell r="B4994" t="str">
            <v>K71</v>
          </cell>
          <cell r="C4994" t="str">
            <v>ซาติน เดรสแขนยาว ส้ม พื้นม่วง L</v>
          </cell>
          <cell r="E4994">
            <v>0</v>
          </cell>
          <cell r="F4994">
            <v>890</v>
          </cell>
        </row>
        <row r="4995">
          <cell r="A4995" t="str">
            <v>SK0071-M</v>
          </cell>
          <cell r="B4995" t="str">
            <v>K71</v>
          </cell>
          <cell r="C4995" t="str">
            <v>ซาติน เดรสแขนยาว ส้ม พื้นม่วง M</v>
          </cell>
          <cell r="E4995">
            <v>0</v>
          </cell>
          <cell r="F4995">
            <v>890</v>
          </cell>
        </row>
        <row r="4996">
          <cell r="A4996" t="str">
            <v>SK0072-L</v>
          </cell>
          <cell r="B4996" t="str">
            <v>K72</v>
          </cell>
          <cell r="C4996" t="str">
            <v>ซาติน เดรสแขนยาว Fat cat พื้นเขียว L</v>
          </cell>
          <cell r="E4996">
            <v>0</v>
          </cell>
          <cell r="F4996">
            <v>890</v>
          </cell>
        </row>
        <row r="4997">
          <cell r="A4997" t="str">
            <v>SK0072-M</v>
          </cell>
          <cell r="B4997" t="str">
            <v>K72</v>
          </cell>
          <cell r="C4997" t="str">
            <v>ซาติน เดรสแขนยาว Fat cat พื้นเขียว M</v>
          </cell>
          <cell r="E4997">
            <v>0</v>
          </cell>
          <cell r="F4997">
            <v>890</v>
          </cell>
        </row>
        <row r="4998">
          <cell r="A4998" t="str">
            <v>SK0073-L</v>
          </cell>
          <cell r="B4998" t="str">
            <v>K73</v>
          </cell>
          <cell r="C4998" t="str">
            <v>ซาติน เดรสแขนยาว Fat cat พื้นม่วง L</v>
          </cell>
          <cell r="E4998">
            <v>0</v>
          </cell>
          <cell r="F4998">
            <v>890</v>
          </cell>
        </row>
        <row r="4999">
          <cell r="A4999" t="str">
            <v>SK0073-M</v>
          </cell>
          <cell r="B4999" t="str">
            <v>K73</v>
          </cell>
          <cell r="C4999" t="str">
            <v>ซาติน เดรสแขนยาว Fat cat พื้นม่วง M</v>
          </cell>
          <cell r="E4999">
            <v>0</v>
          </cell>
          <cell r="F4999">
            <v>890</v>
          </cell>
        </row>
        <row r="5000">
          <cell r="A5000" t="str">
            <v>SK0074-L</v>
          </cell>
          <cell r="B5000" t="str">
            <v>K74</v>
          </cell>
          <cell r="C5000" t="str">
            <v>ซาติน เดรสแขนยาว Fat cat พื้นชมพู L</v>
          </cell>
          <cell r="E5000">
            <v>0</v>
          </cell>
          <cell r="F5000">
            <v>890</v>
          </cell>
        </row>
        <row r="5001">
          <cell r="A5001" t="str">
            <v>SK0074-M</v>
          </cell>
          <cell r="B5001" t="str">
            <v>K74</v>
          </cell>
          <cell r="C5001" t="str">
            <v>ซาติน เดรสแขนยาว Fat cat พื้นชมพู M</v>
          </cell>
          <cell r="E5001">
            <v>0</v>
          </cell>
          <cell r="F5001">
            <v>890</v>
          </cell>
        </row>
        <row r="5002">
          <cell r="A5002" t="str">
            <v>SK0075-L</v>
          </cell>
          <cell r="B5002" t="str">
            <v>K75</v>
          </cell>
          <cell r="C5002" t="str">
            <v>ซาติน เดรสแขนยาว Fat cat พื้นขาว L</v>
          </cell>
          <cell r="E5002">
            <v>0</v>
          </cell>
          <cell r="F5002">
            <v>890</v>
          </cell>
        </row>
        <row r="5003">
          <cell r="A5003" t="str">
            <v>SK0075-M</v>
          </cell>
          <cell r="B5003" t="str">
            <v>K75</v>
          </cell>
          <cell r="C5003" t="str">
            <v>ซาติน เดรสแขนยาว Fat cat พื้นขาว M</v>
          </cell>
          <cell r="E5003">
            <v>0</v>
          </cell>
          <cell r="F5003">
            <v>890</v>
          </cell>
        </row>
        <row r="5004">
          <cell r="A5004" t="str">
            <v>SK0076-L</v>
          </cell>
          <cell r="B5004" t="str">
            <v>K76</v>
          </cell>
          <cell r="C5004" t="str">
            <v>ซาติน เดรสแขนยาว Bear I miss you พื้นขาว L</v>
          </cell>
          <cell r="E5004">
            <v>0</v>
          </cell>
          <cell r="F5004">
            <v>890</v>
          </cell>
        </row>
        <row r="5005">
          <cell r="A5005" t="str">
            <v>SK0076-M</v>
          </cell>
          <cell r="B5005" t="str">
            <v>K76</v>
          </cell>
          <cell r="C5005" t="str">
            <v>ซาติน เดรสแขนยาว Bear I miss you พื้นขาว M</v>
          </cell>
          <cell r="E5005">
            <v>0</v>
          </cell>
          <cell r="F5005">
            <v>890</v>
          </cell>
        </row>
        <row r="5006">
          <cell r="A5006" t="str">
            <v>SK0077-L</v>
          </cell>
          <cell r="B5006" t="str">
            <v>K77</v>
          </cell>
          <cell r="C5006" t="str">
            <v>ซาติน เดรสแขนยาว Bear I miss you พื้นชมพู L</v>
          </cell>
          <cell r="E5006">
            <v>0</v>
          </cell>
          <cell r="F5006">
            <v>890</v>
          </cell>
        </row>
        <row r="5007">
          <cell r="A5007" t="str">
            <v>SK0077-M</v>
          </cell>
          <cell r="B5007" t="str">
            <v>K77</v>
          </cell>
          <cell r="C5007" t="str">
            <v>ซาติน เดรสแขนยาว Bear I miss you พื้นชมพู M</v>
          </cell>
          <cell r="E5007">
            <v>0</v>
          </cell>
          <cell r="F5007">
            <v>890</v>
          </cell>
        </row>
        <row r="5008">
          <cell r="A5008" t="str">
            <v>SK0078-L</v>
          </cell>
          <cell r="B5008" t="str">
            <v>K78</v>
          </cell>
          <cell r="C5008" t="str">
            <v>ซาติน เดรสแขนยาว Bear I miss you พื้นฟ้า L</v>
          </cell>
          <cell r="E5008">
            <v>0</v>
          </cell>
          <cell r="F5008">
            <v>890</v>
          </cell>
        </row>
        <row r="5009">
          <cell r="A5009" t="str">
            <v>SK0078-M</v>
          </cell>
          <cell r="B5009" t="str">
            <v>K78</v>
          </cell>
          <cell r="C5009" t="str">
            <v>ซาติน เดรสแขนยาว Bear I miss you พื้นฟ้า M</v>
          </cell>
          <cell r="E5009">
            <v>0</v>
          </cell>
          <cell r="F5009">
            <v>890</v>
          </cell>
        </row>
        <row r="5010">
          <cell r="A5010" t="str">
            <v>SK0079-L</v>
          </cell>
          <cell r="B5010" t="str">
            <v>K79</v>
          </cell>
          <cell r="C5010" t="str">
            <v>ซาติน เดรสแขนสั้น Chesscake พื้นขาว L</v>
          </cell>
          <cell r="E5010">
            <v>0</v>
          </cell>
          <cell r="F5010">
            <v>890</v>
          </cell>
        </row>
        <row r="5011">
          <cell r="A5011" t="str">
            <v>SK0079-M</v>
          </cell>
          <cell r="B5011" t="str">
            <v>K79</v>
          </cell>
          <cell r="C5011" t="str">
            <v>ซาติน เดรสแขนสั้น Chesscake พื้นขาว M</v>
          </cell>
          <cell r="E5011">
            <v>0</v>
          </cell>
          <cell r="F5011">
            <v>890</v>
          </cell>
        </row>
        <row r="5012">
          <cell r="A5012" t="str">
            <v>SK0080-L</v>
          </cell>
          <cell r="B5012" t="str">
            <v>K80</v>
          </cell>
          <cell r="C5012" t="str">
            <v>ซาติน เดรสแขนสั้น Chesscake พื้นฟ้า L</v>
          </cell>
          <cell r="E5012">
            <v>0</v>
          </cell>
          <cell r="F5012">
            <v>890</v>
          </cell>
        </row>
        <row r="5013">
          <cell r="A5013" t="str">
            <v>SK0080-M</v>
          </cell>
          <cell r="B5013" t="str">
            <v>K80</v>
          </cell>
          <cell r="C5013" t="str">
            <v>ซาติน เดรสแขนสั้น Chesscake พื้นฟ้า M</v>
          </cell>
          <cell r="E5013">
            <v>0</v>
          </cell>
          <cell r="F5013">
            <v>890</v>
          </cell>
        </row>
        <row r="5014">
          <cell r="A5014" t="str">
            <v>SK0081-L</v>
          </cell>
          <cell r="B5014" t="str">
            <v>K81</v>
          </cell>
          <cell r="C5014" t="str">
            <v>ซาติน เดรสแขนสั้น Chesscake พื้นชมพู L</v>
          </cell>
          <cell r="E5014">
            <v>0</v>
          </cell>
          <cell r="F5014">
            <v>890</v>
          </cell>
        </row>
        <row r="5015">
          <cell r="A5015" t="str">
            <v>SK0081-M</v>
          </cell>
          <cell r="B5015" t="str">
            <v>K81</v>
          </cell>
          <cell r="C5015" t="str">
            <v>ซาติน เดรสแขนสั้น Chesscake พื้นชมพู M</v>
          </cell>
          <cell r="E5015">
            <v>0</v>
          </cell>
          <cell r="F5015">
            <v>890</v>
          </cell>
        </row>
        <row r="5016">
          <cell r="A5016" t="str">
            <v>SK0082-L</v>
          </cell>
          <cell r="B5016" t="str">
            <v>K82</v>
          </cell>
          <cell r="C5016" t="str">
            <v>ซาติน เดรสแขนยาว We Bear พื้นเหลือง L</v>
          </cell>
          <cell r="E5016">
            <v>0</v>
          </cell>
          <cell r="F5016">
            <v>890</v>
          </cell>
        </row>
        <row r="5017">
          <cell r="A5017" t="str">
            <v>SK0082-M</v>
          </cell>
          <cell r="B5017" t="str">
            <v>K82</v>
          </cell>
          <cell r="C5017" t="str">
            <v>ซาติน เดรสแขนยาว We Bear พื้นเหลือง M</v>
          </cell>
          <cell r="E5017">
            <v>0</v>
          </cell>
          <cell r="F5017">
            <v>890</v>
          </cell>
        </row>
        <row r="5018">
          <cell r="A5018" t="str">
            <v>SK0083-L</v>
          </cell>
          <cell r="B5018" t="str">
            <v>K83</v>
          </cell>
          <cell r="C5018" t="str">
            <v>ซาติน เดรสแขนยาว We Bear พื้นเขียว L</v>
          </cell>
          <cell r="E5018">
            <v>0</v>
          </cell>
          <cell r="F5018">
            <v>890</v>
          </cell>
        </row>
        <row r="5019">
          <cell r="A5019" t="str">
            <v>SK0083-M</v>
          </cell>
          <cell r="B5019" t="str">
            <v>K83</v>
          </cell>
          <cell r="C5019" t="str">
            <v>ซาติน เดรสแขนยาว We Bear พื้นเขียว M</v>
          </cell>
          <cell r="E5019">
            <v>0</v>
          </cell>
          <cell r="F5019">
            <v>890</v>
          </cell>
        </row>
        <row r="5020">
          <cell r="A5020" t="str">
            <v>SK0084-L</v>
          </cell>
          <cell r="B5020" t="str">
            <v>K84</v>
          </cell>
          <cell r="C5020" t="str">
            <v>ซาติน เดรสแขนสั้น ผีเสื้อดอกไม้ เขียว L</v>
          </cell>
          <cell r="E5020">
            <v>0</v>
          </cell>
          <cell r="F5020">
            <v>890</v>
          </cell>
        </row>
        <row r="5021">
          <cell r="A5021" t="str">
            <v>SK0084-M</v>
          </cell>
          <cell r="B5021" t="str">
            <v>K84</v>
          </cell>
          <cell r="C5021" t="str">
            <v>ซาติน เดรสแขนสั้น ผีเสื้อดอกไม้ เขียว M</v>
          </cell>
          <cell r="E5021">
            <v>0</v>
          </cell>
          <cell r="F5021">
            <v>890</v>
          </cell>
        </row>
        <row r="5022">
          <cell r="A5022" t="str">
            <v>SK0084-XL</v>
          </cell>
          <cell r="B5022" t="str">
            <v>K84</v>
          </cell>
          <cell r="C5022" t="str">
            <v>ซาติน เดรสแขนสั้น ผีเสื้อดอกไม้ เขียว XL</v>
          </cell>
          <cell r="E5022">
            <v>0</v>
          </cell>
          <cell r="F5022">
            <v>890</v>
          </cell>
        </row>
        <row r="5023">
          <cell r="A5023" t="str">
            <v>SK0085-L</v>
          </cell>
          <cell r="B5023" t="str">
            <v>K85</v>
          </cell>
          <cell r="C5023" t="str">
            <v>ซาติน เดรส แขนสั้น กุหลาบ ขอบชมพู พื้นขาว L</v>
          </cell>
          <cell r="E5023">
            <v>0</v>
          </cell>
          <cell r="F5023">
            <v>890</v>
          </cell>
        </row>
        <row r="5024">
          <cell r="A5024" t="str">
            <v>SK0085-M</v>
          </cell>
          <cell r="B5024" t="str">
            <v>K85</v>
          </cell>
          <cell r="C5024" t="str">
            <v>ซาติน เดรส แขนสั้น กุหลาบ ขอบชมพู พื้นขาว M</v>
          </cell>
          <cell r="E5024">
            <v>0</v>
          </cell>
          <cell r="F5024">
            <v>890</v>
          </cell>
        </row>
        <row r="5025">
          <cell r="A5025" t="str">
            <v>SK0085-XL</v>
          </cell>
          <cell r="B5025" t="str">
            <v>K85</v>
          </cell>
          <cell r="C5025" t="str">
            <v>ซาติน เดรส แขนสั้น กุหลาบ ขอบชมพู พื้นขาว XL</v>
          </cell>
          <cell r="E5025">
            <v>0</v>
          </cell>
          <cell r="F5025">
            <v>890</v>
          </cell>
        </row>
        <row r="5026">
          <cell r="A5026" t="str">
            <v>SK0086-L</v>
          </cell>
          <cell r="B5026" t="str">
            <v>JK86</v>
          </cell>
          <cell r="C5026" t="str">
            <v>ซาติน เดรสแขนยาว fashion and girl ส้ม L ตัวโชว์</v>
          </cell>
          <cell r="E5026">
            <v>0</v>
          </cell>
          <cell r="F5026">
            <v>890</v>
          </cell>
        </row>
        <row r="5027">
          <cell r="A5027" t="str">
            <v>SK0086-M</v>
          </cell>
          <cell r="B5027" t="str">
            <v>JK86</v>
          </cell>
          <cell r="C5027" t="str">
            <v>ซาติน เดรสแขนยาว fashion and girl ส้ม M ตัวโชว์</v>
          </cell>
          <cell r="E5027">
            <v>0</v>
          </cell>
          <cell r="F5027">
            <v>890</v>
          </cell>
        </row>
        <row r="5028">
          <cell r="A5028" t="str">
            <v>SK0087-L</v>
          </cell>
          <cell r="B5028" t="str">
            <v>K87</v>
          </cell>
          <cell r="C5028" t="str">
            <v>ซาติน เดรสแขนยาว fashion and girl เขียว L</v>
          </cell>
          <cell r="E5028">
            <v>0</v>
          </cell>
          <cell r="F5028">
            <v>890</v>
          </cell>
        </row>
        <row r="5029">
          <cell r="A5029" t="str">
            <v>SK0087-M</v>
          </cell>
          <cell r="B5029" t="str">
            <v>K87</v>
          </cell>
          <cell r="C5029" t="str">
            <v>ซาติน เดรสแขนยาว fashion and girl เขียว M</v>
          </cell>
          <cell r="E5029">
            <v>0</v>
          </cell>
          <cell r="F5029">
            <v>890</v>
          </cell>
        </row>
        <row r="5030">
          <cell r="A5030" t="str">
            <v>SK0088-L</v>
          </cell>
          <cell r="B5030" t="str">
            <v>K88</v>
          </cell>
          <cell r="C5030" t="str">
            <v>ซาติน เดรสแขนยาว love and balloon ม่วง L</v>
          </cell>
          <cell r="E5030">
            <v>0</v>
          </cell>
          <cell r="F5030">
            <v>890</v>
          </cell>
        </row>
        <row r="5031">
          <cell r="A5031" t="str">
            <v>SK0088-M</v>
          </cell>
          <cell r="B5031" t="str">
            <v>K88</v>
          </cell>
          <cell r="C5031" t="str">
            <v>ซาติน เดรสแขนยาว love and balloon ม่วง M</v>
          </cell>
          <cell r="E5031">
            <v>0</v>
          </cell>
          <cell r="F5031">
            <v>890</v>
          </cell>
        </row>
        <row r="5032">
          <cell r="A5032" t="str">
            <v>SK0089-L</v>
          </cell>
          <cell r="B5032" t="str">
            <v>JK89</v>
          </cell>
          <cell r="C5032" t="str">
            <v>ซาติน เดรสแขนยาว love and balloon ชมพู L ตัวโชว์</v>
          </cell>
          <cell r="E5032">
            <v>0</v>
          </cell>
          <cell r="F5032">
            <v>890</v>
          </cell>
        </row>
        <row r="5033">
          <cell r="A5033" t="str">
            <v>SK0089-M</v>
          </cell>
          <cell r="B5033" t="str">
            <v>JK89</v>
          </cell>
          <cell r="C5033" t="str">
            <v>ซาติน เดรสแขนยาว love and balloon ชมพู M ตัวโชว์</v>
          </cell>
          <cell r="E5033">
            <v>0</v>
          </cell>
          <cell r="F5033">
            <v>890</v>
          </cell>
        </row>
        <row r="5034">
          <cell r="A5034" t="str">
            <v>SK01146-2XL</v>
          </cell>
          <cell r="B5034" t="str">
            <v>K1146</v>
          </cell>
          <cell r="C5034" t="str">
            <v>ซาติน เดรสแขนสั้น กางเกง Pinky Flowers คอปกชมพูอ่อน 2XL</v>
          </cell>
          <cell r="E5034">
            <v>0</v>
          </cell>
          <cell r="F5034">
            <v>890</v>
          </cell>
        </row>
        <row r="5035">
          <cell r="A5035" t="str">
            <v>SK01146-L</v>
          </cell>
          <cell r="B5035" t="str">
            <v>K1146</v>
          </cell>
          <cell r="C5035" t="str">
            <v>ซาติน เดรสแขนสั้น กางเกง Pinky Flowers คอปกชมพูอ่อน L</v>
          </cell>
          <cell r="E5035">
            <v>0</v>
          </cell>
          <cell r="F5035">
            <v>890</v>
          </cell>
        </row>
        <row r="5036">
          <cell r="A5036" t="str">
            <v>SK01146-M</v>
          </cell>
          <cell r="B5036" t="str">
            <v>K1146</v>
          </cell>
          <cell r="C5036" t="str">
            <v>ซาติน เดรสแขนสั้น กางเกง Pinky Flowers คอปกชมพูอ่อน M</v>
          </cell>
          <cell r="E5036">
            <v>0</v>
          </cell>
          <cell r="F5036">
            <v>890</v>
          </cell>
        </row>
        <row r="5037">
          <cell r="A5037" t="str">
            <v>SK01146-XL</v>
          </cell>
          <cell r="B5037" t="str">
            <v>K1146</v>
          </cell>
          <cell r="C5037" t="str">
            <v>ซาติน เดรสแขนสั้น กางเกง Pinky Flowers คอปกชมพูอ่อน XL</v>
          </cell>
          <cell r="E5037">
            <v>0</v>
          </cell>
          <cell r="F5037">
            <v>890</v>
          </cell>
        </row>
        <row r="5038">
          <cell r="A5038" t="str">
            <v>SK0246-L</v>
          </cell>
          <cell r="B5038" t="str">
            <v>K246</v>
          </cell>
          <cell r="C5038" t="str">
            <v>ซาติน เดรสแขนยาว เสือ ชมพู L</v>
          </cell>
          <cell r="E5038">
            <v>0</v>
          </cell>
          <cell r="F5038">
            <v>890</v>
          </cell>
        </row>
        <row r="5039">
          <cell r="A5039" t="str">
            <v>SK0246-M</v>
          </cell>
          <cell r="B5039" t="str">
            <v>K246</v>
          </cell>
          <cell r="C5039" t="str">
            <v>ซาติน เดรสแขนยาว เสือ ชมพู M</v>
          </cell>
          <cell r="E5039">
            <v>0</v>
          </cell>
          <cell r="F5039">
            <v>890</v>
          </cell>
        </row>
        <row r="5040">
          <cell r="A5040" t="str">
            <v>SK0298-L</v>
          </cell>
          <cell r="B5040" t="str">
            <v>K298</v>
          </cell>
          <cell r="C5040" t="str">
            <v>ซาติน เดรส teddy bear พื้นน้ำตาล L</v>
          </cell>
          <cell r="E5040">
            <v>0</v>
          </cell>
          <cell r="F5040">
            <v>890</v>
          </cell>
        </row>
        <row r="5041">
          <cell r="A5041" t="str">
            <v>SK0298-M</v>
          </cell>
          <cell r="B5041" t="str">
            <v>K298</v>
          </cell>
          <cell r="C5041" t="str">
            <v>ซาติน เดรส teddy bear พื้นน้ำตาล M</v>
          </cell>
          <cell r="E5041">
            <v>0</v>
          </cell>
          <cell r="F5041">
            <v>890</v>
          </cell>
        </row>
        <row r="5042">
          <cell r="A5042" t="str">
            <v>SK0299-L</v>
          </cell>
          <cell r="B5042" t="str">
            <v>K299</v>
          </cell>
          <cell r="C5042" t="str">
            <v>ซาติน เดรสแขนยาว Night Day ขอบขาว พื้นดำ L</v>
          </cell>
          <cell r="E5042">
            <v>0</v>
          </cell>
          <cell r="F5042">
            <v>890</v>
          </cell>
        </row>
        <row r="5043">
          <cell r="A5043" t="str">
            <v>SK0299-M</v>
          </cell>
          <cell r="B5043" t="str">
            <v>K299</v>
          </cell>
          <cell r="C5043" t="str">
            <v>ซาติน เดรสแขนยาว Night Day ขอบขาว พื้นดำ M</v>
          </cell>
          <cell r="E5043">
            <v>0</v>
          </cell>
          <cell r="F5043">
            <v>890</v>
          </cell>
        </row>
        <row r="5044">
          <cell r="A5044" t="str">
            <v>SK0300-L</v>
          </cell>
          <cell r="B5044" t="str">
            <v>K300</v>
          </cell>
          <cell r="C5044" t="str">
            <v>ซาติน เดรสแขนยาว Night Day ขอบขาว พื้นขาว L</v>
          </cell>
          <cell r="E5044">
            <v>0</v>
          </cell>
          <cell r="F5044">
            <v>890</v>
          </cell>
        </row>
        <row r="5045">
          <cell r="A5045" t="str">
            <v>SK0300-M</v>
          </cell>
          <cell r="B5045" t="str">
            <v>K300</v>
          </cell>
          <cell r="C5045" t="str">
            <v>ซาติน เดรสแขนยาว Night Day ขอบขาว พื้นขาว M</v>
          </cell>
          <cell r="E5045">
            <v>0</v>
          </cell>
          <cell r="F5045">
            <v>890</v>
          </cell>
        </row>
        <row r="5046">
          <cell r="A5046" t="str">
            <v>SK0301-L</v>
          </cell>
          <cell r="B5046" t="str">
            <v>K301</v>
          </cell>
          <cell r="C5046" t="str">
            <v>ซาติน เดรสแขนยาว Bear Team พื้นฟ้า L</v>
          </cell>
          <cell r="E5046">
            <v>0</v>
          </cell>
          <cell r="F5046">
            <v>890</v>
          </cell>
        </row>
        <row r="5047">
          <cell r="A5047" t="str">
            <v>SK0301-M</v>
          </cell>
          <cell r="B5047" t="str">
            <v>K301</v>
          </cell>
          <cell r="C5047" t="str">
            <v>ซาติน เดรสแขนยาว Bear Team พื้นฟ้า M</v>
          </cell>
          <cell r="E5047">
            <v>0</v>
          </cell>
          <cell r="F5047">
            <v>890</v>
          </cell>
        </row>
        <row r="5048">
          <cell r="A5048" t="str">
            <v>SK0302-L</v>
          </cell>
          <cell r="B5048" t="str">
            <v>K302</v>
          </cell>
          <cell r="C5048" t="str">
            <v>ซาติน เดรสแขนยาว แมว FEN BOR พื้นฟ้า L</v>
          </cell>
          <cell r="E5048">
            <v>0</v>
          </cell>
          <cell r="F5048">
            <v>890</v>
          </cell>
        </row>
        <row r="5049">
          <cell r="A5049" t="str">
            <v>SK0302-M</v>
          </cell>
          <cell r="B5049" t="str">
            <v>K302</v>
          </cell>
          <cell r="C5049" t="str">
            <v>ซาติน เดรสแขนยาว แมว FEN BOR พื้นฟ้า M</v>
          </cell>
          <cell r="E5049">
            <v>0</v>
          </cell>
          <cell r="F5049">
            <v>890</v>
          </cell>
        </row>
        <row r="5050">
          <cell r="A5050" t="str">
            <v>SK0303-L</v>
          </cell>
          <cell r="B5050" t="str">
            <v>K303</v>
          </cell>
          <cell r="C5050" t="str">
            <v>ซาติน เดรสแขนยาว rabbit smile พื้นฟ้า L</v>
          </cell>
          <cell r="E5050">
            <v>0</v>
          </cell>
          <cell r="F5050">
            <v>890</v>
          </cell>
        </row>
        <row r="5051">
          <cell r="A5051" t="str">
            <v>SK0303-M</v>
          </cell>
          <cell r="B5051" t="str">
            <v>K303</v>
          </cell>
          <cell r="C5051" t="str">
            <v>ซาติน เดรสแขนยาว rabbit smile พื้นฟ้า M</v>
          </cell>
          <cell r="E5051">
            <v>0</v>
          </cell>
          <cell r="F5051">
            <v>890</v>
          </cell>
        </row>
        <row r="5052">
          <cell r="A5052" t="str">
            <v>SK0304-L</v>
          </cell>
          <cell r="B5052" t="str">
            <v>K304</v>
          </cell>
          <cell r="C5052" t="str">
            <v>ซาติน เดรสแขนยาว rabbit smile พื้นขาว L</v>
          </cell>
          <cell r="E5052">
            <v>0</v>
          </cell>
          <cell r="F5052">
            <v>890</v>
          </cell>
        </row>
        <row r="5053">
          <cell r="A5053" t="str">
            <v>SK0304-M</v>
          </cell>
          <cell r="B5053" t="str">
            <v>K304</v>
          </cell>
          <cell r="C5053" t="str">
            <v>ซาติน เดรสแขนยาว rabbit smile พื้นขาว M</v>
          </cell>
          <cell r="E5053">
            <v>0</v>
          </cell>
          <cell r="F5053">
            <v>890</v>
          </cell>
        </row>
        <row r="5054">
          <cell r="A5054" t="str">
            <v>SK0305-L</v>
          </cell>
          <cell r="B5054" t="str">
            <v>K305</v>
          </cell>
          <cell r="C5054" t="str">
            <v>ซาติน เดรสแขนยาว snowwhite พื้นชมพู L</v>
          </cell>
          <cell r="E5054">
            <v>0</v>
          </cell>
          <cell r="F5054">
            <v>890</v>
          </cell>
        </row>
        <row r="5055">
          <cell r="A5055" t="str">
            <v>SK0305-M</v>
          </cell>
          <cell r="B5055" t="str">
            <v>K305</v>
          </cell>
          <cell r="C5055" t="str">
            <v>ซาติน เดรสแขนยาว snowwhite พื้นชมพู M</v>
          </cell>
          <cell r="E5055">
            <v>0</v>
          </cell>
          <cell r="F5055">
            <v>890</v>
          </cell>
        </row>
        <row r="5056">
          <cell r="A5056" t="str">
            <v>SK0306-L</v>
          </cell>
          <cell r="B5056" t="str">
            <v>K306</v>
          </cell>
          <cell r="C5056" t="str">
            <v>ซาติน เดรสแขนยาว snowwhite พื้นขาว L</v>
          </cell>
          <cell r="E5056">
            <v>0</v>
          </cell>
          <cell r="F5056">
            <v>890</v>
          </cell>
        </row>
        <row r="5057">
          <cell r="A5057" t="str">
            <v>SK0307-L</v>
          </cell>
          <cell r="B5057" t="str">
            <v>K307</v>
          </cell>
          <cell r="C5057" t="str">
            <v>ซาติน เดรส แขนสั้น พื้นเขียว กระเป๋าแมว ปกขาว L</v>
          </cell>
          <cell r="E5057">
            <v>0</v>
          </cell>
          <cell r="F5057">
            <v>890</v>
          </cell>
        </row>
        <row r="5058">
          <cell r="A5058" t="str">
            <v>SK0307-M</v>
          </cell>
          <cell r="B5058" t="str">
            <v>K307</v>
          </cell>
          <cell r="C5058" t="str">
            <v>ซาติน เดรส แขนสั้น พื้นเขียว กระเป๋าแมว ปกขาว M</v>
          </cell>
          <cell r="E5058">
            <v>0</v>
          </cell>
          <cell r="F5058">
            <v>890</v>
          </cell>
        </row>
        <row r="5059">
          <cell r="A5059" t="str">
            <v>SK0308-L</v>
          </cell>
          <cell r="B5059" t="str">
            <v>K308</v>
          </cell>
          <cell r="C5059" t="str">
            <v>ซาติน เดรส แขนสั้น พื้นฟ้า กระเป๋าแมว ปกขาว L</v>
          </cell>
          <cell r="E5059">
            <v>0</v>
          </cell>
          <cell r="F5059">
            <v>890</v>
          </cell>
        </row>
        <row r="5060">
          <cell r="A5060" t="str">
            <v>SK0308-M</v>
          </cell>
          <cell r="B5060" t="str">
            <v>K308</v>
          </cell>
          <cell r="C5060" t="str">
            <v>ซาติน เดรส แขนสั้น พื้นฟ้า กระเป๋าแมว ปกขาว M</v>
          </cell>
          <cell r="E5060">
            <v>0</v>
          </cell>
          <cell r="F5060">
            <v>890</v>
          </cell>
        </row>
        <row r="5061">
          <cell r="A5061" t="str">
            <v>SK0309-L</v>
          </cell>
          <cell r="B5061" t="str">
            <v>QK309</v>
          </cell>
          <cell r="C5061" t="str">
            <v>ซาติน เดรส แขนสั้น Cute Bear White L QC</v>
          </cell>
          <cell r="E5061">
            <v>0</v>
          </cell>
          <cell r="F5061">
            <v>890</v>
          </cell>
        </row>
        <row r="5062">
          <cell r="A5062" t="str">
            <v>SK0309-M</v>
          </cell>
          <cell r="B5062" t="str">
            <v>K309</v>
          </cell>
          <cell r="C5062" t="str">
            <v>ซาติน เดรส แขนสั้น Cute Bear White M</v>
          </cell>
          <cell r="E5062">
            <v>0</v>
          </cell>
          <cell r="F5062">
            <v>890</v>
          </cell>
        </row>
        <row r="5063">
          <cell r="A5063" t="str">
            <v>SK0310-L</v>
          </cell>
          <cell r="B5063" t="str">
            <v>K310</v>
          </cell>
          <cell r="C5063" t="str">
            <v>ซาติน เดรส แขนสั้น Cute Bear Pink L</v>
          </cell>
          <cell r="E5063">
            <v>0</v>
          </cell>
          <cell r="F5063">
            <v>890</v>
          </cell>
        </row>
        <row r="5064">
          <cell r="A5064" t="str">
            <v>SK0310-M</v>
          </cell>
          <cell r="B5064" t="str">
            <v>K310</v>
          </cell>
          <cell r="C5064" t="str">
            <v>ซาติน เดรส แขนสั้น Cute Bear Pink M</v>
          </cell>
          <cell r="E5064">
            <v>0</v>
          </cell>
          <cell r="F5064">
            <v>890</v>
          </cell>
        </row>
        <row r="5065">
          <cell r="A5065" t="str">
            <v>SK0311-L</v>
          </cell>
          <cell r="B5065" t="str">
            <v>K311</v>
          </cell>
          <cell r="C5065" t="str">
            <v>เดรสซาติน แขนสั้น BLACK PANDA L</v>
          </cell>
          <cell r="E5065">
            <v>0</v>
          </cell>
          <cell r="F5065">
            <v>890</v>
          </cell>
        </row>
        <row r="5066">
          <cell r="A5066" t="str">
            <v>SK0311-M</v>
          </cell>
          <cell r="B5066" t="str">
            <v>K311</v>
          </cell>
          <cell r="C5066" t="str">
            <v>เดรสซาติน แขนสั้น BLACK PANDA M</v>
          </cell>
          <cell r="E5066">
            <v>0</v>
          </cell>
          <cell r="F5066">
            <v>890</v>
          </cell>
        </row>
        <row r="5067">
          <cell r="A5067" t="str">
            <v>SK0311-XL</v>
          </cell>
          <cell r="B5067" t="str">
            <v>K311</v>
          </cell>
          <cell r="C5067" t="str">
            <v>เดรสซาติน แขนสั้น BLACK PANDA XL</v>
          </cell>
          <cell r="E5067">
            <v>0</v>
          </cell>
          <cell r="F5067">
            <v>890</v>
          </cell>
        </row>
        <row r="5068">
          <cell r="A5068" t="str">
            <v>SK0312-L</v>
          </cell>
          <cell r="B5068" t="str">
            <v>QK312</v>
          </cell>
          <cell r="C5068" t="str">
            <v>ซาติน เดรส แขนยาว ขาวล้วน L QC</v>
          </cell>
          <cell r="E5068">
            <v>0</v>
          </cell>
          <cell r="F5068">
            <v>890</v>
          </cell>
        </row>
        <row r="5069">
          <cell r="A5069" t="str">
            <v>SK0312-M</v>
          </cell>
          <cell r="B5069" t="str">
            <v>QK312</v>
          </cell>
          <cell r="C5069" t="str">
            <v>ซาติน เดรส แขนยาว ขาวล้วน M QC</v>
          </cell>
          <cell r="E5069">
            <v>0</v>
          </cell>
          <cell r="F5069">
            <v>890</v>
          </cell>
        </row>
        <row r="5070">
          <cell r="A5070" t="str">
            <v>SK0313-L</v>
          </cell>
          <cell r="B5070" t="str">
            <v>K313</v>
          </cell>
          <cell r="C5070" t="str">
            <v>ซาติน เดรส แขนสั้น พื้นชมพู ขอบฟ้า กระเป๋าแพร L</v>
          </cell>
          <cell r="E5070">
            <v>0</v>
          </cell>
          <cell r="F5070">
            <v>890</v>
          </cell>
        </row>
        <row r="5071">
          <cell r="A5071" t="str">
            <v>SK0313-M</v>
          </cell>
          <cell r="B5071" t="str">
            <v>K313</v>
          </cell>
          <cell r="C5071" t="str">
            <v>ซาติน เดรส แขนสั้น พื้นชมพู ขอบฟ้า กระเป๋าแพร M</v>
          </cell>
          <cell r="E5071">
            <v>0</v>
          </cell>
          <cell r="F5071">
            <v>890</v>
          </cell>
        </row>
        <row r="5072">
          <cell r="A5072" t="str">
            <v>SK0314-L</v>
          </cell>
          <cell r="B5072" t="str">
            <v>K314</v>
          </cell>
          <cell r="C5072" t="str">
            <v>ซาติน เดรส แขน 5 ส่วน Good Night ฟ้า L</v>
          </cell>
          <cell r="E5072">
            <v>0</v>
          </cell>
          <cell r="F5072">
            <v>890</v>
          </cell>
        </row>
        <row r="5073">
          <cell r="A5073" t="str">
            <v>SK0314-M</v>
          </cell>
          <cell r="B5073" t="str">
            <v>K314</v>
          </cell>
          <cell r="C5073" t="str">
            <v>ซาติน เดรส แขน 5 ส่วน Good Night ฟ้า M</v>
          </cell>
          <cell r="E5073">
            <v>0</v>
          </cell>
          <cell r="F5073">
            <v>890</v>
          </cell>
        </row>
        <row r="5074">
          <cell r="A5074" t="str">
            <v>SK0315-L</v>
          </cell>
          <cell r="B5074" t="str">
            <v>K315</v>
          </cell>
          <cell r="C5074" t="str">
            <v>ซาติน เดรส แขนสั้น ฟรุตตี้ L</v>
          </cell>
          <cell r="E5074">
            <v>0</v>
          </cell>
          <cell r="F5074">
            <v>890</v>
          </cell>
        </row>
        <row r="5075">
          <cell r="A5075" t="str">
            <v>SK0315-M</v>
          </cell>
          <cell r="B5075" t="str">
            <v>K315</v>
          </cell>
          <cell r="C5075" t="str">
            <v>ซาติน เดรส แขนสั้น ฟรุตตี้ M</v>
          </cell>
          <cell r="E5075">
            <v>0</v>
          </cell>
          <cell r="F5075">
            <v>890</v>
          </cell>
        </row>
        <row r="5076">
          <cell r="A5076" t="str">
            <v>SK0315-XL</v>
          </cell>
          <cell r="B5076" t="str">
            <v>K315</v>
          </cell>
          <cell r="C5076" t="str">
            <v>ซาติน เดรส แขนสั้น ฟรุตตี้ XL</v>
          </cell>
          <cell r="E5076">
            <v>0</v>
          </cell>
          <cell r="F5076">
            <v>890</v>
          </cell>
        </row>
        <row r="5077">
          <cell r="A5077" t="str">
            <v>SK0316-L</v>
          </cell>
          <cell r="B5077" t="str">
            <v>JK316</v>
          </cell>
          <cell r="C5077" t="str">
            <v>ซาติน เดรส แขนสั้น กางเกง ลาเวนเดอร์ L ตัวโชว์</v>
          </cell>
          <cell r="E5077">
            <v>0</v>
          </cell>
          <cell r="F5077">
            <v>890</v>
          </cell>
        </row>
        <row r="5078">
          <cell r="A5078" t="str">
            <v>SK0316-M</v>
          </cell>
          <cell r="B5078" t="str">
            <v>JK316</v>
          </cell>
          <cell r="C5078" t="str">
            <v>ซาติน เดรส แขนสั้น กางเกง ลาเวนเดอร์ M</v>
          </cell>
          <cell r="E5078">
            <v>0</v>
          </cell>
          <cell r="F5078">
            <v>890</v>
          </cell>
        </row>
        <row r="5079">
          <cell r="A5079" t="str">
            <v>SK0316-XL</v>
          </cell>
          <cell r="B5079" t="str">
            <v>JK316</v>
          </cell>
          <cell r="C5079" t="str">
            <v>ซาติน เดรส แขนสั้น กางเกง ลาเวนเดอร์ XL ตัวโชว์</v>
          </cell>
          <cell r="E5079">
            <v>0</v>
          </cell>
          <cell r="F5079">
            <v>890</v>
          </cell>
        </row>
        <row r="5080">
          <cell r="A5080" t="str">
            <v>SK0317-L</v>
          </cell>
          <cell r="B5080" t="str">
            <v>K317</v>
          </cell>
          <cell r="C5080" t="str">
            <v>ซาติน แขนสั้น ชุดคลุม สีครีม ลูกไม้ L</v>
          </cell>
          <cell r="E5080">
            <v>0</v>
          </cell>
          <cell r="F5080">
            <v>890</v>
          </cell>
        </row>
        <row r="5081">
          <cell r="A5081" t="str">
            <v>SK0317-M</v>
          </cell>
          <cell r="B5081" t="str">
            <v>K317</v>
          </cell>
          <cell r="C5081" t="str">
            <v>ซาติน แขนสั้น ชุดคลุม สีครีม ลูกไม้ M</v>
          </cell>
          <cell r="E5081">
            <v>0</v>
          </cell>
          <cell r="F5081">
            <v>890</v>
          </cell>
        </row>
        <row r="5082">
          <cell r="A5082" t="str">
            <v>SK0318-L</v>
          </cell>
          <cell r="B5082" t="str">
            <v>K318</v>
          </cell>
          <cell r="C5082" t="str">
            <v>ซาติน แขนสั้น ชุดคลุม สีแดง ลูกไม้ L</v>
          </cell>
          <cell r="E5082">
            <v>0</v>
          </cell>
          <cell r="F5082">
            <v>890</v>
          </cell>
        </row>
        <row r="5083">
          <cell r="A5083" t="str">
            <v>SK0318-M</v>
          </cell>
          <cell r="B5083" t="str">
            <v>K318</v>
          </cell>
          <cell r="C5083" t="str">
            <v>ซาติน แขนสั้น ชุดคลุม สีแดง ลูกไม้ M</v>
          </cell>
          <cell r="E5083">
            <v>0</v>
          </cell>
          <cell r="F5083">
            <v>890</v>
          </cell>
        </row>
        <row r="5084">
          <cell r="A5084" t="str">
            <v>SK0319-L</v>
          </cell>
          <cell r="B5084" t="str">
            <v>K319</v>
          </cell>
          <cell r="C5084" t="str">
            <v>ซาติน เดรสแขนสั้น Happy Day คอร์กี้ น้ำตาล L</v>
          </cell>
          <cell r="E5084">
            <v>0</v>
          </cell>
          <cell r="F5084">
            <v>890</v>
          </cell>
        </row>
        <row r="5085">
          <cell r="A5085" t="str">
            <v>SK0319-M</v>
          </cell>
          <cell r="B5085" t="str">
            <v>K319</v>
          </cell>
          <cell r="C5085" t="str">
            <v>ซาติน เดรสแขนสั้น Happy Day คอร์กี้ น้ำตาล M</v>
          </cell>
          <cell r="E5085">
            <v>0</v>
          </cell>
          <cell r="F5085">
            <v>890</v>
          </cell>
        </row>
        <row r="5086">
          <cell r="A5086" t="str">
            <v>SK0320-L</v>
          </cell>
          <cell r="B5086" t="str">
            <v>K320</v>
          </cell>
          <cell r="C5086" t="str">
            <v>ซาติน เดรสแขนสั้น Happy Day คอร์กี้ ขาว L</v>
          </cell>
          <cell r="E5086">
            <v>0</v>
          </cell>
          <cell r="F5086">
            <v>890</v>
          </cell>
        </row>
        <row r="5087">
          <cell r="A5087" t="str">
            <v>SK0320-M</v>
          </cell>
          <cell r="B5087" t="str">
            <v>K320</v>
          </cell>
          <cell r="C5087" t="str">
            <v>ซาติน เดรสแขนสั้น Happy Day คอร์กี้ ขาว M</v>
          </cell>
          <cell r="E5087">
            <v>0</v>
          </cell>
          <cell r="F5087">
            <v>890</v>
          </cell>
        </row>
        <row r="5088">
          <cell r="A5088" t="str">
            <v>SK0321-L</v>
          </cell>
          <cell r="B5088" t="str">
            <v>K321</v>
          </cell>
          <cell r="C5088" t="str">
            <v>ซาติน เดรสแขนสั้น Vintage Bear พื้นน้ำตาล L</v>
          </cell>
          <cell r="E5088">
            <v>0</v>
          </cell>
          <cell r="F5088">
            <v>890</v>
          </cell>
        </row>
        <row r="5089">
          <cell r="A5089" t="str">
            <v>SK0321-M</v>
          </cell>
          <cell r="B5089" t="str">
            <v>K321</v>
          </cell>
          <cell r="C5089" t="str">
            <v>ซาติน เดรสแขนสั้น Vintage Bear พื้นน้ำตาล M</v>
          </cell>
          <cell r="E5089">
            <v>0</v>
          </cell>
          <cell r="F5089">
            <v>890</v>
          </cell>
        </row>
        <row r="5090">
          <cell r="A5090" t="str">
            <v>SK0322-L</v>
          </cell>
          <cell r="B5090" t="str">
            <v>K322</v>
          </cell>
          <cell r="C5090" t="str">
            <v>ซาติน เดรสแขนสั้น Vintage Bear พื้นน้ำขาว L</v>
          </cell>
          <cell r="E5090">
            <v>0</v>
          </cell>
          <cell r="F5090">
            <v>890</v>
          </cell>
        </row>
        <row r="5091">
          <cell r="A5091" t="str">
            <v>SK0322-M</v>
          </cell>
          <cell r="B5091" t="str">
            <v>K322</v>
          </cell>
          <cell r="C5091" t="str">
            <v>ซาติน เดรสแขนสั้น Vintage Bear พื้นน้ำขาว M</v>
          </cell>
          <cell r="E5091">
            <v>0</v>
          </cell>
          <cell r="F5091">
            <v>890</v>
          </cell>
        </row>
        <row r="5092">
          <cell r="A5092" t="str">
            <v>SK0323-L</v>
          </cell>
          <cell r="B5092" t="str">
            <v>K323</v>
          </cell>
          <cell r="C5092" t="str">
            <v>ซาติน เดรส แขนสั้น เสี่ยวเอ้อ พื้นชมพู L</v>
          </cell>
          <cell r="E5092">
            <v>0</v>
          </cell>
          <cell r="F5092">
            <v>890</v>
          </cell>
        </row>
        <row r="5093">
          <cell r="A5093" t="str">
            <v>SK0323-M</v>
          </cell>
          <cell r="B5093" t="str">
            <v>K323</v>
          </cell>
          <cell r="C5093" t="str">
            <v>ซาติน เดรส แขนสั้น เสี่ยวเอ้อ พื้นชมพู M</v>
          </cell>
          <cell r="E5093">
            <v>0</v>
          </cell>
          <cell r="F5093">
            <v>890</v>
          </cell>
        </row>
        <row r="5094">
          <cell r="A5094" t="str">
            <v>SK0324-L</v>
          </cell>
          <cell r="B5094" t="str">
            <v>K324</v>
          </cell>
          <cell r="C5094" t="str">
            <v>ซาติน เดรส แขนสั้น เสี่ยวเอ้อ พื้นเขียว L</v>
          </cell>
          <cell r="E5094">
            <v>0</v>
          </cell>
          <cell r="F5094">
            <v>890</v>
          </cell>
        </row>
        <row r="5095">
          <cell r="A5095" t="str">
            <v>SK0324-M</v>
          </cell>
          <cell r="B5095" t="str">
            <v>K324</v>
          </cell>
          <cell r="C5095" t="str">
            <v>ซาติน เดรส แขนสั้น เสี่ยวเอ้อ พื้นเขียว M</v>
          </cell>
          <cell r="E5095">
            <v>0</v>
          </cell>
          <cell r="F5095">
            <v>890</v>
          </cell>
        </row>
        <row r="5096">
          <cell r="A5096" t="str">
            <v>SK0325-2XL</v>
          </cell>
          <cell r="B5096" t="str">
            <v>QK325</v>
          </cell>
          <cell r="C5096" t="str">
            <v>ซาติน เดรส แขนสั้น ดอกไม้ นกยูง 2XL QC</v>
          </cell>
          <cell r="E5096">
            <v>0</v>
          </cell>
          <cell r="F5096">
            <v>890</v>
          </cell>
        </row>
        <row r="5097">
          <cell r="A5097" t="str">
            <v>SK0325-3XL</v>
          </cell>
          <cell r="B5097" t="str">
            <v>K325</v>
          </cell>
          <cell r="C5097" t="str">
            <v>ซาติน เดรส แขนสั้น ดอกไม้ นกยูง 3XL</v>
          </cell>
          <cell r="E5097">
            <v>0</v>
          </cell>
          <cell r="F5097">
            <v>890</v>
          </cell>
        </row>
        <row r="5098">
          <cell r="A5098" t="str">
            <v>SK0325-L</v>
          </cell>
          <cell r="B5098" t="str">
            <v>K325</v>
          </cell>
          <cell r="C5098" t="str">
            <v>ซาติน เดรส แขนสั้น ดอกไม้ นกยูง L</v>
          </cell>
          <cell r="E5098">
            <v>0</v>
          </cell>
          <cell r="F5098">
            <v>890</v>
          </cell>
        </row>
        <row r="5099">
          <cell r="A5099" t="str">
            <v>SK0325-M</v>
          </cell>
          <cell r="B5099" t="str">
            <v>K325</v>
          </cell>
          <cell r="C5099" t="str">
            <v>ซาติน เดรส แขนสั้น ดอกไม้ นกยูง M</v>
          </cell>
          <cell r="E5099">
            <v>0</v>
          </cell>
          <cell r="F5099">
            <v>590</v>
          </cell>
        </row>
        <row r="5100">
          <cell r="A5100" t="str">
            <v>SK0325-XL</v>
          </cell>
          <cell r="B5100" t="str">
            <v>K325</v>
          </cell>
          <cell r="C5100" t="str">
            <v>ซาติน เดรส แขนสั้น ดอกไม้ นกยูง XL</v>
          </cell>
          <cell r="E5100">
            <v>0</v>
          </cell>
          <cell r="F5100">
            <v>890</v>
          </cell>
        </row>
        <row r="5101">
          <cell r="A5101" t="str">
            <v>SK0326-L</v>
          </cell>
          <cell r="B5101" t="str">
            <v>K326</v>
          </cell>
          <cell r="C5101" t="str">
            <v>ซาติน เดรส แขนสั้น อาหมวย พื้นเขียว หมวกขาว L</v>
          </cell>
          <cell r="E5101">
            <v>0</v>
          </cell>
          <cell r="F5101">
            <v>890</v>
          </cell>
        </row>
        <row r="5102">
          <cell r="A5102" t="str">
            <v>SK0326-M</v>
          </cell>
          <cell r="B5102" t="str">
            <v>JK326</v>
          </cell>
          <cell r="C5102" t="str">
            <v>ซาติน เดรส แขนสั้น อาหมวย พื้นเขียว หมวกขาว M ตัวโชว์</v>
          </cell>
          <cell r="E5102">
            <v>0</v>
          </cell>
          <cell r="F5102">
            <v>890</v>
          </cell>
        </row>
        <row r="5103">
          <cell r="A5103" t="str">
            <v>SK0327-L</v>
          </cell>
          <cell r="B5103" t="str">
            <v>K327</v>
          </cell>
          <cell r="C5103" t="str">
            <v>ซาติน เดรส แขนสั้น อาหมวย พื้นชมพู หมวกแดง  L</v>
          </cell>
          <cell r="E5103">
            <v>0</v>
          </cell>
          <cell r="F5103">
            <v>890</v>
          </cell>
        </row>
        <row r="5104">
          <cell r="A5104" t="str">
            <v>SK0327-M</v>
          </cell>
          <cell r="B5104" t="str">
            <v>K327</v>
          </cell>
          <cell r="C5104" t="str">
            <v>ซาติน เดรส แขนสั้น อาหมวย พื้นชมพู หมวกแดง  M</v>
          </cell>
          <cell r="E5104">
            <v>0</v>
          </cell>
          <cell r="F5104">
            <v>890</v>
          </cell>
        </row>
        <row r="5105">
          <cell r="A5105" t="str">
            <v>SK0328-L</v>
          </cell>
          <cell r="B5105" t="str">
            <v>JK328</v>
          </cell>
          <cell r="C5105" t="str">
            <v>ซาติน เดรส แขนสั้น อาหมวย พื้นเขียว หมวกแดง  L ตัวโชว์</v>
          </cell>
          <cell r="E5105">
            <v>0</v>
          </cell>
          <cell r="F5105">
            <v>890</v>
          </cell>
        </row>
        <row r="5106">
          <cell r="A5106" t="str">
            <v>SK0328-M</v>
          </cell>
          <cell r="B5106" t="str">
            <v>JK328</v>
          </cell>
          <cell r="C5106" t="str">
            <v>ซาติน เดรส แขนสั้น อาหมวย พื้นเขียว หมวกแดง  M ตัวโชว์</v>
          </cell>
          <cell r="E5106">
            <v>0</v>
          </cell>
          <cell r="F5106">
            <v>890</v>
          </cell>
        </row>
        <row r="5107">
          <cell r="A5107" t="str">
            <v>SK0329-L</v>
          </cell>
          <cell r="B5107" t="str">
            <v>JK329</v>
          </cell>
          <cell r="C5107" t="str">
            <v>ซาติน เดรส แขนสั้น อาหมวย พื้นชมพู หมวกขาว L ตัวโชว์</v>
          </cell>
          <cell r="E5107">
            <v>0</v>
          </cell>
          <cell r="F5107">
            <v>890</v>
          </cell>
        </row>
        <row r="5108">
          <cell r="A5108" t="str">
            <v>SK0329-M</v>
          </cell>
          <cell r="B5108" t="str">
            <v>JK329</v>
          </cell>
          <cell r="C5108" t="str">
            <v>ซาติน เดรส แขนสั้น อาหมวย พื้นชมพู หมวกขาว M ตัวโชว์</v>
          </cell>
          <cell r="E5108">
            <v>0</v>
          </cell>
          <cell r="F5108">
            <v>890</v>
          </cell>
        </row>
        <row r="5109">
          <cell r="A5109" t="str">
            <v>SK0330-M</v>
          </cell>
          <cell r="B5109" t="str">
            <v>JK330</v>
          </cell>
          <cell r="C5109" t="str">
            <v>ซาติน แขนสั้น ลายทาง ดำเขียว M ตัวโชว์</v>
          </cell>
          <cell r="E5109">
            <v>0</v>
          </cell>
          <cell r="F5109">
            <v>890</v>
          </cell>
        </row>
        <row r="5110">
          <cell r="A5110" t="str">
            <v>SK0333-2XL</v>
          </cell>
          <cell r="B5110" t="str">
            <v>K333</v>
          </cell>
          <cell r="C5110" t="str">
            <v>ซาติน เดรสแขนสั้น ชมพู นู้ด 2XL</v>
          </cell>
          <cell r="E5110">
            <v>0</v>
          </cell>
          <cell r="F5110">
            <v>890</v>
          </cell>
        </row>
        <row r="5111">
          <cell r="A5111" t="str">
            <v>SK0333-3XL</v>
          </cell>
          <cell r="B5111" t="str">
            <v>K333</v>
          </cell>
          <cell r="C5111" t="str">
            <v>ซาติน เดรสแขนสั้น ชมพู นู้ด 3XL</v>
          </cell>
          <cell r="E5111">
            <v>0</v>
          </cell>
          <cell r="F5111">
            <v>890</v>
          </cell>
        </row>
        <row r="5112">
          <cell r="A5112" t="str">
            <v>SK0333-L</v>
          </cell>
          <cell r="B5112" t="str">
            <v>K333</v>
          </cell>
          <cell r="C5112" t="str">
            <v>ซาติน เดรสแขนสั้น ชมพู นู้ด L</v>
          </cell>
          <cell r="E5112">
            <v>0</v>
          </cell>
          <cell r="F5112">
            <v>890</v>
          </cell>
        </row>
        <row r="5113">
          <cell r="A5113" t="str">
            <v>SK0333-M</v>
          </cell>
          <cell r="B5113" t="str">
            <v>K333</v>
          </cell>
          <cell r="C5113" t="str">
            <v>ซาติน เดรสแขนสั้น ชมพู นู้ด M</v>
          </cell>
          <cell r="E5113">
            <v>0</v>
          </cell>
          <cell r="F5113">
            <v>890</v>
          </cell>
        </row>
        <row r="5114">
          <cell r="A5114" t="str">
            <v>SK0334-2XL</v>
          </cell>
          <cell r="B5114" t="str">
            <v>K334</v>
          </cell>
          <cell r="C5114" t="str">
            <v>ซาติน เดรสแขนสั้น สีกรมเข้ม 2XL</v>
          </cell>
          <cell r="E5114">
            <v>0</v>
          </cell>
          <cell r="F5114">
            <v>590</v>
          </cell>
        </row>
        <row r="5115">
          <cell r="A5115" t="str">
            <v>SK0334-3XL</v>
          </cell>
          <cell r="B5115" t="str">
            <v>K334</v>
          </cell>
          <cell r="C5115" t="str">
            <v>ซาติน เดรสแขนสั้น สีกรมเข้ม 3XL</v>
          </cell>
          <cell r="E5115">
            <v>0</v>
          </cell>
          <cell r="F5115">
            <v>890</v>
          </cell>
        </row>
        <row r="5116">
          <cell r="A5116" t="str">
            <v>SK0334-L</v>
          </cell>
          <cell r="B5116" t="str">
            <v>K334</v>
          </cell>
          <cell r="C5116" t="str">
            <v>ซาติน เดรสแขนสั้น สีกรมเข้ม L</v>
          </cell>
          <cell r="E5116">
            <v>0</v>
          </cell>
          <cell r="F5116">
            <v>890</v>
          </cell>
        </row>
        <row r="5117">
          <cell r="A5117" t="str">
            <v>SK0334-M</v>
          </cell>
          <cell r="B5117" t="str">
            <v>QK334</v>
          </cell>
          <cell r="C5117" t="str">
            <v>ซาติน เดรสแขนสั้น สีกรมเข้ม M QC</v>
          </cell>
          <cell r="E5117">
            <v>0</v>
          </cell>
          <cell r="F5117">
            <v>890</v>
          </cell>
        </row>
        <row r="5118">
          <cell r="A5118" t="str">
            <v>SK0335-L</v>
          </cell>
          <cell r="B5118" t="str">
            <v>K335</v>
          </cell>
          <cell r="C5118" t="str">
            <v>ซาติน เดรสแขนสั้น ฟ้าเข้ม L</v>
          </cell>
          <cell r="E5118">
            <v>0</v>
          </cell>
          <cell r="F5118">
            <v>890</v>
          </cell>
        </row>
        <row r="5119">
          <cell r="A5119" t="str">
            <v>SK0335-M</v>
          </cell>
          <cell r="B5119" t="str">
            <v>K335</v>
          </cell>
          <cell r="C5119" t="str">
            <v>ซาติน เดรสแขนสั้น ฟ้าเข้ม M</v>
          </cell>
          <cell r="E5119">
            <v>0</v>
          </cell>
          <cell r="F5119">
            <v>890</v>
          </cell>
        </row>
        <row r="5120">
          <cell r="A5120" t="str">
            <v>SK0336-L</v>
          </cell>
          <cell r="B5120" t="str">
            <v>K336</v>
          </cell>
          <cell r="C5120" t="str">
            <v>ซาติน เดรสแขนสั้น ครีม L</v>
          </cell>
          <cell r="E5120">
            <v>0</v>
          </cell>
          <cell r="F5120">
            <v>890</v>
          </cell>
        </row>
        <row r="5121">
          <cell r="A5121" t="str">
            <v>SK0336-M</v>
          </cell>
          <cell r="B5121" t="str">
            <v>K336</v>
          </cell>
          <cell r="C5121" t="str">
            <v>ซาติน เดรสแขนสั้น ครีม M</v>
          </cell>
          <cell r="E5121">
            <v>0</v>
          </cell>
          <cell r="F5121">
            <v>890</v>
          </cell>
        </row>
        <row r="5122">
          <cell r="A5122" t="str">
            <v>SK0337-L</v>
          </cell>
          <cell r="B5122" t="str">
            <v>K337</v>
          </cell>
          <cell r="C5122" t="str">
            <v>ซาติน เดรส แขนสี่ส่วน Lovely Cat พื้นขาว L</v>
          </cell>
          <cell r="E5122">
            <v>0</v>
          </cell>
          <cell r="F5122">
            <v>890</v>
          </cell>
        </row>
        <row r="5123">
          <cell r="A5123" t="str">
            <v>SK0337-M</v>
          </cell>
          <cell r="B5123" t="str">
            <v>K337</v>
          </cell>
          <cell r="C5123" t="str">
            <v>ซาติน เดรส แขนสี่ส่วน Lovely Cat พื้นขาว M</v>
          </cell>
          <cell r="E5123">
            <v>0</v>
          </cell>
          <cell r="F5123">
            <v>890</v>
          </cell>
        </row>
        <row r="5124">
          <cell r="A5124" t="str">
            <v>SK0338-L</v>
          </cell>
          <cell r="B5124" t="str">
            <v>K338</v>
          </cell>
          <cell r="C5124" t="str">
            <v>ซาติน เดรส แขนสี่ส่วน Lovely Cat พื้นชมพู L</v>
          </cell>
          <cell r="E5124">
            <v>0</v>
          </cell>
          <cell r="F5124">
            <v>890</v>
          </cell>
        </row>
        <row r="5125">
          <cell r="A5125" t="str">
            <v>SK0338-M</v>
          </cell>
          <cell r="B5125" t="str">
            <v>K338</v>
          </cell>
          <cell r="C5125" t="str">
            <v>ซาติน เดรส แขนสี่ส่วน Lovely Cat พื้นชมพู M</v>
          </cell>
          <cell r="E5125">
            <v>0</v>
          </cell>
          <cell r="F5125">
            <v>890</v>
          </cell>
        </row>
        <row r="5126">
          <cell r="A5126" t="str">
            <v>SK0339-L</v>
          </cell>
          <cell r="B5126" t="str">
            <v>JK339</v>
          </cell>
          <cell r="C5126" t="str">
            <v>ซาติน เดรสแขนสั้น แคสเปอร์ ชมพู L ตัวโชว์</v>
          </cell>
          <cell r="E5126">
            <v>0</v>
          </cell>
          <cell r="F5126">
            <v>890</v>
          </cell>
        </row>
        <row r="5127">
          <cell r="A5127" t="str">
            <v>SK0339-M</v>
          </cell>
          <cell r="B5127" t="str">
            <v>JK339</v>
          </cell>
          <cell r="C5127" t="str">
            <v>ซาติน เดรสแขนสั้น แคสเปอร์ ชมพู M ตัวโชว์</v>
          </cell>
          <cell r="E5127">
            <v>0</v>
          </cell>
          <cell r="F5127">
            <v>890</v>
          </cell>
        </row>
        <row r="5128">
          <cell r="A5128" t="str">
            <v>SK0340-L</v>
          </cell>
          <cell r="B5128" t="str">
            <v>K340</v>
          </cell>
          <cell r="C5128" t="str">
            <v>ซาติน เดรสแขนสั้น แคสเปอร์ ฟ้า L</v>
          </cell>
          <cell r="E5128">
            <v>0</v>
          </cell>
          <cell r="F5128">
            <v>890</v>
          </cell>
        </row>
        <row r="5129">
          <cell r="A5129" t="str">
            <v>SK0340-M</v>
          </cell>
          <cell r="B5129" t="str">
            <v>JK340</v>
          </cell>
          <cell r="C5129" t="str">
            <v>ซาติน เดรสแขนสั้น แคสเปอร์ ฟ้า M ตัวโชว์</v>
          </cell>
          <cell r="E5129">
            <v>0</v>
          </cell>
          <cell r="F5129">
            <v>890</v>
          </cell>
        </row>
        <row r="5130">
          <cell r="A5130" t="str">
            <v>SK0341-L</v>
          </cell>
          <cell r="B5130" t="str">
            <v>K341</v>
          </cell>
          <cell r="C5130" t="str">
            <v>ซาติน เดรสแขนสั้น ขาว ขอบชมพู L</v>
          </cell>
          <cell r="E5130">
            <v>0</v>
          </cell>
          <cell r="F5130">
            <v>890</v>
          </cell>
        </row>
        <row r="5131">
          <cell r="A5131" t="str">
            <v>SK0341-M</v>
          </cell>
          <cell r="B5131" t="str">
            <v>K341</v>
          </cell>
          <cell r="C5131" t="str">
            <v>ซาติน เดรสแขนสั้น ขาว ขอบชมพู M</v>
          </cell>
          <cell r="E5131">
            <v>0</v>
          </cell>
          <cell r="F5131">
            <v>890</v>
          </cell>
        </row>
        <row r="5132">
          <cell r="A5132" t="str">
            <v>SK0342-L</v>
          </cell>
          <cell r="B5132" t="str">
            <v>K342</v>
          </cell>
          <cell r="C5132" t="str">
            <v>ซาติน เดรส แขนห้าส่วน พื้นม่วง ขอบขาว L</v>
          </cell>
          <cell r="E5132">
            <v>0</v>
          </cell>
          <cell r="F5132">
            <v>890</v>
          </cell>
        </row>
        <row r="5133">
          <cell r="A5133" t="str">
            <v>SK0342-M</v>
          </cell>
          <cell r="B5133" t="str">
            <v>K342</v>
          </cell>
          <cell r="C5133" t="str">
            <v>ซาติน เดรส แขนห้าส่วน พื้นม่วง ขอบขาว M</v>
          </cell>
          <cell r="E5133">
            <v>0</v>
          </cell>
          <cell r="F5133">
            <v>890</v>
          </cell>
        </row>
        <row r="5134">
          <cell r="A5134" t="str">
            <v>SK0343-L</v>
          </cell>
          <cell r="B5134" t="str">
            <v>K343</v>
          </cell>
          <cell r="C5134" t="str">
            <v>ซาติน แขนสั้นขาสั้น อาหมวย พื้นขาว หมวกขาว L</v>
          </cell>
          <cell r="E5134">
            <v>0</v>
          </cell>
          <cell r="F5134">
            <v>890</v>
          </cell>
        </row>
        <row r="5135">
          <cell r="A5135" t="str">
            <v>SK0343-M</v>
          </cell>
          <cell r="B5135" t="str">
            <v>K343</v>
          </cell>
          <cell r="C5135" t="str">
            <v>ซาติน แขนสั้นขาสั้น อาหมวย พื้นขาว หมวกขาว M</v>
          </cell>
          <cell r="E5135">
            <v>0</v>
          </cell>
          <cell r="F5135">
            <v>890</v>
          </cell>
        </row>
        <row r="5136">
          <cell r="A5136" t="str">
            <v>SK0344-L</v>
          </cell>
          <cell r="B5136" t="str">
            <v>K344</v>
          </cell>
          <cell r="C5136" t="str">
            <v>ซาติน เดรส แขนห้าส่วน พื้นดำ กระเป๋าลาย L</v>
          </cell>
          <cell r="E5136">
            <v>0</v>
          </cell>
          <cell r="F5136">
            <v>890</v>
          </cell>
        </row>
        <row r="5137">
          <cell r="A5137" t="str">
            <v>SK0344-M</v>
          </cell>
          <cell r="B5137" t="str">
            <v>K344</v>
          </cell>
          <cell r="C5137" t="str">
            <v>ซาติน เดรส แขนห้าส่วน พื้นดำ กระเป๋าลาย M</v>
          </cell>
          <cell r="E5137">
            <v>0</v>
          </cell>
          <cell r="F5137">
            <v>890</v>
          </cell>
        </row>
        <row r="5138">
          <cell r="A5138" t="str">
            <v>SK0345-L</v>
          </cell>
          <cell r="B5138" t="str">
            <v>K345</v>
          </cell>
          <cell r="C5138" t="str">
            <v>ซาติน เดรส แขนห้าส่วน พื้นขาว กระเป๋าลาย L</v>
          </cell>
          <cell r="E5138">
            <v>0</v>
          </cell>
          <cell r="F5138">
            <v>890</v>
          </cell>
        </row>
        <row r="5139">
          <cell r="A5139" t="str">
            <v>SK0345-M</v>
          </cell>
          <cell r="B5139" t="str">
            <v>K345</v>
          </cell>
          <cell r="C5139" t="str">
            <v>ซาติน เดรส แขนห้าส่วน พื้นขาว กระเป๋าลาย M</v>
          </cell>
          <cell r="E5139">
            <v>0</v>
          </cell>
          <cell r="F5139">
            <v>890</v>
          </cell>
        </row>
        <row r="5140">
          <cell r="A5140" t="str">
            <v>SK0346-2XL</v>
          </cell>
          <cell r="B5140" t="str">
            <v>K346</v>
          </cell>
          <cell r="C5140" t="str">
            <v>ซาติน เดรสแขนห้าส่วน กางเกง Pancake And Flowers 2XL</v>
          </cell>
          <cell r="E5140">
            <v>0</v>
          </cell>
          <cell r="F5140">
            <v>890</v>
          </cell>
        </row>
        <row r="5141">
          <cell r="A5141" t="str">
            <v>SK0346-3XL</v>
          </cell>
          <cell r="B5141" t="str">
            <v>QK346</v>
          </cell>
          <cell r="C5141" t="str">
            <v>ซาติน เดรสแขนห้าส่วน กางเกง Pancake And Flowers 3XL QC</v>
          </cell>
          <cell r="E5141">
            <v>0</v>
          </cell>
          <cell r="F5141">
            <v>890</v>
          </cell>
        </row>
        <row r="5142">
          <cell r="A5142" t="str">
            <v>SK0346-4XL</v>
          </cell>
          <cell r="B5142" t="str">
            <v>K346</v>
          </cell>
          <cell r="C5142" t="str">
            <v>ซาติน เดรสแขนห้าส่วน กางเกง Pancake And Flowers 4XL</v>
          </cell>
          <cell r="E5142">
            <v>0</v>
          </cell>
          <cell r="F5142">
            <v>890</v>
          </cell>
        </row>
        <row r="5143">
          <cell r="A5143" t="str">
            <v>SK0346-L</v>
          </cell>
          <cell r="B5143" t="str">
            <v>K346</v>
          </cell>
          <cell r="C5143" t="str">
            <v>ซาติน เดรสแขนห้าส่วน กางเกง Pancake And Flowers L</v>
          </cell>
          <cell r="E5143">
            <v>0</v>
          </cell>
          <cell r="F5143">
            <v>890</v>
          </cell>
        </row>
        <row r="5144">
          <cell r="A5144" t="str">
            <v>SK0346-M</v>
          </cell>
          <cell r="B5144" t="str">
            <v>K346</v>
          </cell>
          <cell r="C5144" t="str">
            <v>ซาติน เดรสแขนห้าส่วน กางเกง Pancake And Flowers M</v>
          </cell>
          <cell r="E5144">
            <v>0</v>
          </cell>
          <cell r="F5144">
            <v>890</v>
          </cell>
        </row>
        <row r="5145">
          <cell r="A5145" t="str">
            <v>SK0346-XL</v>
          </cell>
          <cell r="B5145" t="str">
            <v>K346</v>
          </cell>
          <cell r="C5145" t="str">
            <v>ซาติน เดรสแขนห้าส่วน กางเกง Pancake And Flowers XL</v>
          </cell>
          <cell r="E5145">
            <v>0</v>
          </cell>
          <cell r="F5145">
            <v>890</v>
          </cell>
        </row>
        <row r="5146">
          <cell r="A5146" t="str">
            <v>SK0347-2XL</v>
          </cell>
          <cell r="B5146" t="str">
            <v>K347</v>
          </cell>
          <cell r="C5146" t="str">
            <v>ซาติน เดรส แขนสั้น Coral Sea 2XL</v>
          </cell>
          <cell r="E5146">
            <v>0</v>
          </cell>
          <cell r="F5146">
            <v>890</v>
          </cell>
        </row>
        <row r="5147">
          <cell r="A5147" t="str">
            <v>SK0347-3XL</v>
          </cell>
          <cell r="B5147" t="str">
            <v>K347</v>
          </cell>
          <cell r="C5147" t="str">
            <v>ซาติน เดรส แขนสั้น Coral Sea 3XL</v>
          </cell>
          <cell r="E5147">
            <v>0</v>
          </cell>
          <cell r="F5147">
            <v>890</v>
          </cell>
        </row>
        <row r="5148">
          <cell r="A5148" t="str">
            <v>SK0347-L</v>
          </cell>
          <cell r="B5148" t="str">
            <v>K347</v>
          </cell>
          <cell r="C5148" t="str">
            <v>ซาติน เดรส แขนสั้น Coral Sea L</v>
          </cell>
          <cell r="E5148">
            <v>0</v>
          </cell>
          <cell r="F5148">
            <v>890</v>
          </cell>
        </row>
        <row r="5149">
          <cell r="A5149" t="str">
            <v>SK0347-M</v>
          </cell>
          <cell r="B5149" t="str">
            <v>K347</v>
          </cell>
          <cell r="C5149" t="str">
            <v>ซาติน เดรส แขนสั้น Coral Sea M</v>
          </cell>
          <cell r="E5149">
            <v>0</v>
          </cell>
          <cell r="F5149">
            <v>890</v>
          </cell>
        </row>
        <row r="5150">
          <cell r="A5150" t="str">
            <v>SK0347-S</v>
          </cell>
          <cell r="B5150" t="str">
            <v>K347</v>
          </cell>
          <cell r="C5150" t="str">
            <v>ซาติน เดรส แขนสั้น Coral Sea S</v>
          </cell>
          <cell r="E5150">
            <v>0</v>
          </cell>
          <cell r="F5150">
            <v>890</v>
          </cell>
        </row>
        <row r="5151">
          <cell r="A5151" t="str">
            <v>SK0347-XL</v>
          </cell>
          <cell r="B5151" t="str">
            <v>K347</v>
          </cell>
          <cell r="C5151" t="str">
            <v>ซาติน เดรส แขนสั้น Coral Sea XL</v>
          </cell>
          <cell r="E5151">
            <v>0</v>
          </cell>
          <cell r="F5151">
            <v>890</v>
          </cell>
        </row>
        <row r="5152">
          <cell r="A5152" t="str">
            <v>SK0348-L</v>
          </cell>
          <cell r="B5152" t="str">
            <v>QK348</v>
          </cell>
          <cell r="C5152" t="str">
            <v>ซาติน เดรส แขนสั้น กวางเรนเดียร์ L QC</v>
          </cell>
          <cell r="E5152">
            <v>0</v>
          </cell>
          <cell r="F5152">
            <v>890</v>
          </cell>
        </row>
        <row r="5153">
          <cell r="A5153" t="str">
            <v>SK0348-M</v>
          </cell>
          <cell r="B5153" t="str">
            <v>K348</v>
          </cell>
          <cell r="C5153" t="str">
            <v>ซาติน เดรส แขนสั้น กวางเรนเดียร์ M</v>
          </cell>
          <cell r="E5153">
            <v>0</v>
          </cell>
          <cell r="F5153">
            <v>890</v>
          </cell>
        </row>
        <row r="5154">
          <cell r="A5154" t="str">
            <v>SK0348-XL</v>
          </cell>
          <cell r="B5154" t="str">
            <v>K348</v>
          </cell>
          <cell r="C5154" t="str">
            <v>ซาติน เดรส แขนสั้น กวางเรนเดียร์ XL</v>
          </cell>
          <cell r="E5154">
            <v>0</v>
          </cell>
          <cell r="F5154">
            <v>890</v>
          </cell>
        </row>
        <row r="5155">
          <cell r="A5155" t="str">
            <v>SK0349-2XL</v>
          </cell>
          <cell r="B5155" t="str">
            <v>K349</v>
          </cell>
          <cell r="C5155" t="str">
            <v>ซาติน เดรส แขนสั้น กางเกง ปีกัสโซ่  2XL</v>
          </cell>
          <cell r="E5155">
            <v>0</v>
          </cell>
          <cell r="F5155">
            <v>890</v>
          </cell>
        </row>
        <row r="5156">
          <cell r="A5156" t="str">
            <v>SK0349-3XL</v>
          </cell>
          <cell r="B5156" t="str">
            <v>K349</v>
          </cell>
          <cell r="C5156" t="str">
            <v>ซาติน เดรส แขนสั้น กางเกง ปีกัสโซ่  3XL</v>
          </cell>
          <cell r="E5156">
            <v>0</v>
          </cell>
          <cell r="F5156">
            <v>890</v>
          </cell>
        </row>
        <row r="5157">
          <cell r="A5157" t="str">
            <v>SK0349-4XL</v>
          </cell>
          <cell r="B5157" t="str">
            <v>K349</v>
          </cell>
          <cell r="C5157" t="str">
            <v>ซาติน เดรส แขนสั้น กางเกง ปีกัสโซ่  4XL</v>
          </cell>
          <cell r="E5157">
            <v>0</v>
          </cell>
          <cell r="F5157">
            <v>890</v>
          </cell>
        </row>
        <row r="5158">
          <cell r="A5158" t="str">
            <v>SK0349-L</v>
          </cell>
          <cell r="B5158" t="str">
            <v>K349</v>
          </cell>
          <cell r="C5158" t="str">
            <v>ซาติน เดรส แขนสั้น กางเกง ปีกัสโซ่  L</v>
          </cell>
          <cell r="E5158">
            <v>0</v>
          </cell>
          <cell r="F5158">
            <v>890</v>
          </cell>
        </row>
        <row r="5159">
          <cell r="A5159" t="str">
            <v>SK0349-M</v>
          </cell>
          <cell r="B5159" t="str">
            <v>K349</v>
          </cell>
          <cell r="C5159" t="str">
            <v>ซาติน เดรส แขนสั้น กางเกง ปีกัสโซ่  M</v>
          </cell>
          <cell r="E5159">
            <v>0</v>
          </cell>
          <cell r="F5159">
            <v>890</v>
          </cell>
        </row>
        <row r="5160">
          <cell r="A5160" t="str">
            <v>SK0349-XL</v>
          </cell>
          <cell r="B5160" t="str">
            <v>QK349</v>
          </cell>
          <cell r="C5160" t="str">
            <v>ซาติน เดรส แขนสั้น กางเกง ปีกัสโซ่  XL QC</v>
          </cell>
          <cell r="E5160">
            <v>0</v>
          </cell>
          <cell r="F5160">
            <v>890</v>
          </cell>
        </row>
        <row r="5161">
          <cell r="A5161" t="str">
            <v>SK0350-2XL</v>
          </cell>
          <cell r="B5161" t="str">
            <v>K350</v>
          </cell>
          <cell r="C5161" t="str">
            <v>ซาติน เดรส แขนสั้น Flower Gray 2XL</v>
          </cell>
          <cell r="E5161">
            <v>0</v>
          </cell>
          <cell r="F5161">
            <v>890</v>
          </cell>
        </row>
        <row r="5162">
          <cell r="A5162" t="str">
            <v>SK0350-3XL</v>
          </cell>
          <cell r="B5162" t="str">
            <v>K350</v>
          </cell>
          <cell r="C5162" t="str">
            <v>ซาติน เดรส แขนสั้น Flower Gray 3XL</v>
          </cell>
          <cell r="E5162">
            <v>0</v>
          </cell>
          <cell r="F5162">
            <v>890</v>
          </cell>
        </row>
        <row r="5163">
          <cell r="A5163" t="str">
            <v>SK0350-L</v>
          </cell>
          <cell r="B5163" t="str">
            <v>K350</v>
          </cell>
          <cell r="C5163" t="str">
            <v>ซาติน เดรส แขนสั้น Flower Gray L</v>
          </cell>
          <cell r="E5163">
            <v>0</v>
          </cell>
          <cell r="F5163">
            <v>890</v>
          </cell>
        </row>
        <row r="5164">
          <cell r="A5164" t="str">
            <v>SK0350-M</v>
          </cell>
          <cell r="B5164" t="str">
            <v>K350</v>
          </cell>
          <cell r="C5164" t="str">
            <v>ซาติน เดรส แขนสั้น Flower Gray M</v>
          </cell>
          <cell r="E5164">
            <v>0</v>
          </cell>
          <cell r="F5164">
            <v>890</v>
          </cell>
        </row>
        <row r="5165">
          <cell r="A5165" t="str">
            <v>SK0350-XL</v>
          </cell>
          <cell r="B5165" t="str">
            <v>K350</v>
          </cell>
          <cell r="C5165" t="str">
            <v>ซาติน เดรส แขนสั้น Flower Gray XL</v>
          </cell>
          <cell r="E5165">
            <v>0</v>
          </cell>
          <cell r="F5165">
            <v>890</v>
          </cell>
        </row>
        <row r="5166">
          <cell r="A5166" t="str">
            <v>SK0351-2XL</v>
          </cell>
          <cell r="B5166" t="str">
            <v>K351</v>
          </cell>
          <cell r="C5166" t="str">
            <v>ซาติน เดรส แขนยาว Flower Gray 2XL</v>
          </cell>
          <cell r="E5166">
            <v>0</v>
          </cell>
          <cell r="F5166">
            <v>890</v>
          </cell>
        </row>
        <row r="5167">
          <cell r="A5167" t="str">
            <v>SK0351-3XL</v>
          </cell>
          <cell r="B5167" t="str">
            <v>K351</v>
          </cell>
          <cell r="C5167" t="str">
            <v>ซาติน เดรส แขนยาว Flower Gray 3XL</v>
          </cell>
          <cell r="E5167">
            <v>0</v>
          </cell>
          <cell r="F5167">
            <v>890</v>
          </cell>
        </row>
        <row r="5168">
          <cell r="A5168" t="str">
            <v>SK0351-L</v>
          </cell>
          <cell r="B5168" t="str">
            <v>QK351</v>
          </cell>
          <cell r="C5168" t="str">
            <v>ซาติน เดรส แขนยาว Flower Gray L QC</v>
          </cell>
          <cell r="E5168">
            <v>0</v>
          </cell>
          <cell r="F5168">
            <v>890</v>
          </cell>
        </row>
        <row r="5169">
          <cell r="A5169" t="str">
            <v>SK0351-M</v>
          </cell>
          <cell r="B5169" t="str">
            <v>K351</v>
          </cell>
          <cell r="C5169" t="str">
            <v>ซาติน เดรส แขนยาว Flower Gray M</v>
          </cell>
          <cell r="E5169">
            <v>0</v>
          </cell>
          <cell r="F5169">
            <v>890</v>
          </cell>
        </row>
        <row r="5170">
          <cell r="A5170" t="str">
            <v>SK0351-XL</v>
          </cell>
          <cell r="B5170" t="str">
            <v>QK351</v>
          </cell>
          <cell r="C5170" t="str">
            <v>ซาติน เดรส แขนยาว Flower Gray XL QC</v>
          </cell>
          <cell r="E5170">
            <v>0</v>
          </cell>
          <cell r="F5170">
            <v>890</v>
          </cell>
        </row>
        <row r="5171">
          <cell r="A5171" t="str">
            <v>SK0352-2XL</v>
          </cell>
          <cell r="B5171" t="str">
            <v>K352</v>
          </cell>
          <cell r="C5171" t="str">
            <v>ซาติน เดรส แขนสั้น กางเกง Jasmine Green 2XL</v>
          </cell>
          <cell r="E5171">
            <v>0</v>
          </cell>
          <cell r="F5171">
            <v>890</v>
          </cell>
        </row>
        <row r="5172">
          <cell r="A5172" t="str">
            <v>SK0352-4XL</v>
          </cell>
          <cell r="B5172" t="str">
            <v>K352</v>
          </cell>
          <cell r="C5172" t="str">
            <v>ซาติน เดรส แขนสั้น กางเกง Jasmine Green 4XL</v>
          </cell>
          <cell r="E5172">
            <v>0</v>
          </cell>
          <cell r="F5172">
            <v>890</v>
          </cell>
        </row>
        <row r="5173">
          <cell r="A5173" t="str">
            <v>SK0352-L</v>
          </cell>
          <cell r="B5173" t="str">
            <v>K352</v>
          </cell>
          <cell r="C5173" t="str">
            <v>ซาติน เดรส แขนสั้น กางเกง Jasmine Green L</v>
          </cell>
          <cell r="E5173">
            <v>0</v>
          </cell>
          <cell r="F5173">
            <v>890</v>
          </cell>
        </row>
        <row r="5174">
          <cell r="A5174" t="str">
            <v>SK0352-M</v>
          </cell>
          <cell r="B5174" t="str">
            <v>K352</v>
          </cell>
          <cell r="C5174" t="str">
            <v>ซาติน เดรส แขนสั้น กางเกง Jasmine Green M</v>
          </cell>
          <cell r="E5174">
            <v>0</v>
          </cell>
          <cell r="F5174">
            <v>890</v>
          </cell>
        </row>
        <row r="5175">
          <cell r="A5175" t="str">
            <v>SK0352-XL</v>
          </cell>
          <cell r="B5175" t="str">
            <v>K352</v>
          </cell>
          <cell r="C5175" t="str">
            <v>ซาติน เดรส แขนสั้น กางเกง Jasmine Green XL</v>
          </cell>
          <cell r="E5175">
            <v>0</v>
          </cell>
          <cell r="F5175">
            <v>890</v>
          </cell>
        </row>
        <row r="5176">
          <cell r="A5176" t="str">
            <v>SK0353-L</v>
          </cell>
          <cell r="B5176" t="str">
            <v>K353</v>
          </cell>
          <cell r="C5176" t="str">
            <v>ซาติน เดรสแขนยาว พื้นดำ L</v>
          </cell>
          <cell r="E5176">
            <v>0</v>
          </cell>
          <cell r="F5176">
            <v>890</v>
          </cell>
        </row>
        <row r="5177">
          <cell r="A5177" t="str">
            <v>SK0353-M</v>
          </cell>
          <cell r="B5177" t="str">
            <v>K353</v>
          </cell>
          <cell r="C5177" t="str">
            <v>ซาติน เดรสแขนยาว พื้นดำ M</v>
          </cell>
          <cell r="E5177">
            <v>0</v>
          </cell>
          <cell r="F5177">
            <v>890</v>
          </cell>
        </row>
        <row r="5178">
          <cell r="A5178" t="str">
            <v>SK0354-L</v>
          </cell>
          <cell r="B5178" t="str">
            <v>K354</v>
          </cell>
          <cell r="C5178" t="str">
            <v>ซาติน เดรสแขนยาว พื้นขาว L</v>
          </cell>
          <cell r="E5178">
            <v>0</v>
          </cell>
          <cell r="F5178">
            <v>590</v>
          </cell>
        </row>
        <row r="5179">
          <cell r="A5179" t="str">
            <v>SK0354-M</v>
          </cell>
          <cell r="B5179" t="str">
            <v>QK354</v>
          </cell>
          <cell r="C5179" t="str">
            <v>ซาติน เดรสแขนยาว พื้นขาว M QC</v>
          </cell>
          <cell r="E5179">
            <v>0</v>
          </cell>
          <cell r="F5179">
            <v>890</v>
          </cell>
        </row>
        <row r="5180">
          <cell r="A5180" t="str">
            <v>SK0360-2XL</v>
          </cell>
          <cell r="B5180" t="str">
            <v>K360</v>
          </cell>
          <cell r="C5180" t="str">
            <v>ซาติน เดรส แขนสั้น Comic book 2XL</v>
          </cell>
          <cell r="E5180">
            <v>0</v>
          </cell>
          <cell r="F5180">
            <v>890</v>
          </cell>
        </row>
        <row r="5181">
          <cell r="A5181" t="str">
            <v>SK0360-3XL</v>
          </cell>
          <cell r="B5181" t="str">
            <v>K360</v>
          </cell>
          <cell r="C5181" t="str">
            <v>ซาติน เดรส แขนสั้น Comic book 3XL</v>
          </cell>
          <cell r="E5181">
            <v>0</v>
          </cell>
          <cell r="F5181">
            <v>890</v>
          </cell>
        </row>
        <row r="5182">
          <cell r="A5182" t="str">
            <v>SK0360-L</v>
          </cell>
          <cell r="B5182" t="str">
            <v>K360</v>
          </cell>
          <cell r="C5182" t="str">
            <v>ซาติน เดรส แขนสั้น Comic book L</v>
          </cell>
          <cell r="E5182">
            <v>0</v>
          </cell>
          <cell r="F5182">
            <v>890</v>
          </cell>
        </row>
        <row r="5183">
          <cell r="A5183" t="str">
            <v>SK0360-M</v>
          </cell>
          <cell r="B5183" t="str">
            <v>K360</v>
          </cell>
          <cell r="C5183" t="str">
            <v>ซาติน เดรส แขนสั้น Comic book M</v>
          </cell>
          <cell r="E5183">
            <v>0</v>
          </cell>
          <cell r="F5183">
            <v>890</v>
          </cell>
        </row>
        <row r="5184">
          <cell r="A5184" t="str">
            <v>SK0360-XL</v>
          </cell>
          <cell r="B5184" t="str">
            <v>K360</v>
          </cell>
          <cell r="C5184" t="str">
            <v>ซาติน เดรส แขนสั้น Comic book XL</v>
          </cell>
          <cell r="E5184">
            <v>0</v>
          </cell>
          <cell r="F5184">
            <v>890</v>
          </cell>
        </row>
        <row r="5185">
          <cell r="A5185" t="str">
            <v>SK0474-L</v>
          </cell>
          <cell r="B5185" t="str">
            <v>JK474</v>
          </cell>
          <cell r="C5185" t="str">
            <v>ซาติน เดรสแขน 5 ส่วน Good Night Dog พื้นชมพู L ตัวโชว์</v>
          </cell>
          <cell r="E5185">
            <v>0</v>
          </cell>
          <cell r="F5185">
            <v>890</v>
          </cell>
        </row>
        <row r="5186">
          <cell r="A5186" t="str">
            <v>SK0474-M</v>
          </cell>
          <cell r="B5186" t="str">
            <v>ป1</v>
          </cell>
          <cell r="C5186" t="str">
            <v>ซาติน เดรสแขน 5 ส่วน Good Night Dog พื้นชมพู M</v>
          </cell>
          <cell r="E5186">
            <v>0</v>
          </cell>
          <cell r="F5186">
            <v>890</v>
          </cell>
        </row>
        <row r="5187">
          <cell r="A5187" t="str">
            <v>SK0475-L</v>
          </cell>
          <cell r="B5187" t="str">
            <v>K475</v>
          </cell>
          <cell r="C5187" t="str">
            <v>ซาติน เดรสแขน 5 ส่วน Good Night Dog พื้นขาว L</v>
          </cell>
          <cell r="E5187">
            <v>0</v>
          </cell>
          <cell r="F5187">
            <v>890</v>
          </cell>
        </row>
        <row r="5188">
          <cell r="A5188" t="str">
            <v>SK0475-M</v>
          </cell>
          <cell r="B5188" t="str">
            <v>K475</v>
          </cell>
          <cell r="C5188" t="str">
            <v>ซาติน เดรสแขน 5 ส่วน Good Night Dog พื้นขาว M</v>
          </cell>
          <cell r="E5188">
            <v>0</v>
          </cell>
          <cell r="F5188">
            <v>890</v>
          </cell>
        </row>
        <row r="5189">
          <cell r="A5189" t="str">
            <v>SK0482-2XL</v>
          </cell>
          <cell r="B5189" t="str">
            <v>K482</v>
          </cell>
          <cell r="C5189" t="str">
            <v>ซาติน เดรสแขนสั้น กางเกง Sleep Cat พื้นฟ้า 2XL</v>
          </cell>
          <cell r="E5189">
            <v>0</v>
          </cell>
          <cell r="F5189">
            <v>890</v>
          </cell>
        </row>
        <row r="5190">
          <cell r="A5190" t="str">
            <v>SK0482-L</v>
          </cell>
          <cell r="B5190" t="str">
            <v>K482</v>
          </cell>
          <cell r="C5190" t="str">
            <v>ซาติน เดรสแขนสั้น กางเกง Sleep Cat พื้นฟ้า L</v>
          </cell>
          <cell r="E5190">
            <v>0</v>
          </cell>
          <cell r="F5190">
            <v>890</v>
          </cell>
        </row>
        <row r="5191">
          <cell r="A5191" t="str">
            <v>SK0482-M</v>
          </cell>
          <cell r="B5191" t="str">
            <v>K482</v>
          </cell>
          <cell r="C5191" t="str">
            <v>ซาติน เดรสแขนสั้น กางเกง Sleep Cat พื้นฟ้า M</v>
          </cell>
          <cell r="E5191">
            <v>0</v>
          </cell>
          <cell r="F5191">
            <v>890</v>
          </cell>
        </row>
        <row r="5192">
          <cell r="A5192" t="str">
            <v>SK0482-XL</v>
          </cell>
          <cell r="B5192" t="str">
            <v>K482</v>
          </cell>
          <cell r="C5192" t="str">
            <v>ซาติน เดรสแขนสั้น กางเกง Sleep Cat พื้นฟ้า XL</v>
          </cell>
          <cell r="E5192">
            <v>0</v>
          </cell>
          <cell r="F5192">
            <v>890</v>
          </cell>
        </row>
        <row r="5193">
          <cell r="A5193" t="str">
            <v>SK0489-L</v>
          </cell>
          <cell r="B5193" t="str">
            <v>K489</v>
          </cell>
          <cell r="C5193" t="str">
            <v>ซาติน เดรสแขนยาว พื้นขาว คอปกชมพูนู้ด นกกระเรียน L</v>
          </cell>
          <cell r="E5193">
            <v>0</v>
          </cell>
          <cell r="F5193">
            <v>890</v>
          </cell>
        </row>
        <row r="5194">
          <cell r="A5194" t="str">
            <v>SK0489-M</v>
          </cell>
          <cell r="B5194" t="str">
            <v>K489</v>
          </cell>
          <cell r="C5194" t="str">
            <v>ซาติน เดรสแขนยาว พื้นขาว คอปกชมพูนู้ด นกกระเรียน M</v>
          </cell>
          <cell r="E5194">
            <v>0</v>
          </cell>
          <cell r="F5194">
            <v>890</v>
          </cell>
        </row>
        <row r="5195">
          <cell r="A5195" t="str">
            <v>SK0490-L</v>
          </cell>
          <cell r="B5195" t="str">
            <v>K490</v>
          </cell>
          <cell r="C5195" t="str">
            <v>ซาติน เดรสแขนยาว พื้นครีม MONTER L</v>
          </cell>
          <cell r="E5195">
            <v>0</v>
          </cell>
          <cell r="F5195">
            <v>890</v>
          </cell>
        </row>
        <row r="5196">
          <cell r="A5196" t="str">
            <v>SK0490-M</v>
          </cell>
          <cell r="B5196" t="str">
            <v>ป2</v>
          </cell>
          <cell r="C5196" t="str">
            <v>ซาติน เดรสแขนยาว พื้นครีม MONTER M</v>
          </cell>
          <cell r="E5196">
            <v>0</v>
          </cell>
          <cell r="F5196">
            <v>890</v>
          </cell>
        </row>
        <row r="5197">
          <cell r="A5197" t="str">
            <v>SK0491-L</v>
          </cell>
          <cell r="B5197" t="str">
            <v>K491</v>
          </cell>
          <cell r="C5197" t="str">
            <v>ซาติน เดรสแขนยาว พื้นชมพูอ่อน MONTER L</v>
          </cell>
          <cell r="E5197">
            <v>0</v>
          </cell>
          <cell r="F5197">
            <v>890</v>
          </cell>
        </row>
        <row r="5198">
          <cell r="A5198" t="str">
            <v>SK0491-M</v>
          </cell>
          <cell r="B5198" t="str">
            <v>JK491</v>
          </cell>
          <cell r="C5198" t="str">
            <v>ซาติน เดรสแขนยาว พื้นชมพูอ่อน MONTER M ตัวโชว์</v>
          </cell>
          <cell r="E5198">
            <v>0</v>
          </cell>
          <cell r="F5198">
            <v>890</v>
          </cell>
        </row>
        <row r="5199">
          <cell r="A5199" t="str">
            <v>SK0492-L</v>
          </cell>
          <cell r="B5199" t="str">
            <v>K492</v>
          </cell>
          <cell r="C5199" t="str">
            <v>ซาติน เดรสแขนยาว พื้นชมพู ลายจุด กระเป๋าลูกไม้ Couple L</v>
          </cell>
          <cell r="E5199">
            <v>0</v>
          </cell>
          <cell r="F5199">
            <v>890</v>
          </cell>
        </row>
        <row r="5200">
          <cell r="A5200" t="str">
            <v>SK0492-M</v>
          </cell>
          <cell r="B5200" t="str">
            <v>K492</v>
          </cell>
          <cell r="C5200" t="str">
            <v>ซาติน เดรสแขนยาว พื้นชมพู ลายจุด กระเป๋าลูกไม้ Couple M</v>
          </cell>
          <cell r="E5200">
            <v>0</v>
          </cell>
          <cell r="F5200">
            <v>890</v>
          </cell>
        </row>
        <row r="5201">
          <cell r="A5201" t="str">
            <v>SK0493-L</v>
          </cell>
          <cell r="B5201" t="str">
            <v>JK493</v>
          </cell>
          <cell r="C5201" t="str">
            <v>ซาติน เดรสแขนยาว พื้นขาว ลายจุด กระเป๋าลูกไม้ Couple L ตัวโชว์</v>
          </cell>
          <cell r="E5201">
            <v>0</v>
          </cell>
          <cell r="F5201">
            <v>890</v>
          </cell>
        </row>
        <row r="5202">
          <cell r="A5202" t="str">
            <v>SK0493-M</v>
          </cell>
          <cell r="B5202" t="str">
            <v>JK493</v>
          </cell>
          <cell r="C5202" t="str">
            <v>ซาติน เดรสแขนยาว พื้นขาว ลายจุด กระเป๋าลูกไม้ Couple M ตัวโชว์</v>
          </cell>
          <cell r="E5202">
            <v>0</v>
          </cell>
          <cell r="F5202">
            <v>890</v>
          </cell>
        </row>
        <row r="5203">
          <cell r="A5203" t="str">
            <v>SK0494-L</v>
          </cell>
          <cell r="B5203" t="str">
            <v>K494</v>
          </cell>
          <cell r="C5203" t="str">
            <v>ซาติน เดรส แขน 5 ส่วน Angel Bow L</v>
          </cell>
          <cell r="E5203">
            <v>0</v>
          </cell>
          <cell r="F5203">
            <v>890</v>
          </cell>
        </row>
        <row r="5204">
          <cell r="A5204" t="str">
            <v>SK0494-M</v>
          </cell>
          <cell r="B5204" t="str">
            <v>K494</v>
          </cell>
          <cell r="C5204" t="str">
            <v>ซาติน เดรส แขน 5 ส่วน Angel Bow M</v>
          </cell>
          <cell r="E5204">
            <v>0</v>
          </cell>
          <cell r="F5204">
            <v>890</v>
          </cell>
        </row>
        <row r="5205">
          <cell r="A5205" t="str">
            <v>SK0495-L</v>
          </cell>
          <cell r="B5205" t="str">
            <v>JK495</v>
          </cell>
          <cell r="C5205" t="str">
            <v>ซาติน เดรสแขนสั้น กางเกง ผีเสื้อดอกไม้ เขียว L</v>
          </cell>
          <cell r="E5205">
            <v>0</v>
          </cell>
          <cell r="F5205">
            <v>890</v>
          </cell>
        </row>
        <row r="5206">
          <cell r="A5206" t="str">
            <v>SK0495-M</v>
          </cell>
          <cell r="B5206" t="str">
            <v>JK495</v>
          </cell>
          <cell r="C5206" t="str">
            <v>ซาติน เดรสแขนสั้น กางเกง ผีเสื้อดอกไม้ เขียว M</v>
          </cell>
          <cell r="E5206">
            <v>0</v>
          </cell>
          <cell r="F5206">
            <v>890</v>
          </cell>
        </row>
        <row r="5207">
          <cell r="A5207" t="str">
            <v>SK0495-XL</v>
          </cell>
          <cell r="B5207" t="str">
            <v>JK495</v>
          </cell>
          <cell r="C5207" t="str">
            <v>ซาติน เดรสแขนสั้น กางเกง ผีเสื้อดอกไม้ เขียว XL ตัวโชว์</v>
          </cell>
          <cell r="E5207">
            <v>0</v>
          </cell>
          <cell r="F5207">
            <v>890</v>
          </cell>
        </row>
        <row r="5208">
          <cell r="A5208" t="str">
            <v>SK0496-L</v>
          </cell>
          <cell r="B5208" t="str">
            <v>JK496</v>
          </cell>
          <cell r="C5208" t="str">
            <v>ซาติน เดรสแขนสั้น กางเกง กุหลาบ ขอบชมพู พื้นขาว L ตัวโชว์</v>
          </cell>
          <cell r="E5208">
            <v>0</v>
          </cell>
          <cell r="F5208">
            <v>890</v>
          </cell>
        </row>
        <row r="5209">
          <cell r="A5209" t="str">
            <v>SK0496-M</v>
          </cell>
          <cell r="B5209" t="str">
            <v>JK496</v>
          </cell>
          <cell r="C5209" t="str">
            <v>ซาติน เดรสแขนสั้น กางเกง กุหลาบ ขอบชมพู พื้นขาว M ตัวโชว์</v>
          </cell>
          <cell r="E5209">
            <v>0</v>
          </cell>
          <cell r="F5209">
            <v>890</v>
          </cell>
        </row>
        <row r="5210">
          <cell r="A5210" t="str">
            <v>SK0496-XL</v>
          </cell>
          <cell r="B5210" t="str">
            <v>JK496</v>
          </cell>
          <cell r="C5210" t="str">
            <v>ซาติน เดรสแขนสั้น กางเกง กุหลาบ ขอบชมพู พื้นขาว XL ตัวโชว์</v>
          </cell>
          <cell r="E5210">
            <v>0</v>
          </cell>
          <cell r="F5210">
            <v>890</v>
          </cell>
        </row>
        <row r="5211">
          <cell r="A5211" t="str">
            <v>SK0497-L</v>
          </cell>
          <cell r="B5211" t="str">
            <v>JK497</v>
          </cell>
          <cell r="C5211" t="str">
            <v>ซาติน เดรสแขนสั้น กางเกง ลายมะพร้าว สีพาสเทล L</v>
          </cell>
          <cell r="E5211">
            <v>0</v>
          </cell>
          <cell r="F5211">
            <v>890</v>
          </cell>
        </row>
        <row r="5212">
          <cell r="A5212" t="str">
            <v>SK0497-M</v>
          </cell>
          <cell r="B5212" t="str">
            <v>JK497</v>
          </cell>
          <cell r="C5212" t="str">
            <v>ซาติน เดรสแขนสั้น กางเกง ลายมะพร้าว สีพาสเทล M ตัวโชว์</v>
          </cell>
          <cell r="E5212">
            <v>0</v>
          </cell>
          <cell r="F5212">
            <v>890</v>
          </cell>
        </row>
        <row r="5213">
          <cell r="A5213" t="str">
            <v>SK0497-XL</v>
          </cell>
          <cell r="B5213" t="str">
            <v>JK497</v>
          </cell>
          <cell r="C5213" t="str">
            <v>ซาติน เดรสแขนสั้น กางเกง ลายมะพร้าว สีพาสเทล XL ตัวโชว์</v>
          </cell>
          <cell r="E5213">
            <v>0</v>
          </cell>
          <cell r="F5213">
            <v>890</v>
          </cell>
        </row>
        <row r="5214">
          <cell r="A5214" t="str">
            <v>SK0498-L</v>
          </cell>
          <cell r="B5214" t="str">
            <v>K498</v>
          </cell>
          <cell r="C5214" t="str">
            <v>ซาติน เดรสแขนสั้น กางเกง ฟรุตตี้ L</v>
          </cell>
          <cell r="E5214">
            <v>0</v>
          </cell>
          <cell r="F5214">
            <v>890</v>
          </cell>
        </row>
        <row r="5215">
          <cell r="A5215" t="str">
            <v>SK0498-M</v>
          </cell>
          <cell r="B5215" t="str">
            <v>ป2</v>
          </cell>
          <cell r="C5215" t="str">
            <v>ซาติน เดรสแขนสั้น กางเกง ฟรุตตี้ M</v>
          </cell>
          <cell r="E5215">
            <v>0</v>
          </cell>
          <cell r="F5215">
            <v>890</v>
          </cell>
        </row>
        <row r="5216">
          <cell r="A5216" t="str">
            <v>SK0498-XL</v>
          </cell>
          <cell r="B5216" t="str">
            <v>K498</v>
          </cell>
          <cell r="C5216" t="str">
            <v>ซาติน เดรสแขนสั้น กางเกง ฟรุตตี้ XL</v>
          </cell>
          <cell r="E5216">
            <v>0</v>
          </cell>
          <cell r="F5216">
            <v>890</v>
          </cell>
        </row>
        <row r="5217">
          <cell r="A5217" t="str">
            <v>SK0499-L</v>
          </cell>
          <cell r="B5217" t="str">
            <v>K499</v>
          </cell>
          <cell r="C5217" t="str">
            <v>ซาติน เดรส กางเกง ดอกไม้ขาว พื้นครีม L</v>
          </cell>
          <cell r="E5217">
            <v>0</v>
          </cell>
          <cell r="F5217">
            <v>890</v>
          </cell>
        </row>
        <row r="5218">
          <cell r="A5218" t="str">
            <v>SK0499-M</v>
          </cell>
          <cell r="B5218" t="str">
            <v>K499</v>
          </cell>
          <cell r="C5218" t="str">
            <v>ซาติน เดรส กางเกง ดอกไม้ขาว พื้นครีม M</v>
          </cell>
          <cell r="E5218">
            <v>0</v>
          </cell>
          <cell r="F5218">
            <v>890</v>
          </cell>
        </row>
        <row r="5219">
          <cell r="A5219" t="str">
            <v>SK0499-XL</v>
          </cell>
          <cell r="B5219" t="str">
            <v>K499</v>
          </cell>
          <cell r="C5219" t="str">
            <v>ซาติน เดรส กางเกง ดอกไม้ขาว พื้นครีม XL</v>
          </cell>
          <cell r="E5219">
            <v>0</v>
          </cell>
          <cell r="F5219">
            <v>890</v>
          </cell>
        </row>
        <row r="5220">
          <cell r="A5220" t="str">
            <v>SK0500-L</v>
          </cell>
          <cell r="B5220" t="str">
            <v>K500</v>
          </cell>
          <cell r="C5220" t="str">
            <v>ซาติน เดรส กางเกง ฟ้ามินท์ ลายทาง L</v>
          </cell>
          <cell r="E5220">
            <v>0</v>
          </cell>
          <cell r="F5220">
            <v>890</v>
          </cell>
        </row>
        <row r="5221">
          <cell r="A5221" t="str">
            <v>SK0500-M</v>
          </cell>
          <cell r="B5221" t="str">
            <v>ป1</v>
          </cell>
          <cell r="C5221" t="str">
            <v>ซาติน เดรส กางเกง ฟ้ามินท์ ลายทาง M</v>
          </cell>
          <cell r="E5221">
            <v>0</v>
          </cell>
          <cell r="F5221">
            <v>890</v>
          </cell>
        </row>
        <row r="5222">
          <cell r="A5222" t="str">
            <v>SK0500-XL</v>
          </cell>
          <cell r="B5222" t="str">
            <v>K500</v>
          </cell>
          <cell r="C5222" t="str">
            <v>ซาติน เดรส กางเกง ฟ้ามินท์ ลายทาง XL</v>
          </cell>
          <cell r="E5222">
            <v>0</v>
          </cell>
          <cell r="F5222">
            <v>890</v>
          </cell>
        </row>
        <row r="5223">
          <cell r="A5223" t="str">
            <v>SK0501-L</v>
          </cell>
          <cell r="B5223" t="str">
            <v>K501</v>
          </cell>
          <cell r="C5223" t="str">
            <v>ซาติน เดรส แขนสั้น กางเกงพาสเทล แฟนตาซี  L</v>
          </cell>
          <cell r="E5223">
            <v>0</v>
          </cell>
          <cell r="F5223">
            <v>890</v>
          </cell>
        </row>
        <row r="5224">
          <cell r="A5224" t="str">
            <v>SK0501-M</v>
          </cell>
          <cell r="B5224" t="str">
            <v>K501</v>
          </cell>
          <cell r="C5224" t="str">
            <v>ซาติน เดรส แขนสั้น กางเกงพาสเทล แฟนตาซี  M</v>
          </cell>
          <cell r="E5224">
            <v>0</v>
          </cell>
          <cell r="F5224">
            <v>890</v>
          </cell>
        </row>
        <row r="5225">
          <cell r="A5225" t="str">
            <v>SK0501-XL</v>
          </cell>
          <cell r="B5225" t="str">
            <v>K501</v>
          </cell>
          <cell r="C5225" t="str">
            <v>ซาติน เดรส แขนสั้น กางเกงพาสเทล แฟนตาซี  XL</v>
          </cell>
          <cell r="E5225">
            <v>0</v>
          </cell>
          <cell r="F5225">
            <v>890</v>
          </cell>
        </row>
        <row r="5226">
          <cell r="A5226" t="str">
            <v>SK0519-L</v>
          </cell>
          <cell r="B5226" t="str">
            <v>K519</v>
          </cell>
          <cell r="C5226" t="str">
            <v>ซิลค์แจ็คการ์ด เดรสแขนสั้น ผีเสื้อ พาสเทล พื้นขาว L</v>
          </cell>
          <cell r="E5226">
            <v>0</v>
          </cell>
          <cell r="F5226">
            <v>890</v>
          </cell>
        </row>
        <row r="5227">
          <cell r="A5227" t="str">
            <v>SK0519-M</v>
          </cell>
          <cell r="B5227" t="str">
            <v>K519</v>
          </cell>
          <cell r="C5227" t="str">
            <v>ซิลค์แจ็คการ์ด เดรสแขนสั้น ผีเสื้อ พาสเทล พื้นขาว M</v>
          </cell>
          <cell r="E5227">
            <v>0</v>
          </cell>
          <cell r="F5227">
            <v>890</v>
          </cell>
        </row>
        <row r="5228">
          <cell r="A5228" t="str">
            <v>SK0519-XL</v>
          </cell>
          <cell r="B5228" t="str">
            <v>K519</v>
          </cell>
          <cell r="C5228" t="str">
            <v>ซิลค์แจ็คการ์ด เดรสแขนสั้น ผีเสื้อ พาสเทล พื้นขาว XL</v>
          </cell>
          <cell r="E5228">
            <v>0</v>
          </cell>
          <cell r="F5228">
            <v>890</v>
          </cell>
        </row>
        <row r="5229">
          <cell r="A5229" t="str">
            <v>SK0525-2XL</v>
          </cell>
          <cell r="B5229" t="str">
            <v>K525</v>
          </cell>
          <cell r="C5229" t="str">
            <v>ซาติน เดรส แขนสั้น ดอกไม้มายา 2XL</v>
          </cell>
          <cell r="E5229">
            <v>0</v>
          </cell>
          <cell r="F5229">
            <v>890</v>
          </cell>
        </row>
        <row r="5230">
          <cell r="A5230" t="str">
            <v>SK0525-3XL</v>
          </cell>
          <cell r="B5230" t="str">
            <v>K525</v>
          </cell>
          <cell r="C5230" t="str">
            <v>ซาติน เดรส แขนสั้น ดอกไม้มายา 3XL</v>
          </cell>
          <cell r="E5230">
            <v>0</v>
          </cell>
          <cell r="F5230">
            <v>890</v>
          </cell>
        </row>
        <row r="5231">
          <cell r="A5231" t="str">
            <v>SK0525-L</v>
          </cell>
          <cell r="B5231" t="str">
            <v>K525</v>
          </cell>
          <cell r="C5231" t="str">
            <v>ซาติน เดรส แขนสั้น ดอกไม้มายา L</v>
          </cell>
          <cell r="E5231">
            <v>0</v>
          </cell>
          <cell r="F5231">
            <v>890</v>
          </cell>
        </row>
        <row r="5232">
          <cell r="A5232" t="str">
            <v>SK0525-M</v>
          </cell>
          <cell r="B5232" t="str">
            <v>K525</v>
          </cell>
          <cell r="C5232" t="str">
            <v>ซาติน เดรส แขนสั้น ดอกไม้มายา M</v>
          </cell>
          <cell r="E5232">
            <v>0</v>
          </cell>
          <cell r="F5232">
            <v>890</v>
          </cell>
        </row>
        <row r="5233">
          <cell r="A5233" t="str">
            <v>SK0525-XL</v>
          </cell>
          <cell r="B5233" t="str">
            <v>K525</v>
          </cell>
          <cell r="C5233" t="str">
            <v>ซาติน เดรส แขนสั้น ดอกไม้มายา XL</v>
          </cell>
          <cell r="E5233">
            <v>0</v>
          </cell>
          <cell r="F5233">
            <v>890</v>
          </cell>
        </row>
        <row r="5234">
          <cell r="A5234" t="str">
            <v>SK0526-2XL</v>
          </cell>
          <cell r="B5234" t="str">
            <v>K526</v>
          </cell>
          <cell r="C5234" t="str">
            <v>ซาติน เดรส แขนสั้น Royal Art 2XL</v>
          </cell>
          <cell r="E5234">
            <v>0</v>
          </cell>
          <cell r="F5234">
            <v>890</v>
          </cell>
        </row>
        <row r="5235">
          <cell r="A5235" t="str">
            <v>SK0526-3XL</v>
          </cell>
          <cell r="B5235" t="str">
            <v>K526</v>
          </cell>
          <cell r="C5235" t="str">
            <v>ซาติน เดรส แขนสั้น Royal Art 3XL</v>
          </cell>
          <cell r="E5235">
            <v>0</v>
          </cell>
          <cell r="F5235">
            <v>890</v>
          </cell>
        </row>
        <row r="5236">
          <cell r="A5236" t="str">
            <v>SK0526-L</v>
          </cell>
          <cell r="B5236" t="str">
            <v>K526</v>
          </cell>
          <cell r="C5236" t="str">
            <v>ซาติน เดรส แขนสั้น Royal Art L</v>
          </cell>
          <cell r="E5236">
            <v>0</v>
          </cell>
          <cell r="F5236">
            <v>890</v>
          </cell>
        </row>
        <row r="5237">
          <cell r="A5237" t="str">
            <v>SK0526-M</v>
          </cell>
          <cell r="B5237" t="str">
            <v>K526</v>
          </cell>
          <cell r="C5237" t="str">
            <v>ซาติน เดรส แขนสั้น Royal Art M</v>
          </cell>
          <cell r="E5237">
            <v>0</v>
          </cell>
          <cell r="F5237">
            <v>890</v>
          </cell>
        </row>
        <row r="5238">
          <cell r="A5238" t="str">
            <v>SK0526-S</v>
          </cell>
          <cell r="B5238" t="str">
            <v>QK526</v>
          </cell>
          <cell r="C5238" t="str">
            <v>ซาติน เดรส แขนสั้น Royal Art S QC</v>
          </cell>
          <cell r="E5238">
            <v>0</v>
          </cell>
          <cell r="F5238">
            <v>890</v>
          </cell>
        </row>
        <row r="5239">
          <cell r="A5239" t="str">
            <v>SK0526-XL</v>
          </cell>
          <cell r="B5239" t="str">
            <v>K526</v>
          </cell>
          <cell r="C5239" t="str">
            <v>ซาติน เดรส แขนสั้น Royal Art XL</v>
          </cell>
          <cell r="E5239">
            <v>0</v>
          </cell>
          <cell r="F5239">
            <v>890</v>
          </cell>
        </row>
        <row r="5240">
          <cell r="A5240" t="str">
            <v>SK0527-2XL</v>
          </cell>
          <cell r="B5240" t="str">
            <v>K527</v>
          </cell>
          <cell r="C5240" t="str">
            <v>ซาติน เดรส แขนยาว ใบไม้เขียว พื้นชมพู 2XL</v>
          </cell>
          <cell r="E5240">
            <v>0</v>
          </cell>
          <cell r="F5240">
            <v>890</v>
          </cell>
        </row>
        <row r="5241">
          <cell r="A5241" t="str">
            <v>SK0527-3XL</v>
          </cell>
          <cell r="B5241" t="str">
            <v>K527</v>
          </cell>
          <cell r="C5241" t="str">
            <v>ซาติน เดรส แขนยาว ใบไม้เขียว พื้นชมพู 3XL</v>
          </cell>
          <cell r="E5241">
            <v>0</v>
          </cell>
          <cell r="F5241">
            <v>890</v>
          </cell>
        </row>
        <row r="5242">
          <cell r="A5242" t="str">
            <v>SK0527-L</v>
          </cell>
          <cell r="B5242" t="str">
            <v>K527</v>
          </cell>
          <cell r="C5242" t="str">
            <v>ซาติน เดรส แขนยาว ใบไม้เขียว พื้นชมพู L</v>
          </cell>
          <cell r="E5242">
            <v>0</v>
          </cell>
          <cell r="F5242">
            <v>890</v>
          </cell>
        </row>
        <row r="5243">
          <cell r="A5243" t="str">
            <v>SK0527-M</v>
          </cell>
          <cell r="B5243" t="str">
            <v>K527</v>
          </cell>
          <cell r="C5243" t="str">
            <v>ซาติน เดรส แขนยาว ใบไม้เขียว พื้นชมพู M</v>
          </cell>
          <cell r="E5243">
            <v>0</v>
          </cell>
          <cell r="F5243">
            <v>890</v>
          </cell>
        </row>
        <row r="5244">
          <cell r="A5244" t="str">
            <v>SK0527-XL</v>
          </cell>
          <cell r="B5244" t="str">
            <v>K527</v>
          </cell>
          <cell r="C5244" t="str">
            <v>ซาติน เดรส แขนยาว ใบไม้เขียว พื้นชมพู XL</v>
          </cell>
          <cell r="E5244">
            <v>0</v>
          </cell>
          <cell r="F5244">
            <v>890</v>
          </cell>
        </row>
        <row r="5245">
          <cell r="A5245" t="str">
            <v>SK0604-2XL</v>
          </cell>
          <cell r="B5245" t="str">
            <v>K604</v>
          </cell>
          <cell r="C5245" t="str">
            <v>ซาติน เดรส แขนสั้น กางเกง Pink Rose 2XL</v>
          </cell>
          <cell r="E5245">
            <v>0</v>
          </cell>
          <cell r="F5245">
            <v>890</v>
          </cell>
        </row>
        <row r="5246">
          <cell r="A5246" t="str">
            <v>SK0604-4XL</v>
          </cell>
          <cell r="B5246" t="str">
            <v>K604</v>
          </cell>
          <cell r="C5246" t="str">
            <v>ซาติน เดรส แขนสั้น กางเกง Pink Rose 4XL</v>
          </cell>
          <cell r="E5246">
            <v>0</v>
          </cell>
          <cell r="F5246">
            <v>890</v>
          </cell>
        </row>
        <row r="5247">
          <cell r="A5247" t="str">
            <v>SK0604-L</v>
          </cell>
          <cell r="B5247" t="str">
            <v>K604</v>
          </cell>
          <cell r="C5247" t="str">
            <v>ซาติน เดรส แขนสั้น กางเกง Pink Rose L</v>
          </cell>
          <cell r="E5247">
            <v>0</v>
          </cell>
          <cell r="F5247">
            <v>890</v>
          </cell>
        </row>
        <row r="5248">
          <cell r="A5248" t="str">
            <v>SK0604-M</v>
          </cell>
          <cell r="B5248" t="str">
            <v>K604</v>
          </cell>
          <cell r="C5248" t="str">
            <v>ซาติน เดรส แขนสั้น กางเกง Pink Rose M</v>
          </cell>
          <cell r="E5248">
            <v>0</v>
          </cell>
          <cell r="F5248">
            <v>890</v>
          </cell>
        </row>
        <row r="5249">
          <cell r="A5249" t="str">
            <v>SK0604-XL</v>
          </cell>
          <cell r="B5249" t="str">
            <v>K604</v>
          </cell>
          <cell r="C5249" t="str">
            <v>ซาติน เดรส แขนสั้น กางเกง Pink Rose XL</v>
          </cell>
          <cell r="E5249">
            <v>0</v>
          </cell>
          <cell r="F5249">
            <v>890</v>
          </cell>
        </row>
        <row r="5250">
          <cell r="A5250" t="str">
            <v>SK0606-2XL</v>
          </cell>
          <cell r="B5250" t="str">
            <v>K606</v>
          </cell>
          <cell r="C5250" t="str">
            <v>ซาติน เดรส กางเกง มอนสเตอร่า พื้นเขียวมิ้นท์ 2XL</v>
          </cell>
          <cell r="E5250">
            <v>0</v>
          </cell>
          <cell r="F5250">
            <v>890</v>
          </cell>
        </row>
        <row r="5251">
          <cell r="A5251" t="str">
            <v>SK0606-4XL</v>
          </cell>
          <cell r="B5251" t="str">
            <v>K606</v>
          </cell>
          <cell r="C5251" t="str">
            <v>ซาติน เดรส กางเกง มอนสเตอร่า พื้นเขียวมิ้นท์ 4XL</v>
          </cell>
          <cell r="E5251">
            <v>0</v>
          </cell>
          <cell r="F5251">
            <v>890</v>
          </cell>
        </row>
        <row r="5252">
          <cell r="A5252" t="str">
            <v>SK0606-L</v>
          </cell>
          <cell r="B5252" t="str">
            <v>K606</v>
          </cell>
          <cell r="C5252" t="str">
            <v>ซาติน เดรส กางเกง มอนสเตอร่า พื้นเขียวมิ้นท์ L</v>
          </cell>
          <cell r="E5252">
            <v>0</v>
          </cell>
          <cell r="F5252">
            <v>890</v>
          </cell>
        </row>
        <row r="5253">
          <cell r="A5253" t="str">
            <v>SK0606-M</v>
          </cell>
          <cell r="B5253" t="str">
            <v>K606</v>
          </cell>
          <cell r="C5253" t="str">
            <v>ซาติน เดรส กางเกง มอนสเตอร่า พื้นเขียวมิ้นท์ M</v>
          </cell>
          <cell r="E5253">
            <v>0</v>
          </cell>
          <cell r="F5253">
            <v>890</v>
          </cell>
        </row>
        <row r="5254">
          <cell r="A5254" t="str">
            <v>SK0606-XL</v>
          </cell>
          <cell r="B5254" t="str">
            <v>K606</v>
          </cell>
          <cell r="C5254" t="str">
            <v>ซาติน เดรส กางเกง มอนสเตอร่า พื้นเขียวมิ้นท์ XL</v>
          </cell>
          <cell r="E5254">
            <v>0</v>
          </cell>
          <cell r="F5254">
            <v>590</v>
          </cell>
        </row>
        <row r="5255">
          <cell r="A5255" t="str">
            <v>SK0660-L</v>
          </cell>
          <cell r="B5255" t="str">
            <v>K660</v>
          </cell>
          <cell r="C5255" t="str">
            <v>ซาติน เดรส แขนสั้น กางเกง Pink Diamond Pastel  L</v>
          </cell>
          <cell r="E5255">
            <v>0</v>
          </cell>
          <cell r="F5255">
            <v>890</v>
          </cell>
        </row>
        <row r="5256">
          <cell r="A5256" t="str">
            <v>SK0660-M</v>
          </cell>
          <cell r="B5256" t="str">
            <v>K660</v>
          </cell>
          <cell r="C5256" t="str">
            <v>ซาติน เดรส แขนสั้น กางเกง Pink Diamond Pastel  M</v>
          </cell>
          <cell r="E5256">
            <v>0</v>
          </cell>
          <cell r="F5256">
            <v>890</v>
          </cell>
        </row>
        <row r="5257">
          <cell r="A5257" t="str">
            <v>SK0660-XL</v>
          </cell>
          <cell r="B5257" t="str">
            <v>K660</v>
          </cell>
          <cell r="C5257" t="str">
            <v>ซาติน เดรส แขนสั้น กางเกง Pink Diamond Pastel  XL</v>
          </cell>
          <cell r="E5257">
            <v>0</v>
          </cell>
          <cell r="F5257">
            <v>890</v>
          </cell>
        </row>
        <row r="5258">
          <cell r="A5258" t="str">
            <v>SK0663-2XL</v>
          </cell>
          <cell r="B5258" t="str">
            <v>K663</v>
          </cell>
          <cell r="C5258" t="str">
            <v>ซาติน เดรส แขนสั้น Black Rose 2XL</v>
          </cell>
          <cell r="E5258">
            <v>0</v>
          </cell>
          <cell r="F5258">
            <v>890</v>
          </cell>
        </row>
        <row r="5259">
          <cell r="A5259" t="str">
            <v>SK0663-4XL</v>
          </cell>
          <cell r="B5259" t="str">
            <v>K663</v>
          </cell>
          <cell r="C5259" t="str">
            <v>ซาติน เดรส แขนสั้น Black Rose 4XL</v>
          </cell>
          <cell r="E5259">
            <v>0</v>
          </cell>
          <cell r="F5259">
            <v>890</v>
          </cell>
        </row>
        <row r="5260">
          <cell r="A5260" t="str">
            <v>SK0663-L</v>
          </cell>
          <cell r="B5260" t="str">
            <v>K663</v>
          </cell>
          <cell r="C5260" t="str">
            <v>ซาติน เดรส แขนสั้น Black Rose L</v>
          </cell>
          <cell r="E5260">
            <v>0</v>
          </cell>
          <cell r="F5260">
            <v>890</v>
          </cell>
        </row>
        <row r="5261">
          <cell r="A5261" t="str">
            <v>SK0663-M</v>
          </cell>
          <cell r="B5261" t="str">
            <v>K663</v>
          </cell>
          <cell r="C5261" t="str">
            <v>ซาติน เดรส แขนสั้น Black Rose M</v>
          </cell>
          <cell r="E5261">
            <v>0</v>
          </cell>
          <cell r="F5261">
            <v>890</v>
          </cell>
        </row>
        <row r="5262">
          <cell r="A5262" t="str">
            <v>SK0663-XL</v>
          </cell>
          <cell r="B5262" t="str">
            <v>K663</v>
          </cell>
          <cell r="C5262" t="str">
            <v>ซาติน เดรส แขนสั้น Black Rose XL</v>
          </cell>
          <cell r="E5262">
            <v>0</v>
          </cell>
          <cell r="F5262">
            <v>890</v>
          </cell>
        </row>
        <row r="5263">
          <cell r="A5263" t="str">
            <v>SK0800-2XL</v>
          </cell>
          <cell r="B5263" t="str">
            <v>K800</v>
          </cell>
          <cell r="C5263" t="str">
            <v>ซาติน เดรส แขนสั้น กุหลาบ พื้นขาว ปกชมพู 2XL</v>
          </cell>
          <cell r="E5263">
            <v>0</v>
          </cell>
          <cell r="F5263">
            <v>890</v>
          </cell>
        </row>
        <row r="5264">
          <cell r="A5264" t="str">
            <v>SK0800-3XL</v>
          </cell>
          <cell r="B5264" t="str">
            <v>K800</v>
          </cell>
          <cell r="C5264" t="str">
            <v>ซาติน เดรส แขนสั้น กุหลาบ พื้นขาว ปกชมพู 3XL</v>
          </cell>
          <cell r="E5264">
            <v>0</v>
          </cell>
          <cell r="F5264">
            <v>890</v>
          </cell>
        </row>
        <row r="5265">
          <cell r="A5265" t="str">
            <v>SK0800-L</v>
          </cell>
          <cell r="B5265" t="str">
            <v>K800</v>
          </cell>
          <cell r="C5265" t="str">
            <v>ซาติน เดรส แขนสั้น กุหลาบ พื้นขาว ปกชมพู L</v>
          </cell>
          <cell r="E5265">
            <v>0</v>
          </cell>
          <cell r="F5265">
            <v>890</v>
          </cell>
        </row>
        <row r="5266">
          <cell r="A5266" t="str">
            <v>SK0800-M</v>
          </cell>
          <cell r="B5266" t="str">
            <v>K800</v>
          </cell>
          <cell r="C5266" t="str">
            <v>ซาติน เดรส แขนสั้น กุหลาบ พื้นขาว ปกชมพู M</v>
          </cell>
          <cell r="E5266">
            <v>0</v>
          </cell>
          <cell r="F5266">
            <v>890</v>
          </cell>
        </row>
        <row r="5267">
          <cell r="A5267" t="str">
            <v>SK0800-XL</v>
          </cell>
          <cell r="B5267" t="str">
            <v>K800</v>
          </cell>
          <cell r="C5267" t="str">
            <v>ซาติน เดรส แขนสั้น กุหลาบ พื้นขาว ปกชมพู XL</v>
          </cell>
          <cell r="E5267">
            <v>0</v>
          </cell>
          <cell r="F5267">
            <v>890</v>
          </cell>
        </row>
        <row r="5268">
          <cell r="A5268" t="str">
            <v>SK0803-F</v>
          </cell>
          <cell r="B5268" t="str">
            <v>K803</v>
          </cell>
          <cell r="C5268" t="str">
            <v>ซาติน เดรส แขนสั้น Mini Black Heart F</v>
          </cell>
          <cell r="E5268">
            <v>0</v>
          </cell>
          <cell r="F5268">
            <v>890</v>
          </cell>
        </row>
        <row r="5269">
          <cell r="A5269" t="str">
            <v>SK0808-2XL</v>
          </cell>
          <cell r="B5269" t="str">
            <v>K808</v>
          </cell>
          <cell r="C5269" t="str">
            <v>ซาติน เดรส แขนสั้น tulip ม่วง 2XL</v>
          </cell>
          <cell r="E5269">
            <v>0</v>
          </cell>
          <cell r="F5269">
            <v>890</v>
          </cell>
        </row>
        <row r="5270">
          <cell r="A5270" t="str">
            <v>SK0808-3XL</v>
          </cell>
          <cell r="B5270" t="str">
            <v>K808</v>
          </cell>
          <cell r="C5270" t="str">
            <v>ซาติน เดรส แขนสั้น tulip ม่วง 3XL</v>
          </cell>
          <cell r="E5270">
            <v>0</v>
          </cell>
          <cell r="F5270">
            <v>890</v>
          </cell>
        </row>
        <row r="5271">
          <cell r="A5271" t="str">
            <v>SK0808-L</v>
          </cell>
          <cell r="B5271" t="str">
            <v>K808</v>
          </cell>
          <cell r="C5271" t="str">
            <v>ซาติน เดรส แขนสั้น tulip ม่วง L</v>
          </cell>
          <cell r="E5271">
            <v>0</v>
          </cell>
          <cell r="F5271">
            <v>890</v>
          </cell>
        </row>
        <row r="5272">
          <cell r="A5272" t="str">
            <v>SK0808-M</v>
          </cell>
          <cell r="B5272" t="str">
            <v>K808</v>
          </cell>
          <cell r="C5272" t="str">
            <v>ซาติน เดรส แขนสั้น tulip ม่วง M</v>
          </cell>
          <cell r="E5272">
            <v>0</v>
          </cell>
          <cell r="F5272">
            <v>890</v>
          </cell>
        </row>
        <row r="5273">
          <cell r="A5273" t="str">
            <v>SK0808-S</v>
          </cell>
          <cell r="B5273" t="str">
            <v>K808</v>
          </cell>
          <cell r="C5273" t="str">
            <v>ซาติน เดรส แขนสั้น tulip ม่วง S</v>
          </cell>
          <cell r="E5273">
            <v>0</v>
          </cell>
          <cell r="F5273">
            <v>890</v>
          </cell>
        </row>
        <row r="5274">
          <cell r="A5274" t="str">
            <v>SK0808-XL</v>
          </cell>
          <cell r="B5274" t="str">
            <v>QK808</v>
          </cell>
          <cell r="C5274" t="str">
            <v>ซาติน เดรส แขนสั้น tulip ม่วง XL QC</v>
          </cell>
          <cell r="E5274">
            <v>0</v>
          </cell>
          <cell r="F5274">
            <v>890</v>
          </cell>
        </row>
        <row r="5275">
          <cell r="A5275" t="str">
            <v>SK0813-2XL</v>
          </cell>
          <cell r="B5275" t="str">
            <v>K813</v>
          </cell>
          <cell r="C5275" t="str">
            <v>ซาติน เดรส แขนยาว ดอกโสน พื้นฟ้า 2XL</v>
          </cell>
          <cell r="E5275">
            <v>0</v>
          </cell>
          <cell r="F5275">
            <v>890</v>
          </cell>
        </row>
        <row r="5276">
          <cell r="A5276" t="str">
            <v>SK0813-3XL</v>
          </cell>
          <cell r="B5276" t="str">
            <v>K813</v>
          </cell>
          <cell r="C5276" t="str">
            <v>ซาติน เดรส แขนยาว ดอกโสน พื้นฟ้า 3XL</v>
          </cell>
          <cell r="E5276">
            <v>0</v>
          </cell>
          <cell r="F5276">
            <v>890</v>
          </cell>
        </row>
        <row r="5277">
          <cell r="A5277" t="str">
            <v>SK0813-L</v>
          </cell>
          <cell r="B5277" t="str">
            <v>K813</v>
          </cell>
          <cell r="C5277" t="str">
            <v>ซาติน เดรส แขนยาว ดอกโสน พื้นฟ้า L</v>
          </cell>
          <cell r="E5277">
            <v>0</v>
          </cell>
          <cell r="F5277">
            <v>890</v>
          </cell>
        </row>
        <row r="5278">
          <cell r="A5278" t="str">
            <v>SK0813-M</v>
          </cell>
          <cell r="B5278" t="str">
            <v>K813</v>
          </cell>
          <cell r="C5278" t="str">
            <v>ซาติน เดรส แขนยาว ดอกโสน พื้นฟ้า M</v>
          </cell>
          <cell r="E5278">
            <v>0</v>
          </cell>
          <cell r="F5278">
            <v>890</v>
          </cell>
        </row>
        <row r="5279">
          <cell r="A5279" t="str">
            <v>SK0813-XL</v>
          </cell>
          <cell r="B5279" t="str">
            <v>K813</v>
          </cell>
          <cell r="C5279" t="str">
            <v>ซาติน เดรส แขนยาว ดอกโสน พื้นฟ้า XL</v>
          </cell>
          <cell r="E5279">
            <v>0</v>
          </cell>
          <cell r="F5279">
            <v>890</v>
          </cell>
        </row>
        <row r="5280">
          <cell r="A5280" t="str">
            <v>SK0818-2XL</v>
          </cell>
          <cell r="B5280" t="str">
            <v>K818</v>
          </cell>
          <cell r="C5280" t="str">
            <v>ซาติน เดรสแขนสั้น Royal Green Art 2XL</v>
          </cell>
          <cell r="E5280">
            <v>0</v>
          </cell>
          <cell r="F5280">
            <v>890</v>
          </cell>
        </row>
        <row r="5281">
          <cell r="A5281" t="str">
            <v>SK0818-3XL</v>
          </cell>
          <cell r="B5281" t="str">
            <v>K818</v>
          </cell>
          <cell r="C5281" t="str">
            <v>ซาติน เดรสแขนสั้น Royal Green Art 3XL</v>
          </cell>
          <cell r="E5281">
            <v>0</v>
          </cell>
          <cell r="F5281">
            <v>890</v>
          </cell>
        </row>
        <row r="5282">
          <cell r="A5282" t="str">
            <v>SK0818-L</v>
          </cell>
          <cell r="B5282" t="str">
            <v>K818</v>
          </cell>
          <cell r="C5282" t="str">
            <v>ซาติน เดรสแขนสั้น Royal Green Art L</v>
          </cell>
          <cell r="E5282">
            <v>0</v>
          </cell>
          <cell r="F5282">
            <v>890</v>
          </cell>
        </row>
        <row r="5283">
          <cell r="A5283" t="str">
            <v>SK0818-M</v>
          </cell>
          <cell r="B5283" t="str">
            <v>K818</v>
          </cell>
          <cell r="C5283" t="str">
            <v>ซาติน เดรสแขนสั้น Royal Green Art M</v>
          </cell>
          <cell r="E5283">
            <v>0</v>
          </cell>
          <cell r="F5283">
            <v>890</v>
          </cell>
        </row>
        <row r="5284">
          <cell r="A5284" t="str">
            <v>SK0818-S</v>
          </cell>
          <cell r="B5284" t="str">
            <v>K818</v>
          </cell>
          <cell r="C5284" t="str">
            <v>ซาติน เดรสแขนสั้น Royal Green Art S</v>
          </cell>
          <cell r="E5284">
            <v>0</v>
          </cell>
          <cell r="F5284">
            <v>590</v>
          </cell>
        </row>
        <row r="5285">
          <cell r="A5285" t="str">
            <v>SK0818-XL</v>
          </cell>
          <cell r="B5285" t="str">
            <v>K818</v>
          </cell>
          <cell r="C5285" t="str">
            <v>ซาติน เดรสแขนสั้น Royal Green Art XL</v>
          </cell>
          <cell r="E5285">
            <v>0</v>
          </cell>
          <cell r="F5285">
            <v>890</v>
          </cell>
        </row>
        <row r="5286">
          <cell r="A5286" t="str">
            <v>SK0819-2XL</v>
          </cell>
          <cell r="B5286" t="str">
            <v>K819</v>
          </cell>
          <cell r="C5286" t="str">
            <v>ซาติน เดรส แขนสั้น กางเกง ดอกมะลิ พื้นฟ้า 2XL</v>
          </cell>
          <cell r="E5286">
            <v>0</v>
          </cell>
          <cell r="F5286">
            <v>890</v>
          </cell>
        </row>
        <row r="5287">
          <cell r="A5287" t="str">
            <v>SK0819-4XL</v>
          </cell>
          <cell r="B5287" t="str">
            <v>K819</v>
          </cell>
          <cell r="C5287" t="str">
            <v>ซาติน เดรส แขนสั้น กางเกง ดอกมะลิ พื้นฟ้า 4XL</v>
          </cell>
          <cell r="E5287">
            <v>0</v>
          </cell>
          <cell r="F5287">
            <v>890</v>
          </cell>
        </row>
        <row r="5288">
          <cell r="A5288" t="str">
            <v>SK0819-L</v>
          </cell>
          <cell r="B5288" t="str">
            <v>K819</v>
          </cell>
          <cell r="C5288" t="str">
            <v>ซาติน เดรส แขนสั้น กางเกง ดอกมะลิ พื้นฟ้า L</v>
          </cell>
          <cell r="E5288">
            <v>0</v>
          </cell>
          <cell r="F5288">
            <v>890</v>
          </cell>
        </row>
        <row r="5289">
          <cell r="A5289" t="str">
            <v>SK0819-M</v>
          </cell>
          <cell r="B5289" t="str">
            <v>K819</v>
          </cell>
          <cell r="C5289" t="str">
            <v>ซาติน เดรส แขนสั้น กางเกง ดอกมะลิ พื้นฟ้า M</v>
          </cell>
          <cell r="E5289">
            <v>0</v>
          </cell>
          <cell r="F5289">
            <v>890</v>
          </cell>
        </row>
        <row r="5290">
          <cell r="A5290" t="str">
            <v>SK0819-XL</v>
          </cell>
          <cell r="B5290" t="str">
            <v>K819</v>
          </cell>
          <cell r="C5290" t="str">
            <v>ซาติน เดรส แขนสั้น กางเกง ดอกมะลิ พื้นฟ้า XL</v>
          </cell>
          <cell r="E5290">
            <v>0</v>
          </cell>
          <cell r="F5290">
            <v>890</v>
          </cell>
        </row>
        <row r="5291">
          <cell r="A5291" t="str">
            <v>SK0820-2XL</v>
          </cell>
          <cell r="B5291" t="str">
            <v>K820</v>
          </cell>
          <cell r="C5291" t="str">
            <v>ซาติน เดรส แขนสั้น กางเกง Blue Lotus 2XL</v>
          </cell>
          <cell r="E5291">
            <v>0</v>
          </cell>
          <cell r="F5291">
            <v>890</v>
          </cell>
        </row>
        <row r="5292">
          <cell r="A5292" t="str">
            <v>SK0820-4XL</v>
          </cell>
          <cell r="B5292" t="str">
            <v>K820</v>
          </cell>
          <cell r="C5292" t="str">
            <v>ซาติน เดรส แขนสั้น กางเกง Blue Lotus 4XL</v>
          </cell>
          <cell r="E5292">
            <v>0</v>
          </cell>
          <cell r="F5292">
            <v>890</v>
          </cell>
        </row>
        <row r="5293">
          <cell r="A5293" t="str">
            <v>SK0820-L</v>
          </cell>
          <cell r="B5293" t="str">
            <v>K820</v>
          </cell>
          <cell r="C5293" t="str">
            <v>ซาติน เดรส แขนสั้น กางเกง Blue Lotus L</v>
          </cell>
          <cell r="E5293">
            <v>0</v>
          </cell>
          <cell r="F5293">
            <v>890</v>
          </cell>
        </row>
        <row r="5294">
          <cell r="A5294" t="str">
            <v>SK0820-M</v>
          </cell>
          <cell r="B5294" t="str">
            <v>K820</v>
          </cell>
          <cell r="C5294" t="str">
            <v>ซาติน เดรส แขนสั้น กางเกง Blue Lotus M</v>
          </cell>
          <cell r="E5294">
            <v>0</v>
          </cell>
          <cell r="F5294">
            <v>890</v>
          </cell>
        </row>
        <row r="5295">
          <cell r="A5295" t="str">
            <v>SK0820-XL</v>
          </cell>
          <cell r="B5295" t="str">
            <v>K820</v>
          </cell>
          <cell r="C5295" t="str">
            <v>ซาติน เดรส แขนสั้น กางเกง Blue Lotus XL</v>
          </cell>
          <cell r="E5295">
            <v>0</v>
          </cell>
          <cell r="F5295">
            <v>890</v>
          </cell>
        </row>
        <row r="5296">
          <cell r="A5296" t="str">
            <v>SK0878-2XL</v>
          </cell>
          <cell r="B5296" t="str">
            <v>K878</v>
          </cell>
          <cell r="C5296" t="str">
            <v>ซาติน เดรส แขนสั้น กางเกง Romance Flowers 2XL</v>
          </cell>
          <cell r="E5296">
            <v>0</v>
          </cell>
          <cell r="F5296">
            <v>890</v>
          </cell>
        </row>
        <row r="5297">
          <cell r="A5297" t="str">
            <v>SK0878-3XL</v>
          </cell>
          <cell r="B5297" t="str">
            <v>K878</v>
          </cell>
          <cell r="C5297" t="str">
            <v>ซาติน เดรส แขนสั้น กางเกง Romance Flowers 3XL</v>
          </cell>
          <cell r="E5297">
            <v>0</v>
          </cell>
          <cell r="F5297">
            <v>890</v>
          </cell>
        </row>
        <row r="5298">
          <cell r="A5298" t="str">
            <v>SK0878-L</v>
          </cell>
          <cell r="B5298" t="str">
            <v>K878</v>
          </cell>
          <cell r="C5298" t="str">
            <v>ซาติน เดรส แขนสั้น กางเกง Romance Flowers L</v>
          </cell>
          <cell r="E5298">
            <v>0</v>
          </cell>
          <cell r="F5298">
            <v>890</v>
          </cell>
        </row>
        <row r="5299">
          <cell r="A5299" t="str">
            <v>SK0878-M</v>
          </cell>
          <cell r="B5299" t="str">
            <v>K878</v>
          </cell>
          <cell r="C5299" t="str">
            <v>ซาติน เดรส แขนสั้น กางเกง Romance Flowers M</v>
          </cell>
          <cell r="E5299">
            <v>0</v>
          </cell>
          <cell r="F5299">
            <v>890</v>
          </cell>
        </row>
        <row r="5300">
          <cell r="A5300" t="str">
            <v>SK0878-XL</v>
          </cell>
          <cell r="B5300" t="str">
            <v>K878</v>
          </cell>
          <cell r="C5300" t="str">
            <v>ซาติน เดรส แขนสั้น กางเกง Romance Flowers XL</v>
          </cell>
          <cell r="E5300">
            <v>0</v>
          </cell>
          <cell r="F5300">
            <v>890</v>
          </cell>
        </row>
        <row r="5301">
          <cell r="A5301" t="str">
            <v>SK0882-2XL</v>
          </cell>
          <cell r="B5301" t="str">
            <v>K882</v>
          </cell>
          <cell r="C5301" t="str">
            <v>ซาติน เดรส แขนสั้น กางเกง กุหลาบและผีเสื้อ พื้นครีม 2XL</v>
          </cell>
          <cell r="E5301">
            <v>0</v>
          </cell>
          <cell r="F5301">
            <v>890</v>
          </cell>
        </row>
        <row r="5302">
          <cell r="A5302" t="str">
            <v>SK0882-3XL</v>
          </cell>
          <cell r="B5302" t="str">
            <v>K882</v>
          </cell>
          <cell r="C5302" t="str">
            <v>ซาติน เดรส แขนสั้น กางเกง กุหลาบและผีเสื้อ พื้นครีม 3XL</v>
          </cell>
          <cell r="E5302">
            <v>0</v>
          </cell>
          <cell r="F5302">
            <v>890</v>
          </cell>
        </row>
        <row r="5303">
          <cell r="A5303" t="str">
            <v>SK0882-4XL</v>
          </cell>
          <cell r="B5303" t="str">
            <v>K882</v>
          </cell>
          <cell r="C5303" t="str">
            <v>ซาติน เดรส แขนสั้น กางเกง กุหลาบและผีเสื้อ พื้นครีม 4XL</v>
          </cell>
          <cell r="E5303">
            <v>0</v>
          </cell>
          <cell r="F5303">
            <v>890</v>
          </cell>
        </row>
        <row r="5304">
          <cell r="A5304" t="str">
            <v>SK0882-L</v>
          </cell>
          <cell r="B5304" t="str">
            <v>K882</v>
          </cell>
          <cell r="C5304" t="str">
            <v>ซาติน เดรส แขนสั้น กางเกง กุหลาบและผีเสื้อ พื้นครีม L</v>
          </cell>
          <cell r="E5304">
            <v>0</v>
          </cell>
          <cell r="F5304">
            <v>890</v>
          </cell>
        </row>
        <row r="5305">
          <cell r="A5305" t="str">
            <v>SK0882-M</v>
          </cell>
          <cell r="B5305" t="str">
            <v>K882</v>
          </cell>
          <cell r="C5305" t="str">
            <v>ซาติน เดรส แขนสั้น กางเกง กุหลาบและผีเสื้อ พื้นครีม M</v>
          </cell>
          <cell r="E5305">
            <v>0</v>
          </cell>
          <cell r="F5305">
            <v>890</v>
          </cell>
        </row>
        <row r="5306">
          <cell r="A5306" t="str">
            <v>SK0882-XL</v>
          </cell>
          <cell r="B5306" t="str">
            <v>K882</v>
          </cell>
          <cell r="C5306" t="str">
            <v>ซาติน เดรส แขนสั้น กางเกง กุหลาบและผีเสื้อ พื้นครีม XL</v>
          </cell>
          <cell r="E5306">
            <v>0</v>
          </cell>
          <cell r="F5306">
            <v>890</v>
          </cell>
        </row>
        <row r="5307">
          <cell r="A5307" t="str">
            <v>SK0884-2XL</v>
          </cell>
          <cell r="B5307" t="str">
            <v>K884</v>
          </cell>
          <cell r="C5307" t="str">
            <v>ซาติน เดรส แขนห้าส่วน กางเกง สวนดอกไม้ พื้นฟ้า 2XL</v>
          </cell>
          <cell r="E5307">
            <v>0</v>
          </cell>
          <cell r="F5307">
            <v>890</v>
          </cell>
        </row>
        <row r="5308">
          <cell r="A5308" t="str">
            <v>SK0884-3XL</v>
          </cell>
          <cell r="B5308" t="str">
            <v>K884</v>
          </cell>
          <cell r="C5308" t="str">
            <v>ซาติน เดรส แขนห้าส่วน กางเกง สวนดอกไม้ พื้นฟ้า 3XL</v>
          </cell>
          <cell r="E5308">
            <v>0</v>
          </cell>
          <cell r="F5308">
            <v>890</v>
          </cell>
        </row>
        <row r="5309">
          <cell r="A5309" t="str">
            <v>SK0884-4XL</v>
          </cell>
          <cell r="B5309" t="str">
            <v>K884</v>
          </cell>
          <cell r="C5309" t="str">
            <v>ซาติน เดรส แขนห้าส่วน กางเกง สวนดอกไม้ พื้นฟ้า 4XL</v>
          </cell>
          <cell r="E5309">
            <v>0</v>
          </cell>
          <cell r="F5309">
            <v>890</v>
          </cell>
        </row>
        <row r="5310">
          <cell r="A5310" t="str">
            <v>SK0884-L</v>
          </cell>
          <cell r="B5310" t="str">
            <v>K884</v>
          </cell>
          <cell r="C5310" t="str">
            <v>ซาติน เดรส แขนห้าส่วน กางเกง สวนดอกไม้ พื้นฟ้า L</v>
          </cell>
          <cell r="E5310">
            <v>0</v>
          </cell>
          <cell r="F5310">
            <v>890</v>
          </cell>
        </row>
        <row r="5311">
          <cell r="A5311" t="str">
            <v>SK0884-M</v>
          </cell>
          <cell r="B5311" t="str">
            <v>K884</v>
          </cell>
          <cell r="C5311" t="str">
            <v>ซาติน เดรส แขนห้าส่วน กางเกง สวนดอกไม้ พื้นฟ้า M</v>
          </cell>
          <cell r="E5311">
            <v>0</v>
          </cell>
          <cell r="F5311">
            <v>890</v>
          </cell>
        </row>
        <row r="5312">
          <cell r="A5312" t="str">
            <v>SK0884-XL</v>
          </cell>
          <cell r="B5312" t="str">
            <v>K884</v>
          </cell>
          <cell r="C5312" t="str">
            <v>ซาติน เดรส แขนห้าส่วน กางเกง สวนดอกไม้ พื้นฟ้า XL</v>
          </cell>
          <cell r="E5312">
            <v>0</v>
          </cell>
          <cell r="F5312">
            <v>890</v>
          </cell>
        </row>
        <row r="5313">
          <cell r="A5313" t="str">
            <v>SK0906-2XL</v>
          </cell>
          <cell r="B5313" t="str">
            <v>K906</v>
          </cell>
          <cell r="C5313" t="str">
            <v>ซาติน เดรส แขนสั้น ใบไม้ขาว พื้นดำ 2XL</v>
          </cell>
          <cell r="E5313">
            <v>0</v>
          </cell>
          <cell r="F5313">
            <v>890</v>
          </cell>
        </row>
        <row r="5314">
          <cell r="A5314" t="str">
            <v>SK0906-3XL</v>
          </cell>
          <cell r="B5314" t="str">
            <v>K906</v>
          </cell>
          <cell r="C5314" t="str">
            <v>ซาติน เดรส แขนสั้น ใบไม้ขาว พื้นดำ 3XL</v>
          </cell>
          <cell r="E5314">
            <v>0</v>
          </cell>
          <cell r="F5314">
            <v>890</v>
          </cell>
        </row>
        <row r="5315">
          <cell r="A5315" t="str">
            <v>SK0906-L</v>
          </cell>
          <cell r="B5315" t="str">
            <v>K906</v>
          </cell>
          <cell r="C5315" t="str">
            <v>ซาติน เดรส แขนสั้น ใบไม้ขาว พื้นดำ L</v>
          </cell>
          <cell r="E5315">
            <v>0</v>
          </cell>
          <cell r="F5315">
            <v>890</v>
          </cell>
        </row>
        <row r="5316">
          <cell r="A5316" t="str">
            <v>SK0906-M</v>
          </cell>
          <cell r="B5316" t="str">
            <v>QK906</v>
          </cell>
          <cell r="C5316" t="str">
            <v>ซาติน เดรส แขนสั้น ใบไม้ขาว พื้นดำ M QC</v>
          </cell>
          <cell r="E5316">
            <v>0</v>
          </cell>
          <cell r="F5316">
            <v>890</v>
          </cell>
        </row>
        <row r="5317">
          <cell r="A5317" t="str">
            <v>SK0906-XL</v>
          </cell>
          <cell r="B5317" t="str">
            <v>K906</v>
          </cell>
          <cell r="C5317" t="str">
            <v>ซาติน เดรส แขนสั้น ใบไม้ขาว พื้นดำ XL</v>
          </cell>
          <cell r="E5317">
            <v>0</v>
          </cell>
          <cell r="F5317">
            <v>890</v>
          </cell>
        </row>
        <row r="5318">
          <cell r="A5318" t="str">
            <v>SK0911-L</v>
          </cell>
          <cell r="B5318" t="str">
            <v>K911</v>
          </cell>
          <cell r="C5318" t="str">
            <v>ซาติน เดรส แขนสั้น Dough Bear พื้นขาว L</v>
          </cell>
          <cell r="E5318">
            <v>0</v>
          </cell>
          <cell r="F5318">
            <v>890</v>
          </cell>
        </row>
        <row r="5319">
          <cell r="A5319" t="str">
            <v>SK0911-M</v>
          </cell>
          <cell r="B5319" t="str">
            <v>K911</v>
          </cell>
          <cell r="C5319" t="str">
            <v>ซาติน เดรส แขนสั้น Dough Bear พื้นขาว M</v>
          </cell>
          <cell r="E5319">
            <v>0</v>
          </cell>
          <cell r="F5319">
            <v>890</v>
          </cell>
        </row>
        <row r="5320">
          <cell r="A5320" t="str">
            <v>SK0912-L</v>
          </cell>
          <cell r="B5320" t="str">
            <v>K912</v>
          </cell>
          <cell r="C5320" t="str">
            <v>ซาติน เดรส แขนสั้น Dough Bear พื้นครีม L</v>
          </cell>
          <cell r="E5320">
            <v>0</v>
          </cell>
          <cell r="F5320">
            <v>890</v>
          </cell>
        </row>
        <row r="5321">
          <cell r="A5321" t="str">
            <v>SK0912-M</v>
          </cell>
          <cell r="B5321" t="str">
            <v>K912</v>
          </cell>
          <cell r="C5321" t="str">
            <v>ซาติน เดรส แขนสั้น Dough Bear พื้นครีม M</v>
          </cell>
          <cell r="E5321">
            <v>0</v>
          </cell>
          <cell r="F5321">
            <v>890</v>
          </cell>
        </row>
        <row r="5322">
          <cell r="A5322" t="str">
            <v>SK0923-2XL</v>
          </cell>
          <cell r="B5322" t="str">
            <v>K923</v>
          </cell>
          <cell r="C5322" t="str">
            <v>ซาติน เดรสแขนสั้น Jungle Cruise ดำ 2XL</v>
          </cell>
          <cell r="E5322">
            <v>0</v>
          </cell>
          <cell r="F5322">
            <v>890</v>
          </cell>
        </row>
        <row r="5323">
          <cell r="A5323" t="str">
            <v>SK0923-3XL</v>
          </cell>
          <cell r="B5323" t="str">
            <v>K923</v>
          </cell>
          <cell r="C5323" t="str">
            <v>ซาติน เดรสแขนสั้น Jungle Cruise ดำ 3XL</v>
          </cell>
          <cell r="E5323">
            <v>0</v>
          </cell>
          <cell r="F5323">
            <v>890</v>
          </cell>
        </row>
        <row r="5324">
          <cell r="A5324" t="str">
            <v>SK0923-L</v>
          </cell>
          <cell r="B5324" t="str">
            <v>K923</v>
          </cell>
          <cell r="C5324" t="str">
            <v>ซาติน เดรสแขนสั้น Jungle Cruise ดำ L</v>
          </cell>
          <cell r="E5324">
            <v>0</v>
          </cell>
          <cell r="F5324">
            <v>890</v>
          </cell>
        </row>
        <row r="5325">
          <cell r="A5325" t="str">
            <v>SK0923-M</v>
          </cell>
          <cell r="B5325" t="str">
            <v>K923</v>
          </cell>
          <cell r="C5325" t="str">
            <v>ซาติน เดรสแขนสั้น Jungle Cruise ดำ M</v>
          </cell>
          <cell r="E5325">
            <v>0</v>
          </cell>
          <cell r="F5325">
            <v>890</v>
          </cell>
        </row>
        <row r="5326">
          <cell r="A5326" t="str">
            <v>SK0923-XL</v>
          </cell>
          <cell r="B5326" t="str">
            <v>K923</v>
          </cell>
          <cell r="C5326" t="str">
            <v>ซาติน เดรสแขนสั้น Jungle Cruise ดำ XL</v>
          </cell>
          <cell r="E5326">
            <v>0</v>
          </cell>
          <cell r="F5326">
            <v>890</v>
          </cell>
        </row>
        <row r="5327">
          <cell r="A5327" t="str">
            <v>SK0924-2XL</v>
          </cell>
          <cell r="B5327" t="str">
            <v>K924</v>
          </cell>
          <cell r="C5327" t="str">
            <v>ซาติน เดรสแขนสั้น Jungle Cruise ครีม 2XL</v>
          </cell>
          <cell r="E5327">
            <v>0</v>
          </cell>
          <cell r="F5327">
            <v>890</v>
          </cell>
        </row>
        <row r="5328">
          <cell r="A5328" t="str">
            <v>SK0924-3XL</v>
          </cell>
          <cell r="B5328" t="str">
            <v>K924</v>
          </cell>
          <cell r="C5328" t="str">
            <v>ซาติน เดรสแขนสั้น Jungle Cruise ครีม 3XL</v>
          </cell>
          <cell r="E5328">
            <v>0</v>
          </cell>
          <cell r="F5328">
            <v>890</v>
          </cell>
        </row>
        <row r="5329">
          <cell r="A5329" t="str">
            <v>SK0924-L</v>
          </cell>
          <cell r="B5329" t="str">
            <v>K924</v>
          </cell>
          <cell r="C5329" t="str">
            <v>ซาติน เดรสแขนสั้น Jungle Cruise ครีม L</v>
          </cell>
          <cell r="E5329">
            <v>0</v>
          </cell>
          <cell r="F5329">
            <v>890</v>
          </cell>
        </row>
        <row r="5330">
          <cell r="A5330" t="str">
            <v>SK0924-M</v>
          </cell>
          <cell r="B5330" t="str">
            <v>K924</v>
          </cell>
          <cell r="C5330" t="str">
            <v>ซาติน เดรสแขนสั้น Jungle Cruise ครีม M</v>
          </cell>
          <cell r="E5330">
            <v>0</v>
          </cell>
          <cell r="F5330">
            <v>590</v>
          </cell>
        </row>
        <row r="5331">
          <cell r="A5331" t="str">
            <v>SK0924-XL</v>
          </cell>
          <cell r="B5331" t="str">
            <v>K924</v>
          </cell>
          <cell r="C5331" t="str">
            <v>ซาติน เดรสแขนสั้น Jungle Cruise ครีม XL</v>
          </cell>
          <cell r="E5331">
            <v>0</v>
          </cell>
          <cell r="F5331">
            <v>890</v>
          </cell>
        </row>
        <row r="5332">
          <cell r="A5332" t="str">
            <v>SK0935-2XL</v>
          </cell>
          <cell r="B5332" t="str">
            <v>K935</v>
          </cell>
          <cell r="C5332" t="str">
            <v>ซาติน เดรส แขนสั้น Cute old totoro 2XL</v>
          </cell>
          <cell r="E5332">
            <v>0</v>
          </cell>
          <cell r="F5332">
            <v>890</v>
          </cell>
        </row>
        <row r="5333">
          <cell r="A5333" t="str">
            <v>SK0935-3XL</v>
          </cell>
          <cell r="B5333" t="str">
            <v>K935</v>
          </cell>
          <cell r="C5333" t="str">
            <v>ซาติน เดรส แขนสั้น Cute old totoro 3XL</v>
          </cell>
          <cell r="E5333">
            <v>0</v>
          </cell>
          <cell r="F5333">
            <v>890</v>
          </cell>
        </row>
        <row r="5334">
          <cell r="A5334" t="str">
            <v>SK0935-L</v>
          </cell>
          <cell r="B5334" t="str">
            <v>K935</v>
          </cell>
          <cell r="C5334" t="str">
            <v>ซาติน เดรส แขนสั้น Cute old totoro L</v>
          </cell>
          <cell r="E5334">
            <v>0</v>
          </cell>
          <cell r="F5334">
            <v>690</v>
          </cell>
        </row>
        <row r="5335">
          <cell r="A5335" t="str">
            <v>SK0935-M</v>
          </cell>
          <cell r="B5335" t="str">
            <v>QK935</v>
          </cell>
          <cell r="C5335" t="str">
            <v>ซาติน เดรส แขนสั้น Cute old totoro M QC</v>
          </cell>
          <cell r="E5335">
            <v>0</v>
          </cell>
          <cell r="F5335">
            <v>890</v>
          </cell>
        </row>
        <row r="5336">
          <cell r="A5336" t="str">
            <v>SK0935-XL</v>
          </cell>
          <cell r="B5336" t="str">
            <v>K935</v>
          </cell>
          <cell r="C5336" t="str">
            <v>ซาติน เดรส แขนสั้น Cute old totoro XL</v>
          </cell>
          <cell r="E5336">
            <v>0</v>
          </cell>
          <cell r="F5336">
            <v>890</v>
          </cell>
        </row>
        <row r="5337">
          <cell r="A5337" t="str">
            <v>SK0945-2XL</v>
          </cell>
          <cell r="B5337" t="str">
            <v>K945</v>
          </cell>
          <cell r="C5337" t="str">
            <v>ซาติน เดรส แขนสั้น พื้นกรม ดอกกุหลาบแดง กล้วยไม้ 2XL</v>
          </cell>
          <cell r="E5337">
            <v>0</v>
          </cell>
          <cell r="F5337">
            <v>890</v>
          </cell>
        </row>
        <row r="5338">
          <cell r="A5338" t="str">
            <v>SK0945-3XL</v>
          </cell>
          <cell r="B5338" t="str">
            <v>K945</v>
          </cell>
          <cell r="C5338" t="str">
            <v>ซาติน เดรส แขนสั้น พื้นกรม ดอกกุหลาบแดง กล้วยไม้ 3XL</v>
          </cell>
          <cell r="E5338">
            <v>0</v>
          </cell>
          <cell r="F5338">
            <v>890</v>
          </cell>
        </row>
        <row r="5339">
          <cell r="A5339" t="str">
            <v>SK0945-L</v>
          </cell>
          <cell r="B5339" t="str">
            <v>K945</v>
          </cell>
          <cell r="C5339" t="str">
            <v>ซาติน เดรส แขนสั้น พื้นกรม ดอกกุหลาบแดง กล้วยไม้ L</v>
          </cell>
          <cell r="E5339">
            <v>0</v>
          </cell>
          <cell r="F5339">
            <v>890</v>
          </cell>
        </row>
        <row r="5340">
          <cell r="A5340" t="str">
            <v>SK0945-M</v>
          </cell>
          <cell r="B5340" t="str">
            <v>K945</v>
          </cell>
          <cell r="C5340" t="str">
            <v>ซาติน เดรส แขนสั้น พื้นกรม ดอกกุหลาบแดง กล้วยไม้ M</v>
          </cell>
          <cell r="E5340">
            <v>0</v>
          </cell>
          <cell r="F5340">
            <v>590</v>
          </cell>
        </row>
        <row r="5341">
          <cell r="A5341" t="str">
            <v>SK0945-XL</v>
          </cell>
          <cell r="B5341" t="str">
            <v>K945</v>
          </cell>
          <cell r="C5341" t="str">
            <v>ซาติน เดรส แขนสั้น พื้นกรม ดอกกุหลาบแดง กล้วยไม้ XL</v>
          </cell>
          <cell r="E5341">
            <v>0</v>
          </cell>
          <cell r="F5341">
            <v>890</v>
          </cell>
        </row>
        <row r="5342">
          <cell r="A5342" t="str">
            <v>SK0946-2XL</v>
          </cell>
          <cell r="B5342" t="str">
            <v>K946</v>
          </cell>
          <cell r="C5342" t="str">
            <v>ซาติน เดรส แขนสั้น เกสรดอกไม้ พื้นขาว 2XL</v>
          </cell>
          <cell r="E5342">
            <v>0</v>
          </cell>
          <cell r="F5342">
            <v>890</v>
          </cell>
        </row>
        <row r="5343">
          <cell r="A5343" t="str">
            <v>SK0946-3XL</v>
          </cell>
          <cell r="B5343" t="str">
            <v>K946</v>
          </cell>
          <cell r="C5343" t="str">
            <v>ซาติน เดรส แขนสั้น เกสรดอกไม้ พื้นขาว 3XL</v>
          </cell>
          <cell r="E5343">
            <v>0</v>
          </cell>
          <cell r="F5343">
            <v>890</v>
          </cell>
        </row>
        <row r="5344">
          <cell r="A5344" t="str">
            <v>SK0946-L</v>
          </cell>
          <cell r="B5344" t="str">
            <v>K946</v>
          </cell>
          <cell r="C5344" t="str">
            <v>ซาติน เดรส แขนสั้น เกสรดอกไม้ พื้นขาว L</v>
          </cell>
          <cell r="E5344">
            <v>0</v>
          </cell>
          <cell r="F5344">
            <v>890</v>
          </cell>
        </row>
        <row r="5345">
          <cell r="A5345" t="str">
            <v>SK0946-M</v>
          </cell>
          <cell r="B5345" t="str">
            <v>K946</v>
          </cell>
          <cell r="C5345" t="str">
            <v>ซาติน เดรส แขนสั้น เกสรดอกไม้ พื้นขาว M</v>
          </cell>
          <cell r="E5345">
            <v>0</v>
          </cell>
          <cell r="F5345">
            <v>590</v>
          </cell>
        </row>
        <row r="5346">
          <cell r="A5346" t="str">
            <v>SK0946-XL</v>
          </cell>
          <cell r="B5346" t="str">
            <v>K946</v>
          </cell>
          <cell r="C5346" t="str">
            <v>ซาติน เดรส แขนสั้น เกสรดอกไม้ พื้นขาว XL</v>
          </cell>
          <cell r="E5346">
            <v>0</v>
          </cell>
          <cell r="F5346">
            <v>890</v>
          </cell>
        </row>
        <row r="5347">
          <cell r="A5347" t="str">
            <v>SK0954-L</v>
          </cell>
          <cell r="B5347" t="str">
            <v>K954</v>
          </cell>
          <cell r="C5347" t="str">
            <v>ซาติน เดรส แขนยาว ตารางฟ้าขาว ผลไม้ L</v>
          </cell>
          <cell r="E5347">
            <v>0</v>
          </cell>
          <cell r="F5347">
            <v>890</v>
          </cell>
        </row>
        <row r="5348">
          <cell r="A5348" t="str">
            <v>SK0954-M</v>
          </cell>
          <cell r="B5348" t="str">
            <v>K954</v>
          </cell>
          <cell r="C5348" t="str">
            <v>ซาติน เดรส แขนยาว ตารางฟ้าขาว ผลไม้ M</v>
          </cell>
          <cell r="E5348">
            <v>0</v>
          </cell>
          <cell r="F5348">
            <v>890</v>
          </cell>
        </row>
        <row r="5349">
          <cell r="A5349" t="str">
            <v>SK0959-2XL</v>
          </cell>
          <cell r="B5349" t="str">
            <v>K959</v>
          </cell>
          <cell r="C5349" t="str">
            <v>ซาติน เดรสแขนสั้น เขาวงกต ขาวดำ 2XL</v>
          </cell>
          <cell r="E5349">
            <v>0</v>
          </cell>
          <cell r="F5349">
            <v>890</v>
          </cell>
        </row>
        <row r="5350">
          <cell r="A5350" t="str">
            <v>SK0959-3XL</v>
          </cell>
          <cell r="B5350" t="str">
            <v>K959</v>
          </cell>
          <cell r="C5350" t="str">
            <v>ซาติน เดรสแขนสั้น เขาวงกต ขาวดำ 3XL</v>
          </cell>
          <cell r="E5350">
            <v>0</v>
          </cell>
          <cell r="F5350">
            <v>890</v>
          </cell>
        </row>
        <row r="5351">
          <cell r="A5351" t="str">
            <v>SK0959-L</v>
          </cell>
          <cell r="B5351" t="str">
            <v>K959</v>
          </cell>
          <cell r="C5351" t="str">
            <v>ซาติน เดรสแขนสั้น เขาวงกต ขาวดำ L</v>
          </cell>
          <cell r="E5351">
            <v>0</v>
          </cell>
          <cell r="F5351">
            <v>890</v>
          </cell>
        </row>
        <row r="5352">
          <cell r="A5352" t="str">
            <v>SK0959-M</v>
          </cell>
          <cell r="B5352" t="str">
            <v>K959</v>
          </cell>
          <cell r="C5352" t="str">
            <v>ซาติน เดรสแขนสั้น เขาวงกต ขาวดำ M</v>
          </cell>
          <cell r="E5352">
            <v>0</v>
          </cell>
          <cell r="F5352">
            <v>890</v>
          </cell>
        </row>
        <row r="5353">
          <cell r="A5353" t="str">
            <v>SK0959-XL</v>
          </cell>
          <cell r="B5353" t="str">
            <v>K959</v>
          </cell>
          <cell r="C5353" t="str">
            <v>ซาติน เดรสแขนสั้น เขาวงกต ขาวดำ XL</v>
          </cell>
          <cell r="E5353">
            <v>0</v>
          </cell>
          <cell r="F5353">
            <v>890</v>
          </cell>
        </row>
        <row r="5354">
          <cell r="A5354" t="str">
            <v>SK0960-2XL</v>
          </cell>
          <cell r="B5354" t="str">
            <v>K960</v>
          </cell>
          <cell r="C5354" t="str">
            <v>ซาติน เดรสแขนสั้น กางเกง ทุ่งดอกไม้ คอปกโอรสขอบกรม 2XL</v>
          </cell>
          <cell r="E5354">
            <v>0</v>
          </cell>
          <cell r="F5354">
            <v>890</v>
          </cell>
        </row>
        <row r="5355">
          <cell r="A5355" t="str">
            <v>SK0960-3XL</v>
          </cell>
          <cell r="B5355" t="str">
            <v>K960</v>
          </cell>
          <cell r="C5355" t="str">
            <v>ซาติน เดรสแขนสั้น กางเกง ทุ่งดอกไม้ คอปกโอรสขอบกรม 3XL</v>
          </cell>
          <cell r="E5355">
            <v>0</v>
          </cell>
          <cell r="F5355">
            <v>890</v>
          </cell>
        </row>
        <row r="5356">
          <cell r="A5356" t="str">
            <v>SK0960-L</v>
          </cell>
          <cell r="B5356" t="str">
            <v>K960</v>
          </cell>
          <cell r="C5356" t="str">
            <v>ซาติน เดรสแขนสั้น กางเกง ทุ่งดอกไม้ คอปกโอรสขอบกรม L</v>
          </cell>
          <cell r="E5356">
            <v>0</v>
          </cell>
          <cell r="F5356">
            <v>890</v>
          </cell>
        </row>
        <row r="5357">
          <cell r="A5357" t="str">
            <v>SK0960-M</v>
          </cell>
          <cell r="B5357" t="str">
            <v>K960</v>
          </cell>
          <cell r="C5357" t="str">
            <v>ซาติน เดรสแขนสั้น กางเกง ทุ่งดอกไม้ คอปกโอรสขอบกรม M</v>
          </cell>
          <cell r="E5357">
            <v>0</v>
          </cell>
          <cell r="F5357">
            <v>890</v>
          </cell>
        </row>
        <row r="5358">
          <cell r="A5358" t="str">
            <v>SK0960-XL</v>
          </cell>
          <cell r="B5358" t="str">
            <v>K960</v>
          </cell>
          <cell r="C5358" t="str">
            <v>ซาติน เดรสแขนสั้น กางเกง ทุ่งดอกไม้ คอปกโอรสขอบกรม XL</v>
          </cell>
          <cell r="E5358">
            <v>0</v>
          </cell>
          <cell r="F5358">
            <v>890</v>
          </cell>
        </row>
        <row r="5359">
          <cell r="A5359" t="str">
            <v>SK0961-2XL</v>
          </cell>
          <cell r="B5359" t="str">
            <v>K961</v>
          </cell>
          <cell r="C5359" t="str">
            <v>เดรสแขนสั้น +กางเกง (กปก) พื้นเขียว สวนดอกไม้ 2XL</v>
          </cell>
          <cell r="E5359">
            <v>0</v>
          </cell>
          <cell r="F5359">
            <v>590</v>
          </cell>
        </row>
        <row r="5360">
          <cell r="A5360" t="str">
            <v>SK0961-3XL</v>
          </cell>
          <cell r="B5360" t="str">
            <v>K961</v>
          </cell>
          <cell r="C5360" t="str">
            <v>เดรสแขนสั้น +กางเกง (กปก) พื้นเขียว สวนดอกไม้ 3XL</v>
          </cell>
          <cell r="E5360">
            <v>0</v>
          </cell>
          <cell r="F5360">
            <v>890</v>
          </cell>
        </row>
        <row r="5361">
          <cell r="A5361" t="str">
            <v>SK0961-L</v>
          </cell>
          <cell r="B5361" t="str">
            <v>K961</v>
          </cell>
          <cell r="C5361" t="str">
            <v>เดรสแขนสั้น+กางเกง  (กปก) พื้นเขียว สวนดอกไม้ L</v>
          </cell>
          <cell r="E5361">
            <v>0</v>
          </cell>
          <cell r="F5361">
            <v>890</v>
          </cell>
        </row>
        <row r="5362">
          <cell r="A5362" t="str">
            <v>SK0961-M</v>
          </cell>
          <cell r="B5362" t="str">
            <v>K961</v>
          </cell>
          <cell r="C5362" t="str">
            <v>เดรสแขนสั้น+กางเกง  (กปก) พื้นเขียว สวนดอกไม้ M</v>
          </cell>
          <cell r="E5362">
            <v>0</v>
          </cell>
          <cell r="F5362">
            <v>890</v>
          </cell>
        </row>
        <row r="5363">
          <cell r="A5363" t="str">
            <v>SK0961-XL</v>
          </cell>
          <cell r="B5363" t="str">
            <v>K961</v>
          </cell>
          <cell r="C5363" t="str">
            <v>เดรสแขนสั้น +กางเกง (กปก) พื้นเขียว สวนดอกไม้ XL</v>
          </cell>
          <cell r="E5363">
            <v>0</v>
          </cell>
          <cell r="F5363">
            <v>890</v>
          </cell>
        </row>
        <row r="5364">
          <cell r="A5364" t="str">
            <v>SK0962-2XL</v>
          </cell>
          <cell r="B5364" t="str">
            <v>K962</v>
          </cell>
          <cell r="C5364" t="str">
            <v>ซาติน เดรสแขนสั้น+กางเกง พื้นครีม สตอเบอรี่ 2XL</v>
          </cell>
          <cell r="E5364">
            <v>0</v>
          </cell>
          <cell r="F5364">
            <v>890</v>
          </cell>
        </row>
        <row r="5365">
          <cell r="A5365" t="str">
            <v>SK0962-3XL</v>
          </cell>
          <cell r="B5365" t="str">
            <v>K962</v>
          </cell>
          <cell r="C5365" t="str">
            <v>ซาติน เดรสแขนสั้น+กางเกง พื้นครีม สตอเบอรี่ 3XL</v>
          </cell>
          <cell r="E5365">
            <v>0</v>
          </cell>
          <cell r="F5365">
            <v>890</v>
          </cell>
        </row>
        <row r="5366">
          <cell r="A5366" t="str">
            <v>SK0962-L</v>
          </cell>
          <cell r="B5366" t="str">
            <v>QK962</v>
          </cell>
          <cell r="C5366" t="str">
            <v>ซาติน เดรสแขนสั้น+กางเกง พื้นครีม สตอเบอรี่ L QC</v>
          </cell>
          <cell r="E5366">
            <v>0</v>
          </cell>
          <cell r="F5366">
            <v>890</v>
          </cell>
        </row>
        <row r="5367">
          <cell r="A5367" t="str">
            <v>SK0962-M</v>
          </cell>
          <cell r="B5367" t="str">
            <v>K962</v>
          </cell>
          <cell r="C5367" t="str">
            <v>ซาติน เดรสแขนสั้น+กางเกง พื้นครีม สตอเบอรี่ M</v>
          </cell>
          <cell r="E5367">
            <v>0</v>
          </cell>
          <cell r="F5367">
            <v>890</v>
          </cell>
        </row>
        <row r="5368">
          <cell r="A5368" t="str">
            <v>SK0962-XL</v>
          </cell>
          <cell r="B5368" t="str">
            <v>K962</v>
          </cell>
          <cell r="C5368" t="str">
            <v>ซาติน เดรสแขนสั้น+กางเกง พื้นครีม สตอเบอรี่ XL</v>
          </cell>
          <cell r="E5368">
            <v>0</v>
          </cell>
          <cell r="F5368">
            <v>890</v>
          </cell>
        </row>
        <row r="5369">
          <cell r="A5369" t="str">
            <v>SK0963-2XL</v>
          </cell>
          <cell r="B5369" t="str">
            <v>K963</v>
          </cell>
          <cell r="C5369" t="str">
            <v>ซาติน เดรสแขนสั้น+กางเกง  เทพีผมม่วง 2XL</v>
          </cell>
          <cell r="E5369">
            <v>0</v>
          </cell>
          <cell r="F5369">
            <v>890</v>
          </cell>
        </row>
        <row r="5370">
          <cell r="A5370" t="str">
            <v>SK0963-3XL</v>
          </cell>
          <cell r="B5370" t="str">
            <v>QK963</v>
          </cell>
          <cell r="C5370" t="str">
            <v>ซาติน เดรสแขนสั้น+กางเกง  เทพีผมม่วง 3XL QC</v>
          </cell>
          <cell r="E5370">
            <v>0</v>
          </cell>
          <cell r="F5370">
            <v>890</v>
          </cell>
        </row>
        <row r="5371">
          <cell r="A5371" t="str">
            <v>SK0963-L</v>
          </cell>
          <cell r="B5371" t="str">
            <v>K963</v>
          </cell>
          <cell r="C5371" t="str">
            <v>ซาติน เดรสแขนสั้น+กางเกง  เทพีผมม่วง L</v>
          </cell>
          <cell r="E5371">
            <v>0</v>
          </cell>
          <cell r="F5371">
            <v>890</v>
          </cell>
        </row>
        <row r="5372">
          <cell r="A5372" t="str">
            <v>SK0963-M</v>
          </cell>
          <cell r="B5372" t="str">
            <v>K963</v>
          </cell>
          <cell r="C5372" t="str">
            <v>ซาติน เดรสแขนสั้น+กางเกง  เทพีผมม่วง M</v>
          </cell>
          <cell r="E5372">
            <v>0</v>
          </cell>
          <cell r="F5372">
            <v>890</v>
          </cell>
        </row>
        <row r="5373">
          <cell r="A5373" t="str">
            <v>SK0963-XL</v>
          </cell>
          <cell r="B5373" t="str">
            <v>K963</v>
          </cell>
          <cell r="C5373" t="str">
            <v>ซาติน เดรสแขนสั้น+กางเกง  เทพีผมม่วง XL</v>
          </cell>
          <cell r="E5373">
            <v>0</v>
          </cell>
          <cell r="F5373">
            <v>890</v>
          </cell>
        </row>
        <row r="5374">
          <cell r="A5374" t="str">
            <v>SK0964-2XL</v>
          </cell>
          <cell r="B5374" t="str">
            <v>K964</v>
          </cell>
          <cell r="C5374" t="str">
            <v>ซาติน เดรสแขนสั้น+กางเกง ทิวลิปชมพูพื้นฟ้า  2XL</v>
          </cell>
          <cell r="E5374">
            <v>0</v>
          </cell>
          <cell r="F5374">
            <v>890</v>
          </cell>
        </row>
        <row r="5375">
          <cell r="A5375" t="str">
            <v>SK0964-3XL</v>
          </cell>
          <cell r="B5375" t="str">
            <v>K964</v>
          </cell>
          <cell r="C5375" t="str">
            <v>ซาติน เดรสแขนสั้น+กางเกง ทิวลิปชมพูพื้นฟ้า  3XL</v>
          </cell>
          <cell r="E5375">
            <v>0</v>
          </cell>
          <cell r="F5375">
            <v>890</v>
          </cell>
        </row>
        <row r="5376">
          <cell r="A5376" t="str">
            <v>SK0964-L</v>
          </cell>
          <cell r="B5376" t="str">
            <v>K964</v>
          </cell>
          <cell r="C5376" t="str">
            <v>ซาติน เดรสแขนสั้น+กางเกง ทิวลิปชมพูพื้นฟ้า  L</v>
          </cell>
          <cell r="E5376">
            <v>0</v>
          </cell>
          <cell r="F5376">
            <v>890</v>
          </cell>
        </row>
        <row r="5377">
          <cell r="A5377" t="str">
            <v>SK0964-M</v>
          </cell>
          <cell r="B5377" t="str">
            <v>K964</v>
          </cell>
          <cell r="C5377" t="str">
            <v>ซาติน เดรสแขนสั้น+กางเกง ทิวลิปชมพูพื้นฟ้า  M</v>
          </cell>
          <cell r="E5377">
            <v>0</v>
          </cell>
          <cell r="F5377">
            <v>590</v>
          </cell>
        </row>
        <row r="5378">
          <cell r="A5378" t="str">
            <v>SK0964-XL</v>
          </cell>
          <cell r="B5378" t="str">
            <v>K964</v>
          </cell>
          <cell r="C5378" t="str">
            <v>ซาติน เดรสแขนสั้น+กางเกง ทิวลิปชมพูพื้นฟ้า  XL</v>
          </cell>
          <cell r="E5378">
            <v>0</v>
          </cell>
          <cell r="F5378">
            <v>890</v>
          </cell>
        </row>
        <row r="5379">
          <cell r="A5379" t="str">
            <v>SK0965-2XL</v>
          </cell>
          <cell r="B5379" t="str">
            <v>K965</v>
          </cell>
          <cell r="C5379" t="str">
            <v>ซาติน เดรสแขนสั้น+กางเกง  พื้นขาว ขอบเขียว 2XL</v>
          </cell>
          <cell r="E5379">
            <v>0</v>
          </cell>
          <cell r="F5379">
            <v>890</v>
          </cell>
        </row>
        <row r="5380">
          <cell r="A5380" t="str">
            <v>SK0965-3XL</v>
          </cell>
          <cell r="B5380" t="str">
            <v>K965</v>
          </cell>
          <cell r="C5380" t="str">
            <v>ซาติน เดรสแขนสั้น+กางเกง  พื้นขาว ขอบเขียว 3XL</v>
          </cell>
          <cell r="E5380">
            <v>0</v>
          </cell>
          <cell r="F5380">
            <v>890</v>
          </cell>
        </row>
        <row r="5381">
          <cell r="A5381" t="str">
            <v>SK0965-L</v>
          </cell>
          <cell r="B5381" t="str">
            <v>K965</v>
          </cell>
          <cell r="C5381" t="str">
            <v>ซาติน เดรสแขนสั้น+กางเกง  พื้นขาว ขอบเขียว L</v>
          </cell>
          <cell r="E5381">
            <v>0</v>
          </cell>
          <cell r="F5381">
            <v>890</v>
          </cell>
        </row>
        <row r="5382">
          <cell r="A5382" t="str">
            <v>SK0965-M</v>
          </cell>
          <cell r="B5382" t="str">
            <v>K965</v>
          </cell>
          <cell r="C5382" t="str">
            <v>ซาติน เดรสแขนสั้น+กางเกง  พื้นขาว ขอบเขียว M</v>
          </cell>
          <cell r="E5382">
            <v>0</v>
          </cell>
          <cell r="F5382">
            <v>890</v>
          </cell>
        </row>
        <row r="5383">
          <cell r="A5383" t="str">
            <v>SK0965-XL</v>
          </cell>
          <cell r="B5383" t="str">
            <v>K965</v>
          </cell>
          <cell r="C5383" t="str">
            <v>ซาติน เดรสแขนสั้น+กางเกง  พื้นขาว ขอบเขียว XL</v>
          </cell>
          <cell r="E5383">
            <v>0</v>
          </cell>
          <cell r="F5383">
            <v>890</v>
          </cell>
        </row>
        <row r="5384">
          <cell r="A5384" t="str">
            <v>SK0966-2XL</v>
          </cell>
          <cell r="B5384" t="str">
            <v>K966</v>
          </cell>
          <cell r="C5384" t="str">
            <v>ซาติน เดรสแขนสั้น+กางเกง ดอกไม้หลากสี พื้นม่วง 2XL</v>
          </cell>
          <cell r="E5384">
            <v>0</v>
          </cell>
          <cell r="F5384">
            <v>890</v>
          </cell>
        </row>
        <row r="5385">
          <cell r="A5385" t="str">
            <v>SK0966-3XL</v>
          </cell>
          <cell r="B5385" t="str">
            <v>K966</v>
          </cell>
          <cell r="C5385" t="str">
            <v>ซาติน เดรสแขนสั้น+กางเกง ดอกไม้หลากสี พื้นม่วง 3XL</v>
          </cell>
          <cell r="E5385">
            <v>0</v>
          </cell>
          <cell r="F5385">
            <v>890</v>
          </cell>
        </row>
        <row r="5386">
          <cell r="A5386" t="str">
            <v>SK0966-L</v>
          </cell>
          <cell r="B5386" t="str">
            <v>K966</v>
          </cell>
          <cell r="C5386" t="str">
            <v>ซาติน เดรสแขนสั้น+กางเกง ดอกไม้หลากสี พื้นม่วง L</v>
          </cell>
          <cell r="E5386">
            <v>0</v>
          </cell>
          <cell r="F5386">
            <v>890</v>
          </cell>
        </row>
        <row r="5387">
          <cell r="A5387" t="str">
            <v>SK0966-M</v>
          </cell>
          <cell r="B5387" t="str">
            <v>QK966</v>
          </cell>
          <cell r="C5387" t="str">
            <v>ซาติน เดรสแขนสั้น+กางเกง ดอกไม้หลากสี พื้นม่วง M QC</v>
          </cell>
          <cell r="E5387">
            <v>0</v>
          </cell>
          <cell r="F5387">
            <v>890</v>
          </cell>
        </row>
        <row r="5388">
          <cell r="A5388" t="str">
            <v>SK0966-XL</v>
          </cell>
          <cell r="B5388" t="str">
            <v>QK966</v>
          </cell>
          <cell r="C5388" t="str">
            <v>ซาติน เดรสแขนสั้น+กางเกง ดอกไม้หลากสี พื้นม่วง XL QC</v>
          </cell>
          <cell r="E5388">
            <v>0</v>
          </cell>
          <cell r="F5388">
            <v>890</v>
          </cell>
        </row>
        <row r="5389">
          <cell r="A5389" t="str">
            <v>SK0967-2XL</v>
          </cell>
          <cell r="B5389" t="str">
            <v>K967</v>
          </cell>
          <cell r="C5389" t="str">
            <v>ซาติน เดรสแขนสั้น+กางเกง ทิวลิปชมพูพื้นฟ้าคราม  2XL</v>
          </cell>
          <cell r="E5389">
            <v>0</v>
          </cell>
          <cell r="F5389">
            <v>890</v>
          </cell>
        </row>
        <row r="5390">
          <cell r="A5390" t="str">
            <v>SK0967-3XL</v>
          </cell>
          <cell r="B5390" t="str">
            <v>K967</v>
          </cell>
          <cell r="C5390" t="str">
            <v>ซาติน เดรสแขนสั้น+กางเกง ทิวลิปชมพูพื้นฟ้าคราม  3XL</v>
          </cell>
          <cell r="E5390">
            <v>0</v>
          </cell>
          <cell r="F5390">
            <v>890</v>
          </cell>
        </row>
        <row r="5391">
          <cell r="A5391" t="str">
            <v>SK0967-L</v>
          </cell>
          <cell r="B5391" t="str">
            <v>K967</v>
          </cell>
          <cell r="C5391" t="str">
            <v>ซาติน เดรสแขนสั้น+กางเกง ทิวลิปชมพูพื้นฟ้าคราม  L</v>
          </cell>
          <cell r="E5391">
            <v>0</v>
          </cell>
          <cell r="F5391">
            <v>890</v>
          </cell>
        </row>
        <row r="5392">
          <cell r="A5392" t="str">
            <v>SK0967-M</v>
          </cell>
          <cell r="B5392" t="str">
            <v>K967</v>
          </cell>
          <cell r="C5392" t="str">
            <v>ซาติน เดรสแขนสั้น+กางเกง ทิวลิปชมพูพื้นฟ้าคราม  M</v>
          </cell>
          <cell r="E5392">
            <v>0</v>
          </cell>
          <cell r="F5392">
            <v>890</v>
          </cell>
        </row>
        <row r="5393">
          <cell r="A5393" t="str">
            <v>SK0967-XL</v>
          </cell>
          <cell r="B5393" t="str">
            <v>K967</v>
          </cell>
          <cell r="C5393" t="str">
            <v>ซาติน เดรสแขนสั้น+กางเกง ทิวลิปชมพูพื้นฟ้าคราม  XL</v>
          </cell>
          <cell r="E5393">
            <v>0</v>
          </cell>
          <cell r="F5393">
            <v>890</v>
          </cell>
        </row>
        <row r="5394">
          <cell r="A5394" t="str">
            <v>SK0968-2XL</v>
          </cell>
          <cell r="B5394" t="str">
            <v>K968</v>
          </cell>
          <cell r="C5394" t="str">
            <v>ซาติน เดรสแขนสั้น+กางเกง ดอกมะลิ พื้นเขียว 2XL</v>
          </cell>
          <cell r="E5394">
            <v>0</v>
          </cell>
          <cell r="F5394">
            <v>890</v>
          </cell>
        </row>
        <row r="5395">
          <cell r="A5395" t="str">
            <v>SK0968-3XL</v>
          </cell>
          <cell r="B5395" t="str">
            <v>K968</v>
          </cell>
          <cell r="C5395" t="str">
            <v>ซาติน เดรสแขนสั้น+กางเกง ดอกมะลิ พื้นเขียว 3XL</v>
          </cell>
          <cell r="E5395">
            <v>0</v>
          </cell>
          <cell r="F5395">
            <v>890</v>
          </cell>
        </row>
        <row r="5396">
          <cell r="A5396" t="str">
            <v>SK0968-L</v>
          </cell>
          <cell r="B5396" t="str">
            <v>QK968</v>
          </cell>
          <cell r="C5396" t="str">
            <v>ซาติน เดรสแขนสั้น+กางเกง ดอกมะลิ พื้นเขียว L QC</v>
          </cell>
          <cell r="E5396">
            <v>0</v>
          </cell>
          <cell r="F5396">
            <v>890</v>
          </cell>
        </row>
        <row r="5397">
          <cell r="A5397" t="str">
            <v>SK0968-M</v>
          </cell>
          <cell r="B5397" t="str">
            <v>K968</v>
          </cell>
          <cell r="C5397" t="str">
            <v>ซาติน เดรสแขนสั้น+กางเกง ดอกมะลิ พื้นเขียว M</v>
          </cell>
          <cell r="E5397">
            <v>0</v>
          </cell>
          <cell r="F5397">
            <v>590</v>
          </cell>
        </row>
        <row r="5398">
          <cell r="A5398" t="str">
            <v>SK0968-XL</v>
          </cell>
          <cell r="B5398" t="str">
            <v>K968</v>
          </cell>
          <cell r="C5398" t="str">
            <v>ซาติน เดรสแขนสั้น+กางเกง ดอกมะลิ พื้นเขียว XL</v>
          </cell>
          <cell r="E5398">
            <v>0</v>
          </cell>
          <cell r="F5398">
            <v>890</v>
          </cell>
        </row>
        <row r="5399">
          <cell r="A5399" t="str">
            <v>SK0973-2XL</v>
          </cell>
          <cell r="B5399" t="str">
            <v>K973</v>
          </cell>
          <cell r="C5399" t="str">
            <v>ซาติน เดรสแขนสั้น กางเกง Rabbit Flower พื้นขาว 2XL</v>
          </cell>
          <cell r="E5399">
            <v>0</v>
          </cell>
          <cell r="F5399">
            <v>890</v>
          </cell>
        </row>
        <row r="5400">
          <cell r="A5400" t="str">
            <v>SK0973-3XL</v>
          </cell>
          <cell r="B5400" t="str">
            <v>K973</v>
          </cell>
          <cell r="C5400" t="str">
            <v>ซาติน เดรสแขนสั้น กางเกง Rabbit Flower พื้นขาว 3XL</v>
          </cell>
          <cell r="E5400">
            <v>0</v>
          </cell>
          <cell r="F5400">
            <v>890</v>
          </cell>
        </row>
        <row r="5401">
          <cell r="A5401" t="str">
            <v>SK0973-L</v>
          </cell>
          <cell r="B5401" t="str">
            <v>K973</v>
          </cell>
          <cell r="C5401" t="str">
            <v>ซาติน เดรสแขนสั้น กางเกง Rabbit Flower พื้นขาว L</v>
          </cell>
          <cell r="E5401">
            <v>0</v>
          </cell>
          <cell r="F5401">
            <v>890</v>
          </cell>
        </row>
        <row r="5402">
          <cell r="A5402" t="str">
            <v>SK0973-M</v>
          </cell>
          <cell r="B5402" t="str">
            <v>K973</v>
          </cell>
          <cell r="C5402" t="str">
            <v>ซาติน เดรสแขนสั้น กางเกง Rabbit Flower พื้นขาว M</v>
          </cell>
          <cell r="E5402">
            <v>0</v>
          </cell>
          <cell r="F5402">
            <v>890</v>
          </cell>
        </row>
        <row r="5403">
          <cell r="A5403" t="str">
            <v>SK0973-XL</v>
          </cell>
          <cell r="B5403" t="str">
            <v>K973</v>
          </cell>
          <cell r="C5403" t="str">
            <v>ซาติน เดรสแขนสั้น กางเกง Rabbit Flower พื้นขาว XL</v>
          </cell>
          <cell r="E5403">
            <v>0</v>
          </cell>
          <cell r="F5403">
            <v>890</v>
          </cell>
        </row>
        <row r="5404">
          <cell r="A5404" t="str">
            <v>SK0974-2XL</v>
          </cell>
          <cell r="B5404" t="str">
            <v>K974</v>
          </cell>
          <cell r="C5404" t="str">
            <v>ซาติน เดรสแขนสั้น ผีเสื้อชมพู พื้นเขียว 2XL</v>
          </cell>
          <cell r="E5404">
            <v>0</v>
          </cell>
          <cell r="F5404">
            <v>890</v>
          </cell>
        </row>
        <row r="5405">
          <cell r="A5405" t="str">
            <v>SK0974-3XL</v>
          </cell>
          <cell r="B5405" t="str">
            <v>K974</v>
          </cell>
          <cell r="C5405" t="str">
            <v>ซาติน เดรสแขนสั้น ผีเสื้อชมพู พื้นเขียว 3XL</v>
          </cell>
          <cell r="E5405">
            <v>0</v>
          </cell>
          <cell r="F5405">
            <v>890</v>
          </cell>
        </row>
        <row r="5406">
          <cell r="A5406" t="str">
            <v>SK0974-L</v>
          </cell>
          <cell r="B5406" t="str">
            <v>K974</v>
          </cell>
          <cell r="C5406" t="str">
            <v>ซาติน เดรสแขนสั้น ผีเสื้อชมพู พื้นเขียว L</v>
          </cell>
          <cell r="E5406">
            <v>0</v>
          </cell>
          <cell r="F5406">
            <v>890</v>
          </cell>
        </row>
        <row r="5407">
          <cell r="A5407" t="str">
            <v>SK0974-M</v>
          </cell>
          <cell r="B5407" t="str">
            <v>K974</v>
          </cell>
          <cell r="C5407" t="str">
            <v>ซาติน เดรสแขนสั้น ผีเสื้อชมพู พื้นเขียว M</v>
          </cell>
          <cell r="E5407">
            <v>0</v>
          </cell>
          <cell r="F5407">
            <v>890</v>
          </cell>
        </row>
        <row r="5408">
          <cell r="A5408" t="str">
            <v>SK0974-XL</v>
          </cell>
          <cell r="B5408" t="str">
            <v>K974</v>
          </cell>
          <cell r="C5408" t="str">
            <v>ซาติน เดรสแขนสั้น ผีเสื้อชมพู พื้นเขียว XL</v>
          </cell>
          <cell r="E5408">
            <v>0</v>
          </cell>
          <cell r="F5408">
            <v>890</v>
          </cell>
        </row>
        <row r="5409">
          <cell r="A5409" t="str">
            <v>SK0977-2XL</v>
          </cell>
          <cell r="B5409" t="str">
            <v>K977</v>
          </cell>
          <cell r="C5409" t="str">
            <v>ซาติน เดรสแขนสั้น Butterfly พื้นชมพู คอวี 2XL (กปก)</v>
          </cell>
          <cell r="E5409">
            <v>0</v>
          </cell>
          <cell r="F5409">
            <v>890</v>
          </cell>
        </row>
        <row r="5410">
          <cell r="A5410" t="str">
            <v>SK0977-3XL</v>
          </cell>
          <cell r="B5410" t="str">
            <v>K977</v>
          </cell>
          <cell r="C5410" t="str">
            <v>ซาติน เดรสแขนสั้น Butterfly พื้นชมพู คอวี 3XL (กปก)</v>
          </cell>
          <cell r="E5410">
            <v>0</v>
          </cell>
          <cell r="F5410">
            <v>890</v>
          </cell>
        </row>
        <row r="5411">
          <cell r="A5411" t="str">
            <v>SK0977-L</v>
          </cell>
          <cell r="B5411" t="str">
            <v>K977</v>
          </cell>
          <cell r="C5411" t="str">
            <v>ซาติน เดรสแขนสั้น Butterfly พื้นชมพู คอวี L (กปก)</v>
          </cell>
          <cell r="E5411">
            <v>0</v>
          </cell>
          <cell r="F5411">
            <v>890</v>
          </cell>
        </row>
        <row r="5412">
          <cell r="A5412" t="str">
            <v>SK0977-M</v>
          </cell>
          <cell r="B5412" t="str">
            <v>K977</v>
          </cell>
          <cell r="C5412" t="str">
            <v>ซาติน เดรสแขนสั้น Butterfly พื้นชมพู คอวี M (กปก)</v>
          </cell>
          <cell r="E5412">
            <v>0</v>
          </cell>
          <cell r="F5412">
            <v>890</v>
          </cell>
        </row>
        <row r="5413">
          <cell r="A5413" t="str">
            <v>SK0977-XL</v>
          </cell>
          <cell r="B5413" t="str">
            <v>K977</v>
          </cell>
          <cell r="C5413" t="str">
            <v>ซาติน เดรสแขนสั้น Butterfly พื้นชมพู คอวี XL (กปก)</v>
          </cell>
          <cell r="E5413">
            <v>0</v>
          </cell>
          <cell r="F5413">
            <v>890</v>
          </cell>
        </row>
        <row r="5414">
          <cell r="A5414" t="str">
            <v>SK0980-2XL</v>
          </cell>
          <cell r="B5414" t="str">
            <v>QK980</v>
          </cell>
          <cell r="C5414" t="str">
            <v>ซาติน เดรสแขนสั้น กางเกง โบว์ชมพู 2XL QC</v>
          </cell>
          <cell r="E5414">
            <v>0</v>
          </cell>
          <cell r="F5414">
            <v>890</v>
          </cell>
        </row>
        <row r="5415">
          <cell r="A5415" t="str">
            <v>SK0980-3XL</v>
          </cell>
          <cell r="B5415" t="str">
            <v>K980</v>
          </cell>
          <cell r="C5415" t="str">
            <v>ซาติน เดรสแขนสั้น กางเกง โบว์ชมพู 3XL</v>
          </cell>
          <cell r="E5415">
            <v>0</v>
          </cell>
          <cell r="F5415">
            <v>890</v>
          </cell>
        </row>
        <row r="5416">
          <cell r="A5416" t="str">
            <v>SK0980-L</v>
          </cell>
          <cell r="B5416" t="str">
            <v>K980</v>
          </cell>
          <cell r="C5416" t="str">
            <v>ซาติน เดรสแขนสั้น กางเกง โบว์ชมพู L</v>
          </cell>
          <cell r="E5416">
            <v>0</v>
          </cell>
          <cell r="F5416">
            <v>890</v>
          </cell>
        </row>
        <row r="5417">
          <cell r="A5417" t="str">
            <v>SK0980-M</v>
          </cell>
          <cell r="B5417" t="str">
            <v>K980</v>
          </cell>
          <cell r="C5417" t="str">
            <v>ซาติน เดรสแขนสั้น กางเกง โบว์ชมพู M</v>
          </cell>
          <cell r="E5417">
            <v>0</v>
          </cell>
          <cell r="F5417">
            <v>590</v>
          </cell>
        </row>
        <row r="5418">
          <cell r="A5418" t="str">
            <v>SK0980-XL</v>
          </cell>
          <cell r="B5418" t="str">
            <v>K980</v>
          </cell>
          <cell r="C5418" t="str">
            <v>ซาติน เดรสแขนสั้น กางเกง โบว์ชมพู XL</v>
          </cell>
          <cell r="E5418">
            <v>0</v>
          </cell>
          <cell r="F5418">
            <v>890</v>
          </cell>
        </row>
        <row r="5419">
          <cell r="A5419" t="str">
            <v>SK0981-2XL</v>
          </cell>
          <cell r="B5419" t="str">
            <v>K981</v>
          </cell>
          <cell r="C5419" t="str">
            <v>ซาติน เดรสแขนสั้น กางเกง กระต่ายลายทาง ชมพู 2XL</v>
          </cell>
          <cell r="E5419">
            <v>0</v>
          </cell>
          <cell r="F5419">
            <v>890</v>
          </cell>
        </row>
        <row r="5420">
          <cell r="A5420" t="str">
            <v>SK0981-3XL</v>
          </cell>
          <cell r="B5420" t="str">
            <v>K981</v>
          </cell>
          <cell r="C5420" t="str">
            <v>ซาติน เดรสแขนสั้น กางเกง กระต่ายลายทาง ชมพู 3XL</v>
          </cell>
          <cell r="E5420">
            <v>0</v>
          </cell>
          <cell r="F5420">
            <v>890</v>
          </cell>
        </row>
        <row r="5421">
          <cell r="A5421" t="str">
            <v>SK0981-L</v>
          </cell>
          <cell r="B5421" t="str">
            <v>K981</v>
          </cell>
          <cell r="C5421" t="str">
            <v>ซาติน เดรสแขนสั้น กางเกง กระต่ายลายทาง ชมพู L</v>
          </cell>
          <cell r="E5421">
            <v>0</v>
          </cell>
          <cell r="F5421">
            <v>890</v>
          </cell>
        </row>
        <row r="5422">
          <cell r="A5422" t="str">
            <v>SK0981-M</v>
          </cell>
          <cell r="B5422" t="str">
            <v>K981</v>
          </cell>
          <cell r="C5422" t="str">
            <v>ซาติน เดรสแขนสั้น กางเกง กระต่ายลายทาง ชมพู M</v>
          </cell>
          <cell r="E5422">
            <v>0</v>
          </cell>
          <cell r="F5422">
            <v>890</v>
          </cell>
        </row>
        <row r="5423">
          <cell r="A5423" t="str">
            <v>SK0981-XL</v>
          </cell>
          <cell r="B5423" t="str">
            <v>K981</v>
          </cell>
          <cell r="C5423" t="str">
            <v>ซาติน เดรสแขนสั้น กางเกง กระต่ายลายทาง ชมพู XL</v>
          </cell>
          <cell r="E5423">
            <v>0</v>
          </cell>
          <cell r="F5423">
            <v>890</v>
          </cell>
        </row>
        <row r="5424">
          <cell r="A5424" t="str">
            <v>SK1036-2XL</v>
          </cell>
          <cell r="B5424" t="str">
            <v>K1036</v>
          </cell>
          <cell r="C5424" t="str">
            <v>ซาติน เดรส กางเกง กระต่ายขาว ขอบชมพู 2XL</v>
          </cell>
          <cell r="E5424">
            <v>0</v>
          </cell>
          <cell r="F5424">
            <v>890</v>
          </cell>
        </row>
        <row r="5425">
          <cell r="A5425" t="str">
            <v>SK1036-L</v>
          </cell>
          <cell r="B5425" t="str">
            <v>K1036</v>
          </cell>
          <cell r="C5425" t="str">
            <v>ซาติน เดรส กางเกง กระต่ายขาว ขอบชมพู L</v>
          </cell>
          <cell r="E5425">
            <v>0</v>
          </cell>
          <cell r="F5425">
            <v>890</v>
          </cell>
        </row>
        <row r="5426">
          <cell r="A5426" t="str">
            <v>SK1036-M</v>
          </cell>
          <cell r="B5426" t="str">
            <v>QK1036</v>
          </cell>
          <cell r="C5426" t="str">
            <v>ซาติน เดรส กางเกง กระต่ายขาว ขอบชมพู M QC</v>
          </cell>
          <cell r="E5426">
            <v>0</v>
          </cell>
          <cell r="F5426">
            <v>890</v>
          </cell>
        </row>
        <row r="5427">
          <cell r="A5427" t="str">
            <v>SK1036-XL</v>
          </cell>
          <cell r="B5427" t="str">
            <v>K1036</v>
          </cell>
          <cell r="C5427" t="str">
            <v>ซาติน เดรส กางเกง กระต่ายขาว ขอบชมพู XL</v>
          </cell>
          <cell r="E5427">
            <v>0</v>
          </cell>
          <cell r="F5427">
            <v>890</v>
          </cell>
        </row>
        <row r="5428">
          <cell r="A5428" t="str">
            <v>SK1047-L</v>
          </cell>
          <cell r="B5428" t="str">
            <v>K1047</v>
          </cell>
          <cell r="C5428" t="str">
            <v>ซาติน เดรสแขนสั้น Cute Bear พื้นขาว L</v>
          </cell>
          <cell r="E5428">
            <v>0</v>
          </cell>
          <cell r="F5428">
            <v>890</v>
          </cell>
        </row>
        <row r="5429">
          <cell r="A5429" t="str">
            <v>SK1047-M</v>
          </cell>
          <cell r="B5429" t="str">
            <v>K1047</v>
          </cell>
          <cell r="C5429" t="str">
            <v>ซาติน เดรสแขนสั้น Cute Bear พื้นขาว M</v>
          </cell>
          <cell r="E5429">
            <v>0</v>
          </cell>
          <cell r="F5429">
            <v>890</v>
          </cell>
        </row>
        <row r="5430">
          <cell r="A5430" t="str">
            <v>SK1048-L</v>
          </cell>
          <cell r="B5430" t="str">
            <v>K1048</v>
          </cell>
          <cell r="C5430" t="str">
            <v>ซาติน เดรสแขนสั้น Cute Bear พื้นชมพู L</v>
          </cell>
          <cell r="E5430">
            <v>0</v>
          </cell>
          <cell r="F5430">
            <v>890</v>
          </cell>
        </row>
        <row r="5431">
          <cell r="A5431" t="str">
            <v>SK1048-M</v>
          </cell>
          <cell r="B5431" t="str">
            <v>K1048</v>
          </cell>
          <cell r="C5431" t="str">
            <v>ซาติน เดรสแขนสั้น Cute Bear พื้นชมพู M</v>
          </cell>
          <cell r="E5431">
            <v>0</v>
          </cell>
          <cell r="F5431">
            <v>890</v>
          </cell>
        </row>
        <row r="5432">
          <cell r="A5432" t="str">
            <v>SK1053-L</v>
          </cell>
          <cell r="B5432" t="str">
            <v>K1053</v>
          </cell>
          <cell r="C5432" t="str">
            <v>ซาติน เดรสแขนห้าส่วน กระต่ายน้อย พื้นฟ้า L</v>
          </cell>
          <cell r="E5432">
            <v>0</v>
          </cell>
          <cell r="F5432">
            <v>890</v>
          </cell>
        </row>
        <row r="5433">
          <cell r="A5433" t="str">
            <v>SK1053-M</v>
          </cell>
          <cell r="B5433" t="str">
            <v>K1053</v>
          </cell>
          <cell r="C5433" t="str">
            <v>ซาติน เดรสแขนห้าส่วน กระต่ายน้อย พื้นฟ้า M</v>
          </cell>
          <cell r="E5433">
            <v>0</v>
          </cell>
          <cell r="F5433">
            <v>890</v>
          </cell>
        </row>
        <row r="5434">
          <cell r="A5434" t="str">
            <v>SK1054-L</v>
          </cell>
          <cell r="B5434" t="str">
            <v>K1054</v>
          </cell>
          <cell r="C5434" t="str">
            <v>ซาติน เดรสแขนห้าส่วน กระต่ายน้อย พื้นครีม L</v>
          </cell>
          <cell r="E5434">
            <v>0</v>
          </cell>
          <cell r="F5434">
            <v>890</v>
          </cell>
        </row>
        <row r="5435">
          <cell r="A5435" t="str">
            <v>SK1054-M</v>
          </cell>
          <cell r="B5435" t="str">
            <v>K1054</v>
          </cell>
          <cell r="C5435" t="str">
            <v>ซาติน เดรสแขนห้าส่วน กระต่ายน้อย พื้นครีม M</v>
          </cell>
          <cell r="E5435">
            <v>0</v>
          </cell>
          <cell r="F5435">
            <v>890</v>
          </cell>
        </row>
        <row r="5436">
          <cell r="A5436" t="str">
            <v>SK1062-2XL</v>
          </cell>
          <cell r="B5436" t="str">
            <v>K1062</v>
          </cell>
          <cell r="C5436" t="str">
            <v>ซาติน เดรสแขนสั้น กางเกง คัพเค้ก เบบี้เกิร์ล 2XL</v>
          </cell>
          <cell r="E5436">
            <v>0</v>
          </cell>
          <cell r="F5436">
            <v>890</v>
          </cell>
        </row>
        <row r="5437">
          <cell r="A5437" t="str">
            <v>SK1062-L</v>
          </cell>
          <cell r="B5437" t="str">
            <v>K1062</v>
          </cell>
          <cell r="C5437" t="str">
            <v>ซาติน เดรสแขนสั้น กางเกง คัพเค้ก เบบี้เกิร์ล L</v>
          </cell>
          <cell r="E5437">
            <v>0</v>
          </cell>
          <cell r="F5437">
            <v>890</v>
          </cell>
        </row>
        <row r="5438">
          <cell r="A5438" t="str">
            <v>SK1062-M</v>
          </cell>
          <cell r="B5438" t="str">
            <v>K1062</v>
          </cell>
          <cell r="C5438" t="str">
            <v>ซาติน เดรสแขนสั้น กางเกง คัพเค้ก เบบี้เกิร์ล M</v>
          </cell>
          <cell r="E5438">
            <v>0</v>
          </cell>
          <cell r="F5438">
            <v>590</v>
          </cell>
        </row>
        <row r="5439">
          <cell r="A5439" t="str">
            <v>SK1062-XL</v>
          </cell>
          <cell r="B5439" t="str">
            <v>K1062</v>
          </cell>
          <cell r="C5439" t="str">
            <v>ซาติน เดรสแขนสั้น กางเกง คัพเค้ก เบบี้เกิร์ล XL</v>
          </cell>
          <cell r="E5439">
            <v>0</v>
          </cell>
          <cell r="F5439">
            <v>890</v>
          </cell>
        </row>
        <row r="5440">
          <cell r="A5440" t="str">
            <v>SK1064-2XL</v>
          </cell>
          <cell r="B5440" t="str">
            <v>K1064</v>
          </cell>
          <cell r="C5440" t="str">
            <v>ซาติน เดรสแขนสั้น กางเกง แมวทะเล พื้นครีม 2XL</v>
          </cell>
          <cell r="E5440">
            <v>0</v>
          </cell>
          <cell r="F5440">
            <v>890</v>
          </cell>
        </row>
        <row r="5441">
          <cell r="A5441" t="str">
            <v>SK1064-L</v>
          </cell>
          <cell r="B5441" t="str">
            <v>K1064</v>
          </cell>
          <cell r="C5441" t="str">
            <v>ซาติน เดรสแขนสั้น กางเกง แมวทะเล พื้นครีม L</v>
          </cell>
          <cell r="E5441">
            <v>0</v>
          </cell>
          <cell r="F5441">
            <v>890</v>
          </cell>
        </row>
        <row r="5442">
          <cell r="A5442" t="str">
            <v>SK1064-M</v>
          </cell>
          <cell r="B5442" t="str">
            <v>QK1064</v>
          </cell>
          <cell r="C5442" t="str">
            <v>ซาติน เดรสแขนสั้น กางเกง แมวทะเล พื้นครีม M QC</v>
          </cell>
          <cell r="E5442">
            <v>0</v>
          </cell>
          <cell r="F5442">
            <v>890</v>
          </cell>
        </row>
        <row r="5443">
          <cell r="A5443" t="str">
            <v>SK1064-XL</v>
          </cell>
          <cell r="B5443" t="str">
            <v>K1064</v>
          </cell>
          <cell r="C5443" t="str">
            <v>ซาติน เดรสแขนสั้น กางเกง แมวทะเล พื้นครีม XL</v>
          </cell>
          <cell r="E5443">
            <v>0</v>
          </cell>
          <cell r="F5443">
            <v>890</v>
          </cell>
        </row>
        <row r="5444">
          <cell r="A5444" t="str">
            <v>SK1065-2XL</v>
          </cell>
          <cell r="B5444" t="str">
            <v>K1065</v>
          </cell>
          <cell r="C5444" t="str">
            <v>ซาติน เดรสแขนสั้น กางเกง รวมสัตว์ อวกาศ พื้นครีม 2XL</v>
          </cell>
          <cell r="E5444">
            <v>0</v>
          </cell>
          <cell r="F5444">
            <v>890</v>
          </cell>
        </row>
        <row r="5445">
          <cell r="A5445" t="str">
            <v>SK1065-L</v>
          </cell>
          <cell r="B5445" t="str">
            <v>K1065</v>
          </cell>
          <cell r="C5445" t="str">
            <v>ซาติน เดรสแขนสั้น กางเกง รวมสัตว์ อวกาศ พื้นครีม L</v>
          </cell>
          <cell r="E5445">
            <v>0</v>
          </cell>
          <cell r="F5445">
            <v>890</v>
          </cell>
        </row>
        <row r="5446">
          <cell r="A5446" t="str">
            <v>SK1065-M</v>
          </cell>
          <cell r="B5446" t="str">
            <v>K1065</v>
          </cell>
          <cell r="C5446" t="str">
            <v>ซาติน เดรสแขนสั้น กางเกง รวมสัตว์ อวกาศ พื้นครีม M</v>
          </cell>
          <cell r="E5446">
            <v>0</v>
          </cell>
          <cell r="F5446">
            <v>590</v>
          </cell>
        </row>
        <row r="5447">
          <cell r="A5447" t="str">
            <v>SK1065-XL</v>
          </cell>
          <cell r="B5447" t="str">
            <v>K1065</v>
          </cell>
          <cell r="C5447" t="str">
            <v>ซาติน เดรสแขนสั้น กางเกง รวมสัตว์ อวกาศ พื้นครีม XL</v>
          </cell>
          <cell r="E5447">
            <v>0</v>
          </cell>
          <cell r="F5447">
            <v>890</v>
          </cell>
        </row>
        <row r="5448">
          <cell r="A5448" t="str">
            <v>SK1066-2XL</v>
          </cell>
          <cell r="B5448" t="str">
            <v>K1066</v>
          </cell>
          <cell r="C5448" t="str">
            <v>ซาติน เดรสแขนสั้น กางเกง รวมสัตว์ อวกาศ พื้นเขียว 2XL</v>
          </cell>
          <cell r="E5448">
            <v>0</v>
          </cell>
          <cell r="F5448">
            <v>890</v>
          </cell>
        </row>
        <row r="5449">
          <cell r="A5449" t="str">
            <v>SK1066-L</v>
          </cell>
          <cell r="B5449" t="str">
            <v>K1066</v>
          </cell>
          <cell r="C5449" t="str">
            <v>ซาติน เดรสแขนสั้น กางเกง รวมสัตว์ อวกาศ พื้นเขียว L</v>
          </cell>
          <cell r="E5449">
            <v>0</v>
          </cell>
          <cell r="F5449">
            <v>890</v>
          </cell>
        </row>
        <row r="5450">
          <cell r="A5450" t="str">
            <v>SK1066-M</v>
          </cell>
          <cell r="B5450" t="str">
            <v>K1066</v>
          </cell>
          <cell r="C5450" t="str">
            <v>ซาติน เดรสแขนสั้น กางเกง รวมสัตว์ อวกาศ พื้นเขียว M</v>
          </cell>
          <cell r="E5450">
            <v>0</v>
          </cell>
          <cell r="F5450">
            <v>590</v>
          </cell>
        </row>
        <row r="5451">
          <cell r="A5451" t="str">
            <v>SK1066-XL</v>
          </cell>
          <cell r="B5451" t="str">
            <v>K1066</v>
          </cell>
          <cell r="C5451" t="str">
            <v>ซาติน เดรสแขนสั้น กางเกง รวมสัตว์ อวกาศ พื้นเขียว XL</v>
          </cell>
          <cell r="E5451">
            <v>0</v>
          </cell>
          <cell r="F5451">
            <v>590</v>
          </cell>
        </row>
        <row r="5452">
          <cell r="A5452" t="str">
            <v>SK1067-2XL</v>
          </cell>
          <cell r="B5452" t="str">
            <v>K1067</v>
          </cell>
          <cell r="C5452" t="str">
            <v>ซาติน เดรสแขนสั้น กางเกง Lion rose พื้นขาว 2XL</v>
          </cell>
          <cell r="E5452">
            <v>0</v>
          </cell>
          <cell r="F5452">
            <v>890</v>
          </cell>
        </row>
        <row r="5453">
          <cell r="A5453" t="str">
            <v>SK1067-L</v>
          </cell>
          <cell r="B5453" t="str">
            <v>K1067</v>
          </cell>
          <cell r="C5453" t="str">
            <v>ซาติน  เดรสแขนสั้น กางเกง Lion rose พื้นขาว L</v>
          </cell>
          <cell r="E5453">
            <v>0</v>
          </cell>
          <cell r="F5453">
            <v>890</v>
          </cell>
        </row>
        <row r="5454">
          <cell r="A5454" t="str">
            <v>SK1067-M</v>
          </cell>
          <cell r="B5454" t="str">
            <v>K1067</v>
          </cell>
          <cell r="C5454" t="str">
            <v>ซาติน  เดรสแขนสั้น กางเกง Lion rose พื้นขาว M</v>
          </cell>
          <cell r="E5454">
            <v>0</v>
          </cell>
          <cell r="F5454">
            <v>890</v>
          </cell>
        </row>
        <row r="5455">
          <cell r="A5455" t="str">
            <v>SK1067-XL</v>
          </cell>
          <cell r="B5455" t="str">
            <v>K1067</v>
          </cell>
          <cell r="C5455" t="str">
            <v>ซาติน เดรสแขนสั้น กางเกง Lion rose พื้นขาว XL</v>
          </cell>
          <cell r="E5455">
            <v>0</v>
          </cell>
          <cell r="F5455">
            <v>890</v>
          </cell>
        </row>
        <row r="5456">
          <cell r="A5456" t="str">
            <v>SK1069-L</v>
          </cell>
          <cell r="B5456" t="str">
            <v>K1069</v>
          </cell>
          <cell r="C5456" t="str">
            <v>ซาติน เดรส แขนสั้น กางเกง เจ้าหญิงทานตะวัน L</v>
          </cell>
          <cell r="E5456">
            <v>0</v>
          </cell>
          <cell r="F5456">
            <v>0</v>
          </cell>
        </row>
        <row r="5457">
          <cell r="A5457" t="str">
            <v>SK1069-M</v>
          </cell>
          <cell r="B5457" t="str">
            <v>K1069</v>
          </cell>
          <cell r="C5457" t="str">
            <v>ซาติน เดรส แขนสั้น กางเกง เจ้าหญิงทานตะวัน M</v>
          </cell>
          <cell r="E5457">
            <v>0</v>
          </cell>
          <cell r="F5457">
            <v>0</v>
          </cell>
        </row>
        <row r="5458">
          <cell r="A5458" t="str">
            <v>SK1069-XL</v>
          </cell>
          <cell r="B5458" t="str">
            <v>K1069</v>
          </cell>
          <cell r="C5458" t="str">
            <v>ซาติน เดรส แขนสั้น กางเกง เจ้าหญิงทานตะวัน XL</v>
          </cell>
          <cell r="E5458">
            <v>0</v>
          </cell>
          <cell r="F5458">
            <v>0</v>
          </cell>
        </row>
        <row r="5459">
          <cell r="A5459" t="str">
            <v>SK1083-L</v>
          </cell>
          <cell r="B5459" t="str">
            <v>K1083</v>
          </cell>
          <cell r="C5459" t="str">
            <v>ซาติน เดรสแขนยาว พื้นดำ คอปก L</v>
          </cell>
          <cell r="E5459">
            <v>16</v>
          </cell>
          <cell r="F5459">
            <v>890</v>
          </cell>
        </row>
        <row r="5460">
          <cell r="A5460" t="str">
            <v>SK1083-M</v>
          </cell>
          <cell r="B5460" t="str">
            <v>K1083</v>
          </cell>
          <cell r="C5460" t="str">
            <v>ซาติน เดรสแขนยาว พื้นดำ คอปก M</v>
          </cell>
          <cell r="E5460">
            <v>11</v>
          </cell>
          <cell r="F5460">
            <v>890</v>
          </cell>
        </row>
        <row r="5461">
          <cell r="A5461" t="str">
            <v>SK1083-XL</v>
          </cell>
          <cell r="B5461" t="str">
            <v>K1083</v>
          </cell>
          <cell r="C5461" t="str">
            <v>ซาติน เดรสแขนยาว พื้นดำ คอปก XL</v>
          </cell>
          <cell r="E5461">
            <v>16</v>
          </cell>
          <cell r="F5461">
            <v>890</v>
          </cell>
        </row>
        <row r="5462">
          <cell r="A5462" t="str">
            <v>SK1084-L</v>
          </cell>
          <cell r="B5462" t="str">
            <v>K1084</v>
          </cell>
          <cell r="C5462" t="str">
            <v>ซาติน เดรสแขนยาว พื้นขาว คอปก L</v>
          </cell>
          <cell r="E5462">
            <v>14</v>
          </cell>
          <cell r="F5462">
            <v>890</v>
          </cell>
        </row>
        <row r="5463">
          <cell r="A5463" t="str">
            <v>SK1084-M</v>
          </cell>
          <cell r="B5463" t="str">
            <v>K1084</v>
          </cell>
          <cell r="C5463" t="str">
            <v>ซาติน เดรสแขนยาว พื้นขาว คอปก M</v>
          </cell>
          <cell r="E5463">
            <v>13</v>
          </cell>
          <cell r="F5463">
            <v>890</v>
          </cell>
        </row>
        <row r="5464">
          <cell r="A5464" t="str">
            <v>SK1084-XL</v>
          </cell>
          <cell r="B5464" t="str">
            <v>K1084</v>
          </cell>
          <cell r="C5464" t="str">
            <v>ซาติน เดรสแขนยาว พื้นขาว คอปก XL</v>
          </cell>
          <cell r="E5464">
            <v>8</v>
          </cell>
          <cell r="F5464">
            <v>890</v>
          </cell>
        </row>
        <row r="5465">
          <cell r="A5465" t="str">
            <v>SK1101-L</v>
          </cell>
          <cell r="B5465" t="str">
            <v>K1101</v>
          </cell>
          <cell r="C5465" t="str">
            <v>ซาติน เดรสแขนยาว ดอกไม้หลากสี พื้นครีม L</v>
          </cell>
          <cell r="E5465">
            <v>0</v>
          </cell>
          <cell r="F5465">
            <v>890</v>
          </cell>
        </row>
        <row r="5466">
          <cell r="A5466" t="str">
            <v>SK1101-M</v>
          </cell>
          <cell r="B5466" t="str">
            <v>K1101</v>
          </cell>
          <cell r="C5466" t="str">
            <v>ซาติน เดรสแขนยาว ดอกไม้หลากสี พื้นครีม M</v>
          </cell>
          <cell r="E5466">
            <v>0</v>
          </cell>
          <cell r="F5466">
            <v>890</v>
          </cell>
        </row>
        <row r="5467">
          <cell r="A5467" t="str">
            <v>SK1101-S</v>
          </cell>
          <cell r="B5467" t="str">
            <v>K1101</v>
          </cell>
          <cell r="C5467" t="str">
            <v>ซาติน เดรสแขนยาว ดอกไม้หลากสี พื้นครีม S</v>
          </cell>
          <cell r="E5467">
            <v>0</v>
          </cell>
          <cell r="F5467">
            <v>590</v>
          </cell>
        </row>
        <row r="5468">
          <cell r="A5468" t="str">
            <v>SK1101-XL</v>
          </cell>
          <cell r="B5468" t="str">
            <v>K1101</v>
          </cell>
          <cell r="C5468" t="str">
            <v>ซาติน เดรสแขนยาว ดอกไม้หลากสี พื้นครีม XL</v>
          </cell>
          <cell r="E5468">
            <v>0</v>
          </cell>
          <cell r="F5468">
            <v>890</v>
          </cell>
        </row>
        <row r="5469">
          <cell r="A5469" t="str">
            <v>SK1109-L</v>
          </cell>
          <cell r="B5469" t="str">
            <v>K1109</v>
          </cell>
          <cell r="C5469" t="str">
            <v>ซาติน เดรสแขนสั้น น้องหมีลายทาง ฟ้าขาว L</v>
          </cell>
          <cell r="E5469">
            <v>0</v>
          </cell>
          <cell r="F5469">
            <v>890</v>
          </cell>
        </row>
        <row r="5470">
          <cell r="A5470" t="str">
            <v>SK1109-M</v>
          </cell>
          <cell r="B5470" t="str">
            <v>QK1109</v>
          </cell>
          <cell r="C5470" t="str">
            <v>ซาติน เดรสแขนสั้น น้องหมีลายทาง ฟ้าขาว M QC</v>
          </cell>
          <cell r="E5470">
            <v>0</v>
          </cell>
          <cell r="F5470">
            <v>890</v>
          </cell>
        </row>
        <row r="5471">
          <cell r="A5471" t="str">
            <v>SK1110-L</v>
          </cell>
          <cell r="B5471" t="str">
            <v>K1110</v>
          </cell>
          <cell r="C5471" t="str">
            <v>ซาติน เดรสแขนสั้น น้องหมีลายทาง ชมพูขาว L</v>
          </cell>
          <cell r="E5471">
            <v>0</v>
          </cell>
          <cell r="F5471">
            <v>890</v>
          </cell>
        </row>
        <row r="5472">
          <cell r="A5472" t="str">
            <v>SK1110-M</v>
          </cell>
          <cell r="B5472" t="str">
            <v>K1110</v>
          </cell>
          <cell r="C5472" t="str">
            <v>ซาติน เดรสแขนสั้น น้องหมีลายทาง ชมพูขาว M</v>
          </cell>
          <cell r="E5472">
            <v>0</v>
          </cell>
          <cell r="F5472">
            <v>590</v>
          </cell>
        </row>
        <row r="5473">
          <cell r="A5473" t="str">
            <v>SK1129-2XL</v>
          </cell>
          <cell r="B5473" t="str">
            <v>K1129</v>
          </cell>
          <cell r="C5473" t="str">
            <v>ซาติน เดรสแขนสั้น กางเกง ดอกไม้กาสะลอง พื้นดำ 2XL</v>
          </cell>
          <cell r="E5473">
            <v>0</v>
          </cell>
          <cell r="F5473">
            <v>890</v>
          </cell>
        </row>
        <row r="5474">
          <cell r="A5474" t="str">
            <v>SK1129-L</v>
          </cell>
          <cell r="B5474" t="str">
            <v>QK1129</v>
          </cell>
          <cell r="C5474" t="str">
            <v>ซาติน เดรสแขนสั้น กางเกง ดอกไม้กาสะลอง พื้นดำ L QC</v>
          </cell>
          <cell r="E5474">
            <v>0</v>
          </cell>
          <cell r="F5474">
            <v>890</v>
          </cell>
        </row>
        <row r="5475">
          <cell r="A5475" t="str">
            <v>SK1129-M</v>
          </cell>
          <cell r="B5475" t="str">
            <v>K1129</v>
          </cell>
          <cell r="C5475" t="str">
            <v>ซาติน เดรสแขนสั้น กางเกง ดอกไม้กาสะลอง พื้นดำ M</v>
          </cell>
          <cell r="E5475">
            <v>0</v>
          </cell>
          <cell r="F5475">
            <v>890</v>
          </cell>
        </row>
        <row r="5476">
          <cell r="A5476" t="str">
            <v>SK1129-XL</v>
          </cell>
          <cell r="B5476" t="str">
            <v>K1129</v>
          </cell>
          <cell r="C5476" t="str">
            <v>ซาติน เดรสแขนสั้น กางเกง ดอกไม้กาสะลอง พื้นดำ XL</v>
          </cell>
          <cell r="E5476">
            <v>0</v>
          </cell>
          <cell r="F5476">
            <v>890</v>
          </cell>
        </row>
        <row r="5477">
          <cell r="A5477" t="str">
            <v>SK1130-2XL</v>
          </cell>
          <cell r="B5477" t="str">
            <v>QK1130</v>
          </cell>
          <cell r="C5477" t="str">
            <v>ซาติน เดรสแขนสั้น กางเกง นกกระยาง พื้นฟ้า 2XL QC</v>
          </cell>
          <cell r="E5477">
            <v>0</v>
          </cell>
          <cell r="F5477">
            <v>890</v>
          </cell>
        </row>
        <row r="5478">
          <cell r="A5478" t="str">
            <v>SK1130-L</v>
          </cell>
          <cell r="B5478" t="str">
            <v>QK1130</v>
          </cell>
          <cell r="C5478" t="str">
            <v>ซาติน เดรสแขนสั้น กางเกง นกกระยาง พื้นฟ้า L QC</v>
          </cell>
          <cell r="E5478">
            <v>0</v>
          </cell>
          <cell r="F5478">
            <v>890</v>
          </cell>
        </row>
        <row r="5479">
          <cell r="A5479" t="str">
            <v>SK1130-M</v>
          </cell>
          <cell r="B5479" t="str">
            <v>K1130</v>
          </cell>
          <cell r="C5479" t="str">
            <v>ซาติน เดรสแขนสั้น กางเกง นกกระยาง พื้นฟ้า M</v>
          </cell>
          <cell r="E5479">
            <v>0</v>
          </cell>
          <cell r="F5479">
            <v>890</v>
          </cell>
        </row>
        <row r="5480">
          <cell r="A5480" t="str">
            <v>SK1130-XL</v>
          </cell>
          <cell r="B5480" t="str">
            <v>QK1130</v>
          </cell>
          <cell r="C5480" t="str">
            <v>ซาติน เดรสแขนสั้น กางเกง นกกระยาง พื้นฟ้า XL QC</v>
          </cell>
          <cell r="E5480">
            <v>0</v>
          </cell>
          <cell r="F5480">
            <v>890</v>
          </cell>
        </row>
        <row r="5481">
          <cell r="A5481" t="str">
            <v>SK1131-L</v>
          </cell>
          <cell r="B5481" t="str">
            <v>K1131</v>
          </cell>
          <cell r="C5481" t="str">
            <v>ซาติน เดรสสายเดี่ยว กุหลาบเทา พื้นครีม L</v>
          </cell>
          <cell r="E5481">
            <v>0</v>
          </cell>
          <cell r="F5481">
            <v>990</v>
          </cell>
        </row>
        <row r="5482">
          <cell r="A5482" t="str">
            <v>SK1131-M</v>
          </cell>
          <cell r="B5482" t="str">
            <v>K1131</v>
          </cell>
          <cell r="C5482" t="str">
            <v>ซาติน เดรสสายเดี่ยว กุหลาบเทา พื้นครีม M</v>
          </cell>
          <cell r="E5482">
            <v>0</v>
          </cell>
          <cell r="F5482">
            <v>990</v>
          </cell>
        </row>
        <row r="5483">
          <cell r="A5483" t="str">
            <v>SK1131-S</v>
          </cell>
          <cell r="B5483" t="str">
            <v>QK1131</v>
          </cell>
          <cell r="C5483" t="str">
            <v>ซาติน เดรสสายเดี่ยว กุหลาบเทา พื้นครีม S QC</v>
          </cell>
          <cell r="E5483">
            <v>0</v>
          </cell>
          <cell r="F5483">
            <v>990</v>
          </cell>
        </row>
        <row r="5484">
          <cell r="A5484" t="str">
            <v>SK1131-XL</v>
          </cell>
          <cell r="B5484" t="str">
            <v>K1131</v>
          </cell>
          <cell r="C5484" t="str">
            <v>ซาติน เดรสสายเดี่ยว กุหลาบเทา พื้นครีม XL</v>
          </cell>
          <cell r="E5484">
            <v>0</v>
          </cell>
          <cell r="F5484">
            <v>990</v>
          </cell>
        </row>
        <row r="5485">
          <cell r="A5485" t="str">
            <v>SK1146-2XL</v>
          </cell>
          <cell r="B5485" t="str">
            <v>K1146</v>
          </cell>
          <cell r="C5485" t="str">
            <v>ซาติน เดรสแขนสั้น กางเกง Pinky Flowers คอปกชมพูอ่อน 2XL</v>
          </cell>
          <cell r="E5485">
            <v>0</v>
          </cell>
          <cell r="F5485">
            <v>890</v>
          </cell>
        </row>
        <row r="5486">
          <cell r="A5486" t="str">
            <v>SK1146-L</v>
          </cell>
          <cell r="B5486" t="str">
            <v>K1146</v>
          </cell>
          <cell r="C5486" t="str">
            <v>ซาติน เดรสแขนสั้น กางเกง Pinky Flowers คอปกชมพูอ่อน L</v>
          </cell>
          <cell r="E5486">
            <v>0</v>
          </cell>
          <cell r="F5486">
            <v>890</v>
          </cell>
        </row>
        <row r="5487">
          <cell r="A5487" t="str">
            <v>SK1146-M</v>
          </cell>
          <cell r="B5487" t="str">
            <v>K1146</v>
          </cell>
          <cell r="C5487" t="str">
            <v>ซาติน เดรสแขนสั้น กางเกง Pinky Flowers คอปกชมพูอ่อน M</v>
          </cell>
          <cell r="E5487">
            <v>0</v>
          </cell>
          <cell r="F5487">
            <v>890</v>
          </cell>
        </row>
        <row r="5488">
          <cell r="A5488" t="str">
            <v>SK1146-XL</v>
          </cell>
          <cell r="B5488" t="str">
            <v>K1146</v>
          </cell>
          <cell r="C5488" t="str">
            <v>ซาติน เดรสแขนสั้น กางเกง Pinky Flowers คอปกชมพูอ่อน XL</v>
          </cell>
          <cell r="E5488">
            <v>0</v>
          </cell>
          <cell r="F5488">
            <v>890</v>
          </cell>
        </row>
        <row r="5489">
          <cell r="A5489" t="str">
            <v>SK1152-L</v>
          </cell>
          <cell r="B5489" t="str">
            <v>K1152</v>
          </cell>
          <cell r="C5489" t="str">
            <v>ซาติน เดรสแขนยาว ดอกชบา พื้นครีม L</v>
          </cell>
          <cell r="E5489">
            <v>0</v>
          </cell>
          <cell r="F5489">
            <v>990</v>
          </cell>
        </row>
        <row r="5490">
          <cell r="A5490" t="str">
            <v>SK1152-M</v>
          </cell>
          <cell r="B5490" t="str">
            <v>QK1152</v>
          </cell>
          <cell r="C5490" t="str">
            <v>ซาติน เดรสแขนยาว ดอกชบา พื้นครีม M QC</v>
          </cell>
          <cell r="E5490">
            <v>0</v>
          </cell>
          <cell r="F5490">
            <v>990</v>
          </cell>
        </row>
        <row r="5491">
          <cell r="A5491" t="str">
            <v>SK1152-S</v>
          </cell>
          <cell r="B5491" t="str">
            <v>QK1152</v>
          </cell>
          <cell r="C5491" t="str">
            <v>ซาติน เดรสแขนยาว ดอกชบา พื้นครีม S QC</v>
          </cell>
          <cell r="E5491">
            <v>0</v>
          </cell>
          <cell r="F5491">
            <v>990</v>
          </cell>
        </row>
        <row r="5492">
          <cell r="A5492" t="str">
            <v>SK1152-XL</v>
          </cell>
          <cell r="B5492" t="str">
            <v>QK1152</v>
          </cell>
          <cell r="C5492" t="str">
            <v>ซาติน เดรสแขนยาว ดอกชบา พื้นครีม XL QC</v>
          </cell>
          <cell r="E5492">
            <v>0</v>
          </cell>
          <cell r="F5492">
            <v>990</v>
          </cell>
        </row>
        <row r="5493">
          <cell r="A5493" t="str">
            <v>SK1154-2XL</v>
          </cell>
          <cell r="B5493" t="str">
            <v>K1154</v>
          </cell>
          <cell r="C5493" t="str">
            <v>ซาติน เดรสแขนสั้น Pink Heart 2XL</v>
          </cell>
          <cell r="E5493">
            <v>1</v>
          </cell>
          <cell r="F5493">
            <v>890</v>
          </cell>
        </row>
        <row r="5494">
          <cell r="A5494" t="str">
            <v>SK1154-L</v>
          </cell>
          <cell r="B5494" t="str">
            <v>K1154</v>
          </cell>
          <cell r="C5494" t="str">
            <v>ซาติน เดรสแขนสั้น Pink Heart L</v>
          </cell>
          <cell r="E5494">
            <v>0</v>
          </cell>
          <cell r="F5494">
            <v>890</v>
          </cell>
        </row>
        <row r="5495">
          <cell r="A5495" t="str">
            <v>SK1154-M</v>
          </cell>
          <cell r="B5495" t="str">
            <v>K1154</v>
          </cell>
          <cell r="C5495" t="str">
            <v>ซาติน เดรสแขนสั้น Pink Heart M</v>
          </cell>
          <cell r="E5495">
            <v>0</v>
          </cell>
          <cell r="F5495">
            <v>890</v>
          </cell>
        </row>
        <row r="5496">
          <cell r="A5496" t="str">
            <v>SK1154-XL</v>
          </cell>
          <cell r="B5496" t="str">
            <v>K1154</v>
          </cell>
          <cell r="C5496" t="str">
            <v>ซาติน เดรสแขนสั้น Pink Heart XL</v>
          </cell>
          <cell r="E5496">
            <v>0</v>
          </cell>
          <cell r="F5496">
            <v>890</v>
          </cell>
        </row>
        <row r="5497">
          <cell r="A5497" t="str">
            <v>SK1155-2XL</v>
          </cell>
          <cell r="B5497" t="str">
            <v>K1155</v>
          </cell>
          <cell r="C5497" t="str">
            <v>ซาติน เดรสแขนสั้น Violet Forest 2XL</v>
          </cell>
          <cell r="E5497">
            <v>0</v>
          </cell>
          <cell r="F5497">
            <v>890</v>
          </cell>
        </row>
        <row r="5498">
          <cell r="A5498" t="str">
            <v>SK1155-L</v>
          </cell>
          <cell r="B5498" t="str">
            <v>K1155</v>
          </cell>
          <cell r="C5498" t="str">
            <v>ซาติน เดรสแขนสั้น Violet Forest L</v>
          </cell>
          <cell r="E5498">
            <v>0</v>
          </cell>
          <cell r="F5498">
            <v>890</v>
          </cell>
        </row>
        <row r="5499">
          <cell r="A5499" t="str">
            <v>SK1155-M</v>
          </cell>
          <cell r="B5499" t="str">
            <v>K1155</v>
          </cell>
          <cell r="C5499" t="str">
            <v>ซาติน เดรสแขนสั้น Violet Forest M</v>
          </cell>
          <cell r="E5499">
            <v>0</v>
          </cell>
          <cell r="F5499">
            <v>890</v>
          </cell>
        </row>
        <row r="5500">
          <cell r="A5500" t="str">
            <v>SK1155-XL</v>
          </cell>
          <cell r="B5500" t="str">
            <v>K1155</v>
          </cell>
          <cell r="C5500" t="str">
            <v>ซาติน เดรสแขนสั้น Violet Forest XL</v>
          </cell>
          <cell r="E5500">
            <v>0</v>
          </cell>
          <cell r="F5500">
            <v>890</v>
          </cell>
        </row>
        <row r="5501">
          <cell r="A5501" t="str">
            <v>SK1156-2XL</v>
          </cell>
          <cell r="B5501" t="str">
            <v>K1156</v>
          </cell>
          <cell r="C5501" t="str">
            <v>ซาติน เดรสแขนสั้น กางเกง Beautiful Women White 2XL</v>
          </cell>
          <cell r="E5501">
            <v>0</v>
          </cell>
          <cell r="F5501">
            <v>890</v>
          </cell>
        </row>
        <row r="5502">
          <cell r="A5502" t="str">
            <v>SK1156-L</v>
          </cell>
          <cell r="B5502" t="str">
            <v>K1156</v>
          </cell>
          <cell r="C5502" t="str">
            <v>ซาติน เดรสแขนสั้น กางเกง Beautiful Women White L</v>
          </cell>
          <cell r="E5502">
            <v>0</v>
          </cell>
          <cell r="F5502">
            <v>890</v>
          </cell>
        </row>
        <row r="5503">
          <cell r="A5503" t="str">
            <v>SK1156-M</v>
          </cell>
          <cell r="B5503" t="str">
            <v>K1156</v>
          </cell>
          <cell r="C5503" t="str">
            <v>ซาติน เดรสแขนสั้น กางเกง Beautiful Women White M</v>
          </cell>
          <cell r="E5503">
            <v>0</v>
          </cell>
          <cell r="F5503">
            <v>890</v>
          </cell>
        </row>
        <row r="5504">
          <cell r="A5504" t="str">
            <v>SK1156-XL</v>
          </cell>
          <cell r="B5504" t="str">
            <v>K1156</v>
          </cell>
          <cell r="C5504" t="str">
            <v>ซาติน เดรสแขนสั้น กางเกง Beautiful Women White XL</v>
          </cell>
          <cell r="E5504">
            <v>0</v>
          </cell>
          <cell r="F5504">
            <v>890</v>
          </cell>
        </row>
        <row r="5505">
          <cell r="A5505" t="str">
            <v>SK1157-2XL</v>
          </cell>
          <cell r="B5505" t="str">
            <v>K1157</v>
          </cell>
          <cell r="C5505" t="str">
            <v>ซาติน เดรสแขนสั้น กางเกง ฟอนท์อังกฤษ พื้นขาว 2XL</v>
          </cell>
          <cell r="E5505">
            <v>0</v>
          </cell>
          <cell r="F5505">
            <v>890</v>
          </cell>
        </row>
        <row r="5506">
          <cell r="A5506" t="str">
            <v>SK1157-L</v>
          </cell>
          <cell r="B5506" t="str">
            <v>QK1157</v>
          </cell>
          <cell r="C5506" t="str">
            <v>ซาติน เดรสแขนสั้น กางเกง ฟอนท์อังกฤษ พื้นขาว L QC</v>
          </cell>
          <cell r="E5506">
            <v>0</v>
          </cell>
          <cell r="F5506">
            <v>890</v>
          </cell>
        </row>
        <row r="5507">
          <cell r="A5507" t="str">
            <v>SK1157-M</v>
          </cell>
          <cell r="B5507" t="str">
            <v>K1157</v>
          </cell>
          <cell r="C5507" t="str">
            <v>ซาติน เดรสแขนสั้น กางเกง ฟอนท์อังกฤษ พื้นขาว M</v>
          </cell>
          <cell r="E5507">
            <v>0</v>
          </cell>
          <cell r="F5507">
            <v>890</v>
          </cell>
        </row>
        <row r="5508">
          <cell r="A5508" t="str">
            <v>SK1157-XL</v>
          </cell>
          <cell r="B5508" t="str">
            <v>K1157</v>
          </cell>
          <cell r="C5508" t="str">
            <v>ซาติน เดรสแขนสั้น กางเกง ฟอนท์อังกฤษ พื้นขาว XL</v>
          </cell>
          <cell r="E5508">
            <v>0</v>
          </cell>
          <cell r="F5508">
            <v>890</v>
          </cell>
        </row>
        <row r="5509">
          <cell r="A5509" t="str">
            <v>SK1159-2XL</v>
          </cell>
          <cell r="B5509" t="str">
            <v>K1159</v>
          </cell>
          <cell r="C5509" t="str">
            <v>ซาติน เดรสแขนสั้น กางเกง Violet Rose พื้นเขียวมินท์ 2XL (กปก)</v>
          </cell>
          <cell r="E5509">
            <v>0</v>
          </cell>
          <cell r="F5509">
            <v>890</v>
          </cell>
        </row>
        <row r="5510">
          <cell r="A5510" t="str">
            <v>SK1159-L</v>
          </cell>
          <cell r="B5510" t="str">
            <v>K1159</v>
          </cell>
          <cell r="C5510" t="str">
            <v>ซาติน เดรสแขนสั้น กางเกง Violet Rose พื้นเขียวมินท์ L (กปก)</v>
          </cell>
          <cell r="E5510">
            <v>0</v>
          </cell>
          <cell r="F5510">
            <v>890</v>
          </cell>
        </row>
        <row r="5511">
          <cell r="A5511" t="str">
            <v>SK1159-M</v>
          </cell>
          <cell r="B5511" t="str">
            <v>QK1159</v>
          </cell>
          <cell r="C5511" t="str">
            <v>ซาติน เดรสแขนสั้น กางเกง Violet Rose พื้นเขียวมินท์ M (กปก) QC</v>
          </cell>
          <cell r="E5511">
            <v>0</v>
          </cell>
          <cell r="F5511">
            <v>890</v>
          </cell>
        </row>
        <row r="5512">
          <cell r="A5512" t="str">
            <v>SK1159-XL</v>
          </cell>
          <cell r="B5512" t="str">
            <v>K1159</v>
          </cell>
          <cell r="C5512" t="str">
            <v>ซาติน เดรสแขนสั้น กางเกง Violet Rose พื้นเขียวมินท์ XL (กปก)</v>
          </cell>
          <cell r="E5512">
            <v>0</v>
          </cell>
          <cell r="F5512">
            <v>890</v>
          </cell>
        </row>
        <row r="5513">
          <cell r="A5513" t="str">
            <v>SK1165-L</v>
          </cell>
          <cell r="B5513" t="str">
            <v>K1165</v>
          </cell>
          <cell r="C5513" t="str">
            <v>ซาติน เดรสแขนสั้น สีครีม กระเป๋าระบาย L</v>
          </cell>
          <cell r="E5513">
            <v>0</v>
          </cell>
          <cell r="F5513">
            <v>890</v>
          </cell>
        </row>
        <row r="5514">
          <cell r="A5514" t="str">
            <v>SK1165-M</v>
          </cell>
          <cell r="B5514" t="str">
            <v>QK1165</v>
          </cell>
          <cell r="C5514" t="str">
            <v>ซาติน เดรสแขนสั้น สีครีม กระเป๋าระบาย M QC</v>
          </cell>
          <cell r="E5514">
            <v>0</v>
          </cell>
          <cell r="F5514">
            <v>890</v>
          </cell>
        </row>
        <row r="5515">
          <cell r="A5515" t="str">
            <v>SK1166-L</v>
          </cell>
          <cell r="B5515" t="str">
            <v>K1166</v>
          </cell>
          <cell r="C5515" t="str">
            <v>ซาติน เดรสแขนสั้น สีม่วง กระเป๋าระบาย L</v>
          </cell>
          <cell r="E5515">
            <v>0</v>
          </cell>
          <cell r="F5515">
            <v>890</v>
          </cell>
        </row>
        <row r="5516">
          <cell r="A5516" t="str">
            <v>SK1166-M</v>
          </cell>
          <cell r="B5516" t="str">
            <v>K1166</v>
          </cell>
          <cell r="C5516" t="str">
            <v>ซาติน เดรสแขนสั้น สีม่วง กระเป๋าระบาย M</v>
          </cell>
          <cell r="E5516">
            <v>0</v>
          </cell>
          <cell r="F5516">
            <v>890</v>
          </cell>
        </row>
        <row r="5517">
          <cell r="A5517" t="str">
            <v>SK1167-L</v>
          </cell>
          <cell r="B5517" t="str">
            <v>K1167</v>
          </cell>
          <cell r="C5517" t="str">
            <v>ซาติน เดรสแขนสั้น สีชมพู กระเป๋าระบาย L</v>
          </cell>
          <cell r="E5517">
            <v>0</v>
          </cell>
          <cell r="F5517">
            <v>890</v>
          </cell>
        </row>
        <row r="5518">
          <cell r="A5518" t="str">
            <v>SK1167-M</v>
          </cell>
          <cell r="B5518" t="str">
            <v>K1167</v>
          </cell>
          <cell r="C5518" t="str">
            <v>ซาติน เดรสแขนสั้น สีชมพู กระเป๋าระบาย M</v>
          </cell>
          <cell r="E5518">
            <v>0</v>
          </cell>
          <cell r="F5518">
            <v>890</v>
          </cell>
        </row>
        <row r="5519">
          <cell r="A5519" t="str">
            <v>SK1175-2XL</v>
          </cell>
          <cell r="B5519" t="str">
            <v>K1175</v>
          </cell>
          <cell r="C5519" t="str">
            <v>ซาติน เดรสแขนสั้น กางเกง กวางน้อย พื้นขาว ปกเทา 2XL</v>
          </cell>
          <cell r="E5519">
            <v>0</v>
          </cell>
          <cell r="F5519">
            <v>890</v>
          </cell>
        </row>
        <row r="5520">
          <cell r="A5520" t="str">
            <v>SK1175-L</v>
          </cell>
          <cell r="B5520" t="str">
            <v>K1175</v>
          </cell>
          <cell r="C5520" t="str">
            <v>ซาติน เดรสแขนสั้น กางเกง กวางน้อย พื้นขาว ปกเทา L</v>
          </cell>
          <cell r="E5520">
            <v>0</v>
          </cell>
          <cell r="F5520">
            <v>890</v>
          </cell>
        </row>
        <row r="5521">
          <cell r="A5521" t="str">
            <v>SK1175-M</v>
          </cell>
          <cell r="B5521" t="str">
            <v>K1175</v>
          </cell>
          <cell r="C5521" t="str">
            <v>ซาติน เดรสแขนสั้น กางเกง กวางน้อย พื้นขาว ปกเทา M</v>
          </cell>
          <cell r="E5521">
            <v>0</v>
          </cell>
          <cell r="F5521">
            <v>890</v>
          </cell>
        </row>
        <row r="5522">
          <cell r="A5522" t="str">
            <v>SK1175-XL</v>
          </cell>
          <cell r="B5522" t="str">
            <v>K1175</v>
          </cell>
          <cell r="C5522" t="str">
            <v>ซาติน เดรสแขนสั้น กางเกง กวางน้อย พื้นขาว ปกเทา XL</v>
          </cell>
          <cell r="E5522">
            <v>0</v>
          </cell>
          <cell r="F5522">
            <v>890</v>
          </cell>
        </row>
        <row r="5523">
          <cell r="A5523" t="str">
            <v>SK1179-2XL</v>
          </cell>
          <cell r="B5523" t="str">
            <v>QK1179</v>
          </cell>
          <cell r="C5523" t="str">
            <v>ซาติน เดรสแขนสั้น กางเกง หมีเทา พื้นเขียว 2XL QC</v>
          </cell>
          <cell r="E5523">
            <v>0</v>
          </cell>
          <cell r="F5523">
            <v>890</v>
          </cell>
        </row>
        <row r="5524">
          <cell r="A5524" t="str">
            <v>SK1179-L</v>
          </cell>
          <cell r="B5524" t="str">
            <v>QK1179</v>
          </cell>
          <cell r="C5524" t="str">
            <v>ซาติน เดรสแขนสั้น กางเกง หมีเทา พื้นเขียว L QC</v>
          </cell>
          <cell r="E5524">
            <v>0</v>
          </cell>
          <cell r="F5524">
            <v>890</v>
          </cell>
        </row>
        <row r="5525">
          <cell r="A5525" t="str">
            <v>SK1179-M</v>
          </cell>
          <cell r="B5525" t="str">
            <v>QK1179</v>
          </cell>
          <cell r="C5525" t="str">
            <v>ซาติน เดรสแขนสั้น กางเกง หมีเทา พื้นเขียว M QC</v>
          </cell>
          <cell r="E5525">
            <v>0</v>
          </cell>
          <cell r="F5525">
            <v>890</v>
          </cell>
        </row>
        <row r="5526">
          <cell r="A5526" t="str">
            <v>SK1179-XL</v>
          </cell>
          <cell r="B5526" t="str">
            <v>K1179</v>
          </cell>
          <cell r="C5526" t="str">
            <v>ซาติน เดรสแขนสั้น กางเกง หมีเทา พื้นเขียว XL</v>
          </cell>
          <cell r="E5526">
            <v>0</v>
          </cell>
          <cell r="F5526">
            <v>890</v>
          </cell>
        </row>
        <row r="5527">
          <cell r="A5527" t="str">
            <v>SK1182-2XL</v>
          </cell>
          <cell r="B5527" t="str">
            <v>QK1182</v>
          </cell>
          <cell r="C5527" t="str">
            <v>ซาติน เดรสแขนสั้น กางเกง หมีฟ้า พื้นฟ้า 2XL QC</v>
          </cell>
          <cell r="E5527">
            <v>0</v>
          </cell>
          <cell r="F5527">
            <v>890</v>
          </cell>
        </row>
        <row r="5528">
          <cell r="A5528" t="str">
            <v>SK1182-L</v>
          </cell>
          <cell r="B5528" t="str">
            <v>K1182</v>
          </cell>
          <cell r="C5528" t="str">
            <v>ซาติน เดรสแขนสั้น กางเกง หมีฟ้า พื้นฟ้า L</v>
          </cell>
          <cell r="E5528">
            <v>0</v>
          </cell>
          <cell r="F5528">
            <v>890</v>
          </cell>
        </row>
        <row r="5529">
          <cell r="A5529" t="str">
            <v>SK1182-M</v>
          </cell>
          <cell r="B5529" t="str">
            <v>QK1182</v>
          </cell>
          <cell r="C5529" t="str">
            <v>ซาติน เดรสแขนสั้น กางเกง หมีฟ้า พื้นฟ้า M QC</v>
          </cell>
          <cell r="E5529">
            <v>0</v>
          </cell>
          <cell r="F5529">
            <v>890</v>
          </cell>
        </row>
        <row r="5530">
          <cell r="A5530" t="str">
            <v>SK1182-XL</v>
          </cell>
          <cell r="B5530" t="str">
            <v>QK1182</v>
          </cell>
          <cell r="C5530" t="str">
            <v>ซาติน เดรสแขนสั้น กางเกง หมีฟ้า พื้นฟ้า XL QC</v>
          </cell>
          <cell r="E5530">
            <v>0</v>
          </cell>
          <cell r="F5530">
            <v>890</v>
          </cell>
        </row>
        <row r="5531">
          <cell r="A5531" t="str">
            <v>SK1183-2XL</v>
          </cell>
          <cell r="B5531" t="str">
            <v>K1183</v>
          </cell>
          <cell r="C5531" t="str">
            <v>ซาติน เดรสแขนสั้น กระต่ายชมพู ปกเขียว 2XL</v>
          </cell>
          <cell r="E5531">
            <v>0</v>
          </cell>
          <cell r="F5531">
            <v>890</v>
          </cell>
        </row>
        <row r="5532">
          <cell r="A5532" t="str">
            <v>SK1183-L</v>
          </cell>
          <cell r="B5532" t="str">
            <v>K1183</v>
          </cell>
          <cell r="C5532" t="str">
            <v>ซาติน เดรสแขนสั้น กระต่ายชมพู ปกเขียว L</v>
          </cell>
          <cell r="E5532">
            <v>0</v>
          </cell>
          <cell r="F5532">
            <v>890</v>
          </cell>
        </row>
        <row r="5533">
          <cell r="A5533" t="str">
            <v>SK1183-M</v>
          </cell>
          <cell r="B5533" t="str">
            <v>QK1183</v>
          </cell>
          <cell r="C5533" t="str">
            <v>ซาติน เดรสแขนสั้น กระต่ายชมพู ปกเขียว M QC</v>
          </cell>
          <cell r="E5533">
            <v>0</v>
          </cell>
          <cell r="F5533">
            <v>890</v>
          </cell>
        </row>
        <row r="5534">
          <cell r="A5534" t="str">
            <v>SK1183-XL</v>
          </cell>
          <cell r="B5534" t="str">
            <v>K1183</v>
          </cell>
          <cell r="C5534" t="str">
            <v>ซาติน เดรสแขนสั้น กระต่ายชมพู ปกเขียว XL</v>
          </cell>
          <cell r="E5534">
            <v>0</v>
          </cell>
          <cell r="F5534">
            <v>890</v>
          </cell>
        </row>
        <row r="5535">
          <cell r="A5535" t="str">
            <v>SK1188-2XL</v>
          </cell>
          <cell r="B5535" t="str">
            <v>QK1188</v>
          </cell>
          <cell r="C5535" t="str">
            <v>ซาติน เดรสแขนสั้น กางเกง Aquata Mermaid 2XL QC</v>
          </cell>
          <cell r="E5535">
            <v>0</v>
          </cell>
          <cell r="F5535">
            <v>890</v>
          </cell>
        </row>
        <row r="5536">
          <cell r="A5536" t="str">
            <v>SK1188-L</v>
          </cell>
          <cell r="B5536" t="str">
            <v>QK1188</v>
          </cell>
          <cell r="C5536" t="str">
            <v>ซาติน เดรสแขนสั้น กางเกง Aquata Mermaid L QC</v>
          </cell>
          <cell r="E5536">
            <v>0</v>
          </cell>
          <cell r="F5536">
            <v>890</v>
          </cell>
        </row>
        <row r="5537">
          <cell r="A5537" t="str">
            <v>SK1188-M</v>
          </cell>
          <cell r="B5537" t="str">
            <v>QK1188</v>
          </cell>
          <cell r="C5537" t="str">
            <v>ซาติน เดรสแขนสั้น กางเกง Aquata Mermaid M QC</v>
          </cell>
          <cell r="E5537">
            <v>0</v>
          </cell>
          <cell r="F5537">
            <v>890</v>
          </cell>
        </row>
        <row r="5538">
          <cell r="A5538" t="str">
            <v>SK1188-XL</v>
          </cell>
          <cell r="B5538" t="str">
            <v>QK1188</v>
          </cell>
          <cell r="C5538" t="str">
            <v>ซาติน เดรสแขนสั้น กางเกง Aquata Mermaid XL QC</v>
          </cell>
          <cell r="E5538">
            <v>0</v>
          </cell>
          <cell r="F5538">
            <v>890</v>
          </cell>
        </row>
        <row r="5539">
          <cell r="A5539" t="str">
            <v>SK1189-2XL</v>
          </cell>
          <cell r="B5539" t="str">
            <v>QK1189</v>
          </cell>
          <cell r="C5539" t="str">
            <v>ซาติน เดรสแขนสั้น กางเกง เสือดาว พื้นน้ำเงิน 2XL QC</v>
          </cell>
          <cell r="E5539">
            <v>0</v>
          </cell>
          <cell r="F5539">
            <v>890</v>
          </cell>
        </row>
        <row r="5540">
          <cell r="A5540" t="str">
            <v>SK1189-L</v>
          </cell>
          <cell r="B5540" t="str">
            <v>K1189</v>
          </cell>
          <cell r="C5540" t="str">
            <v>ซาติน เดรสแขนสั้น กางเกง เสือดาว พื้นน้ำเงิน L</v>
          </cell>
          <cell r="E5540">
            <v>0</v>
          </cell>
          <cell r="F5540">
            <v>890</v>
          </cell>
        </row>
        <row r="5541">
          <cell r="A5541" t="str">
            <v>SK1189-M</v>
          </cell>
          <cell r="B5541" t="str">
            <v>K1189</v>
          </cell>
          <cell r="C5541" t="str">
            <v>ซาติน เดรสแขนสั้น กางเกง เสือดาว พื้นน้ำเงิน M</v>
          </cell>
          <cell r="E5541">
            <v>0</v>
          </cell>
          <cell r="F5541">
            <v>890</v>
          </cell>
        </row>
        <row r="5542">
          <cell r="A5542" t="str">
            <v>SK1189-XL</v>
          </cell>
          <cell r="B5542" t="str">
            <v>K1189</v>
          </cell>
          <cell r="C5542" t="str">
            <v>ซาติน เดรสแขนสั้น กางเกง เสือดาว พื้นน้ำเงิน XL</v>
          </cell>
          <cell r="E5542">
            <v>0</v>
          </cell>
          <cell r="F5542">
            <v>890</v>
          </cell>
        </row>
        <row r="5543">
          <cell r="A5543" t="str">
            <v>SK1198-2XL</v>
          </cell>
          <cell r="B5543" t="str">
            <v>K1198</v>
          </cell>
          <cell r="C5543" t="str">
            <v>ซาติน เดรสแขนสั้น กางเกง กระต่ายขาว พื้นชมพู ขอบเขียว 2XL</v>
          </cell>
          <cell r="E5543">
            <v>0</v>
          </cell>
          <cell r="F5543">
            <v>0</v>
          </cell>
        </row>
        <row r="5544">
          <cell r="A5544" t="str">
            <v>SK1198-L</v>
          </cell>
          <cell r="B5544" t="str">
            <v>K1198</v>
          </cell>
          <cell r="C5544" t="str">
            <v>ซาติน เดรสแขนสั้น กางเกง กระต่ายขาว พื้นชมพู ขอบเขียว L</v>
          </cell>
          <cell r="E5544">
            <v>0</v>
          </cell>
          <cell r="F5544">
            <v>890</v>
          </cell>
        </row>
        <row r="5545">
          <cell r="A5545" t="str">
            <v>SK1198-M</v>
          </cell>
          <cell r="B5545" t="str">
            <v>QK1198</v>
          </cell>
          <cell r="C5545" t="str">
            <v>ซาติน เดรสแขนสั้น กางเกง กระต่ายขาว พื้นชมพู ขอบเขียว M QC</v>
          </cell>
          <cell r="E5545">
            <v>0</v>
          </cell>
          <cell r="F5545">
            <v>890</v>
          </cell>
        </row>
        <row r="5546">
          <cell r="A5546" t="str">
            <v>SK1198-XL</v>
          </cell>
          <cell r="B5546" t="str">
            <v>K1198</v>
          </cell>
          <cell r="C5546" t="str">
            <v>ซาติน เดรสแขนสั้น กางเกง กระต่ายขาว พื้นชมพู ขอบเขียว XL</v>
          </cell>
          <cell r="E5546">
            <v>0</v>
          </cell>
          <cell r="F5546">
            <v>890</v>
          </cell>
        </row>
        <row r="5547">
          <cell r="A5547" t="str">
            <v>SK1200-2XL</v>
          </cell>
          <cell r="B5547" t="str">
            <v>QK1200</v>
          </cell>
          <cell r="C5547" t="str">
            <v>ซาติน เดรสแขนสั้น กางเกง น้องหมา พื้นเทา 2XL QC</v>
          </cell>
          <cell r="E5547">
            <v>0</v>
          </cell>
          <cell r="F5547">
            <v>890</v>
          </cell>
        </row>
        <row r="5548">
          <cell r="A5548" t="str">
            <v>SK1200-L</v>
          </cell>
          <cell r="B5548" t="str">
            <v>K1200</v>
          </cell>
          <cell r="C5548" t="str">
            <v>ซาติน เดรสแขนสั้น กางเกง น้องหมา พื้นเทา L</v>
          </cell>
          <cell r="E5548">
            <v>0</v>
          </cell>
          <cell r="F5548">
            <v>0</v>
          </cell>
        </row>
        <row r="5549">
          <cell r="A5549" t="str">
            <v>SK1200-M</v>
          </cell>
          <cell r="B5549" t="str">
            <v>K1200</v>
          </cell>
          <cell r="C5549" t="str">
            <v>ซาติน เดรสแขนสั้น กางเกง น้องหมา พื้นเทา M</v>
          </cell>
          <cell r="E5549">
            <v>0</v>
          </cell>
          <cell r="F5549">
            <v>0</v>
          </cell>
        </row>
        <row r="5550">
          <cell r="A5550" t="str">
            <v>SK1200-XL</v>
          </cell>
          <cell r="B5550" t="str">
            <v>QK1200</v>
          </cell>
          <cell r="C5550" t="str">
            <v>ซาติน เดรสแขนสั้น กางเกง น้องหมา พื้นเทา XL QC</v>
          </cell>
          <cell r="E5550">
            <v>0</v>
          </cell>
          <cell r="F5550">
            <v>890</v>
          </cell>
        </row>
        <row r="5551">
          <cell r="A5551" t="str">
            <v>SK1210-2XL</v>
          </cell>
          <cell r="B5551" t="str">
            <v>K1210</v>
          </cell>
          <cell r="C5551" t="str">
            <v>ซาติน เดรสแขนสั้น Blue Heart 2XL</v>
          </cell>
          <cell r="E5551">
            <v>0</v>
          </cell>
          <cell r="F5551">
            <v>890</v>
          </cell>
        </row>
        <row r="5552">
          <cell r="A5552" t="str">
            <v>SK1210-L</v>
          </cell>
          <cell r="B5552" t="str">
            <v>K1210</v>
          </cell>
          <cell r="C5552" t="str">
            <v>ซาติน เดรสแขนสั้น Blue Heart L</v>
          </cell>
          <cell r="E5552">
            <v>1</v>
          </cell>
          <cell r="F5552">
            <v>890</v>
          </cell>
        </row>
        <row r="5553">
          <cell r="A5553" t="str">
            <v>SK1210-M</v>
          </cell>
          <cell r="B5553" t="str">
            <v>K1210</v>
          </cell>
          <cell r="C5553" t="str">
            <v>ซาติน เดรสแขนสั้น Blue Heart M</v>
          </cell>
          <cell r="E5553">
            <v>0</v>
          </cell>
          <cell r="F5553">
            <v>890</v>
          </cell>
        </row>
        <row r="5554">
          <cell r="A5554" t="str">
            <v>SK1210-XL</v>
          </cell>
          <cell r="B5554" t="str">
            <v>K1210</v>
          </cell>
          <cell r="C5554" t="str">
            <v>ซาติน เดรสแขนสั้น Blue Heart XL</v>
          </cell>
          <cell r="E5554">
            <v>0</v>
          </cell>
          <cell r="F5554">
            <v>890</v>
          </cell>
        </row>
        <row r="5555">
          <cell r="A5555" t="str">
            <v>SK1211-2XL</v>
          </cell>
          <cell r="B5555" t="str">
            <v>K1211</v>
          </cell>
          <cell r="C5555" t="str">
            <v>ซาติน เดรสแขนสั้น Violet Heart 2XL</v>
          </cell>
          <cell r="E5555">
            <v>0</v>
          </cell>
          <cell r="F5555">
            <v>890</v>
          </cell>
        </row>
        <row r="5556">
          <cell r="A5556" t="str">
            <v>SK1211-L</v>
          </cell>
          <cell r="B5556" t="str">
            <v>K1211</v>
          </cell>
          <cell r="C5556" t="str">
            <v>ซาติน เดรสแขนสั้น Violet Heart L</v>
          </cell>
          <cell r="E5556">
            <v>3</v>
          </cell>
          <cell r="F5556">
            <v>890</v>
          </cell>
        </row>
        <row r="5557">
          <cell r="A5557" t="str">
            <v>SK1211-M</v>
          </cell>
          <cell r="B5557" t="str">
            <v>K1211</v>
          </cell>
          <cell r="C5557" t="str">
            <v>ซาติน เดรสแขนสั้น Violet Heart M</v>
          </cell>
          <cell r="E5557">
            <v>0</v>
          </cell>
          <cell r="F5557">
            <v>890</v>
          </cell>
        </row>
        <row r="5558">
          <cell r="A5558" t="str">
            <v>SK1211-XL</v>
          </cell>
          <cell r="B5558" t="str">
            <v>K1211</v>
          </cell>
          <cell r="C5558" t="str">
            <v>ซาติน เดรสแขนสั้น Violet Heart XL</v>
          </cell>
          <cell r="E5558">
            <v>0</v>
          </cell>
          <cell r="F5558">
            <v>890</v>
          </cell>
        </row>
        <row r="5559">
          <cell r="A5559" t="str">
            <v>SK1212-2XL</v>
          </cell>
          <cell r="B5559" t="str">
            <v>QK1212</v>
          </cell>
          <cell r="C5559" t="str">
            <v>ซาติน เดรสแขนสั้น กางเกง กระต่ายน้อยอุ้มไข่ ปกเหลือง 2XL (กปก) QC</v>
          </cell>
          <cell r="E5559">
            <v>0</v>
          </cell>
          <cell r="F5559">
            <v>890</v>
          </cell>
        </row>
        <row r="5560">
          <cell r="A5560" t="str">
            <v>SK1212-L</v>
          </cell>
          <cell r="B5560" t="str">
            <v>QK1212</v>
          </cell>
          <cell r="C5560" t="str">
            <v>ซาติน เดรสแขนสั้น กางเกง กระต่ายน้อยอุ้มไข่ ปกเหลือง L (กปก) QC</v>
          </cell>
          <cell r="E5560">
            <v>0</v>
          </cell>
          <cell r="F5560">
            <v>890</v>
          </cell>
        </row>
        <row r="5561">
          <cell r="A5561" t="str">
            <v>SK1212-M</v>
          </cell>
          <cell r="B5561" t="str">
            <v>K1212</v>
          </cell>
          <cell r="C5561" t="str">
            <v>ซาติน เดรสแขนสั้น กางเกง กระต่ายน้อยอุ้มไข่ ปกเหลือง M (กปก)</v>
          </cell>
          <cell r="E5561">
            <v>0</v>
          </cell>
          <cell r="F5561">
            <v>890</v>
          </cell>
        </row>
        <row r="5562">
          <cell r="A5562" t="str">
            <v>SK1212-XL</v>
          </cell>
          <cell r="B5562" t="str">
            <v>K1212</v>
          </cell>
          <cell r="C5562" t="str">
            <v>ซาติน เดรสแขนสั้น กางเกง กระต่ายน้อยอุ้มไข่ ปกเหลือง XL (กปก)</v>
          </cell>
          <cell r="E5562">
            <v>0</v>
          </cell>
          <cell r="F5562">
            <v>890</v>
          </cell>
        </row>
        <row r="5563">
          <cell r="A5563" t="str">
            <v>SK1218-2XL</v>
          </cell>
          <cell r="B5563" t="str">
            <v>K1218</v>
          </cell>
          <cell r="C5563" t="str">
            <v>ซาติน เดรสแขนสั้น กางเกง ช้างชมพู พื้นครีม 2XL</v>
          </cell>
          <cell r="E5563">
            <v>0</v>
          </cell>
          <cell r="F5563">
            <v>890</v>
          </cell>
        </row>
        <row r="5564">
          <cell r="A5564" t="str">
            <v>SK1218-L</v>
          </cell>
          <cell r="B5564" t="str">
            <v>K1218</v>
          </cell>
          <cell r="C5564" t="str">
            <v>ซาติน เดรสแขนสั้น กางเกง ช้างชมพู พื้นครีม L</v>
          </cell>
          <cell r="E5564">
            <v>0</v>
          </cell>
          <cell r="F5564">
            <v>890</v>
          </cell>
        </row>
        <row r="5565">
          <cell r="A5565" t="str">
            <v>SK1218-M</v>
          </cell>
          <cell r="B5565" t="str">
            <v>K1218</v>
          </cell>
          <cell r="C5565" t="str">
            <v>ซาติน เดรสแขนสั้น กางเกง ช้างชมพู พื้นครีม M</v>
          </cell>
          <cell r="E5565">
            <v>0</v>
          </cell>
          <cell r="F5565">
            <v>890</v>
          </cell>
        </row>
        <row r="5566">
          <cell r="A5566" t="str">
            <v>SK1218-XL</v>
          </cell>
          <cell r="B5566" t="str">
            <v>QK1218</v>
          </cell>
          <cell r="C5566" t="str">
            <v>ซาติน เดรสแขนสั้น กางเกง ช้างชมพู พื้นครีม XL QC</v>
          </cell>
          <cell r="E5566">
            <v>0</v>
          </cell>
          <cell r="F5566">
            <v>890</v>
          </cell>
        </row>
        <row r="5567">
          <cell r="A5567" t="str">
            <v>SK1219-2XL</v>
          </cell>
          <cell r="B5567" t="str">
            <v>K1219</v>
          </cell>
          <cell r="C5567" t="str">
            <v>ซาติน เดรสแขนสั้น กางเกง กระต่ายขาว พื้นชมพู 2XL</v>
          </cell>
          <cell r="E5567">
            <v>0</v>
          </cell>
          <cell r="F5567">
            <v>890</v>
          </cell>
        </row>
        <row r="5568">
          <cell r="A5568" t="str">
            <v>SK1219-L</v>
          </cell>
          <cell r="B5568" t="str">
            <v>K1219</v>
          </cell>
          <cell r="C5568" t="str">
            <v>ซาติน เดรสแขนสั้น กางเกง กระต่ายขาว พื้นชมพู L</v>
          </cell>
          <cell r="E5568">
            <v>0</v>
          </cell>
          <cell r="F5568">
            <v>890</v>
          </cell>
        </row>
        <row r="5569">
          <cell r="A5569" t="str">
            <v>SK1219-M</v>
          </cell>
          <cell r="B5569" t="str">
            <v>QK1219</v>
          </cell>
          <cell r="C5569" t="str">
            <v>ซาติน เดรสแขนสั้น กางเกง กระต่ายขาว พื้นชมพู M QC</v>
          </cell>
          <cell r="E5569">
            <v>0</v>
          </cell>
          <cell r="F5569">
            <v>890</v>
          </cell>
        </row>
        <row r="5570">
          <cell r="A5570" t="str">
            <v>SK1219-XL</v>
          </cell>
          <cell r="B5570" t="str">
            <v>QK1219</v>
          </cell>
          <cell r="C5570" t="str">
            <v>ซาติน เดรสแขนสั้น กางเกง กระต่ายขาว พื้นชมพู XL QC</v>
          </cell>
          <cell r="E5570">
            <v>0</v>
          </cell>
          <cell r="F5570">
            <v>890</v>
          </cell>
        </row>
        <row r="5571">
          <cell r="A5571" t="str">
            <v>SK1232-2XL</v>
          </cell>
          <cell r="B5571" t="str">
            <v>K1232</v>
          </cell>
          <cell r="C5571" t="str">
            <v>ซาติน เดรสแขนสั้น กางเกง น้องแกะ พื้นครีม ขอบเขียว 2XL</v>
          </cell>
          <cell r="E5571">
            <v>0</v>
          </cell>
          <cell r="F5571">
            <v>890</v>
          </cell>
        </row>
        <row r="5572">
          <cell r="A5572" t="str">
            <v>SK1232-L</v>
          </cell>
          <cell r="B5572" t="str">
            <v>QK1232</v>
          </cell>
          <cell r="C5572" t="str">
            <v>ซาติน เดรสแขนสั้น กางเกง น้องแกะ พื้นครีม ขอบเขียว L QC</v>
          </cell>
          <cell r="E5572">
            <v>0</v>
          </cell>
          <cell r="F5572">
            <v>890</v>
          </cell>
        </row>
        <row r="5573">
          <cell r="A5573" t="str">
            <v>SK1232-M</v>
          </cell>
          <cell r="B5573" t="str">
            <v>QK1232</v>
          </cell>
          <cell r="C5573" t="str">
            <v>ซาติน เดรสแขนสั้น กางเกง อัลปาก้า พื้นครีม ขอบเขียว M QC</v>
          </cell>
          <cell r="E5573">
            <v>0</v>
          </cell>
          <cell r="F5573">
            <v>890</v>
          </cell>
        </row>
        <row r="5574">
          <cell r="A5574" t="str">
            <v>SK1232-XL</v>
          </cell>
          <cell r="B5574" t="str">
            <v>QK1232</v>
          </cell>
          <cell r="C5574" t="str">
            <v>ซาติน เดรสแขนสั้น กางเกง อัลปาก้า พื้นครีม ขอบเขียว XL QC</v>
          </cell>
          <cell r="E5574">
            <v>0</v>
          </cell>
          <cell r="F5574">
            <v>890</v>
          </cell>
        </row>
        <row r="5575">
          <cell r="A5575" t="str">
            <v>SK1234-2XL</v>
          </cell>
          <cell r="B5575" t="str">
            <v>QK1234</v>
          </cell>
          <cell r="C5575" t="str">
            <v>ซาติน เดรสแขนสั้น กางเกง หนูน้อย sweet dream 2XL QC</v>
          </cell>
          <cell r="E5575">
            <v>0</v>
          </cell>
          <cell r="F5575">
            <v>890</v>
          </cell>
        </row>
        <row r="5576">
          <cell r="A5576" t="str">
            <v>SK1234-L</v>
          </cell>
          <cell r="B5576" t="str">
            <v>QK1234</v>
          </cell>
          <cell r="C5576" t="str">
            <v>ซาติน เดรสแขนสั้น กางเกง หนูน้อย sweet dream L QC</v>
          </cell>
          <cell r="E5576">
            <v>0</v>
          </cell>
          <cell r="F5576">
            <v>890</v>
          </cell>
        </row>
        <row r="5577">
          <cell r="A5577" t="str">
            <v>SK1234-M</v>
          </cell>
          <cell r="B5577" t="str">
            <v>QK1234</v>
          </cell>
          <cell r="C5577" t="str">
            <v>ซาติน เดรสแขนสั้น กางเกง หนูน้อย sweet dream M QC</v>
          </cell>
          <cell r="E5577">
            <v>0</v>
          </cell>
          <cell r="F5577">
            <v>890</v>
          </cell>
        </row>
        <row r="5578">
          <cell r="A5578" t="str">
            <v>SK1234-XL</v>
          </cell>
          <cell r="B5578" t="str">
            <v>QK1234</v>
          </cell>
          <cell r="C5578" t="str">
            <v>ซาติน เดรสแขนสั้น กางเกง หนูน้อย sweet dream XL QC</v>
          </cell>
          <cell r="E5578">
            <v>0</v>
          </cell>
          <cell r="F5578">
            <v>890</v>
          </cell>
        </row>
        <row r="5579">
          <cell r="A5579" t="str">
            <v>SK1236-F</v>
          </cell>
          <cell r="B5579" t="str">
            <v>K1236</v>
          </cell>
          <cell r="C5579" t="str">
            <v>cotton silk เดรส Shinchan Peach F</v>
          </cell>
          <cell r="E5579">
            <v>0</v>
          </cell>
          <cell r="F5579">
            <v>790</v>
          </cell>
        </row>
        <row r="5580">
          <cell r="A5580" t="str">
            <v>SK1237-F</v>
          </cell>
          <cell r="B5580" t="str">
            <v>K1237</v>
          </cell>
          <cell r="C5580" t="str">
            <v>cotton silk Shinchan Blueberry F</v>
          </cell>
          <cell r="E5580">
            <v>1</v>
          </cell>
          <cell r="F5580">
            <v>790</v>
          </cell>
        </row>
        <row r="5581">
          <cell r="A5581" t="str">
            <v>SK1238-F</v>
          </cell>
          <cell r="B5581" t="str">
            <v>K1238</v>
          </cell>
          <cell r="C5581" t="str">
            <v>cotton silk เดรส Shinchan Grape F</v>
          </cell>
          <cell r="E5581">
            <v>0</v>
          </cell>
          <cell r="F5581">
            <v>790</v>
          </cell>
        </row>
        <row r="5582">
          <cell r="A5582" t="str">
            <v>SK2001-2XL</v>
          </cell>
          <cell r="B5582" t="str">
            <v>K2001</v>
          </cell>
          <cell r="C5582" t="str">
            <v>ซาติน เดรสแขนสั้น กางเกง Pewter Kitten 2XL</v>
          </cell>
          <cell r="E5582">
            <v>0</v>
          </cell>
          <cell r="F5582">
            <v>890</v>
          </cell>
        </row>
        <row r="5583">
          <cell r="A5583" t="str">
            <v>SK2001-L</v>
          </cell>
          <cell r="B5583" t="str">
            <v>K2001</v>
          </cell>
          <cell r="C5583" t="str">
            <v>ซาติน เดรสแขนสั้น กางเกง Pewter Kitten L</v>
          </cell>
          <cell r="E5583">
            <v>11</v>
          </cell>
          <cell r="F5583">
            <v>890</v>
          </cell>
        </row>
        <row r="5584">
          <cell r="A5584" t="str">
            <v>SK2001-M</v>
          </cell>
          <cell r="B5584" t="str">
            <v>K2001</v>
          </cell>
          <cell r="C5584" t="str">
            <v>ซาติน เดรสแขนสั้น กางเกง Pewter Kitten M</v>
          </cell>
          <cell r="E5584">
            <v>9</v>
          </cell>
          <cell r="F5584">
            <v>890</v>
          </cell>
        </row>
        <row r="5585">
          <cell r="A5585" t="str">
            <v>SK2001-XL</v>
          </cell>
          <cell r="B5585" t="str">
            <v>K2001</v>
          </cell>
          <cell r="C5585" t="str">
            <v>ซาติน เดรสแขนสั้น กางเกง Pewter Kitten XL</v>
          </cell>
          <cell r="E5585">
            <v>0</v>
          </cell>
          <cell r="F5585">
            <v>890</v>
          </cell>
        </row>
        <row r="5586">
          <cell r="A5586" t="str">
            <v>SK2005-2XL</v>
          </cell>
          <cell r="B5586" t="str">
            <v>QK2005</v>
          </cell>
          <cell r="C5586" t="str">
            <v>ซาติน เดรสแขนสั้น กางเกง Jungle Bestfriend 2XL QC</v>
          </cell>
          <cell r="E5586">
            <v>0</v>
          </cell>
          <cell r="F5586">
            <v>890</v>
          </cell>
        </row>
        <row r="5587">
          <cell r="A5587" t="str">
            <v>SK2005-L</v>
          </cell>
          <cell r="B5587" t="str">
            <v>K2005</v>
          </cell>
          <cell r="C5587" t="str">
            <v>ซาติน เดรสแขนสั้น กางเกง Jungle Bestfriend L</v>
          </cell>
          <cell r="E5587">
            <v>0</v>
          </cell>
          <cell r="F5587">
            <v>890</v>
          </cell>
        </row>
        <row r="5588">
          <cell r="A5588" t="str">
            <v>SK2005-XL</v>
          </cell>
          <cell r="B5588" t="str">
            <v>K2005</v>
          </cell>
          <cell r="C5588" t="str">
            <v>ซาติน เดรสแขนสั้น กางเกง Jungle Bestfriend XL</v>
          </cell>
          <cell r="E5588">
            <v>0</v>
          </cell>
          <cell r="F5588">
            <v>890</v>
          </cell>
        </row>
        <row r="5589">
          <cell r="A5589" t="str">
            <v>SK2006-2XL</v>
          </cell>
          <cell r="B5589" t="str">
            <v>QK2006</v>
          </cell>
          <cell r="C5589" t="str">
            <v>ซาติน เดรส กางเกง ยีราฟ อูฐ นกกระจอกเทศ ปกส้ม 2XL QC</v>
          </cell>
          <cell r="E5589">
            <v>0</v>
          </cell>
          <cell r="F5589">
            <v>890</v>
          </cell>
        </row>
        <row r="5590">
          <cell r="A5590" t="str">
            <v>SK2006-L</v>
          </cell>
          <cell r="B5590" t="str">
            <v>K2006</v>
          </cell>
          <cell r="C5590" t="str">
            <v>ซาติน เดรส กางเกง ยีราฟ อูฐ นกกระจอกเทศ ปกส้ม L</v>
          </cell>
          <cell r="E5590">
            <v>0</v>
          </cell>
          <cell r="F5590">
            <v>890</v>
          </cell>
        </row>
        <row r="5591">
          <cell r="A5591" t="str">
            <v>SK2006-M</v>
          </cell>
          <cell r="B5591" t="str">
            <v>K2006</v>
          </cell>
          <cell r="C5591" t="str">
            <v>ซาติน เดรส กางเกง ยีราฟ อูฐ นกกระจอกเทศ ปกส้ม M</v>
          </cell>
          <cell r="E5591">
            <v>0</v>
          </cell>
          <cell r="F5591">
            <v>890</v>
          </cell>
        </row>
        <row r="5592">
          <cell r="A5592" t="str">
            <v>SK2006-XL</v>
          </cell>
          <cell r="B5592" t="str">
            <v>K2006</v>
          </cell>
          <cell r="C5592" t="str">
            <v>ซาติน เดรส กางเกง ยีราฟ อูฐ นกกระจอกเทศ ปกส้ม XL</v>
          </cell>
          <cell r="E5592">
            <v>0</v>
          </cell>
          <cell r="F5592">
            <v>890</v>
          </cell>
        </row>
        <row r="5593">
          <cell r="A5593" t="str">
            <v>SK2010-2XL</v>
          </cell>
          <cell r="B5593" t="str">
            <v>K2010</v>
          </cell>
          <cell r="C5593" t="str">
            <v>ซาติน เดรสแขนสั้น กางเกง Liliana Bloom 2XL</v>
          </cell>
          <cell r="E5593">
            <v>0</v>
          </cell>
          <cell r="F5593">
            <v>890</v>
          </cell>
        </row>
        <row r="5594">
          <cell r="A5594" t="str">
            <v>SK2010-L</v>
          </cell>
          <cell r="B5594" t="str">
            <v>K2010</v>
          </cell>
          <cell r="C5594" t="str">
            <v>ซาติน เดรสแขนสั้น กางเกง Liliana Bloom L</v>
          </cell>
          <cell r="E5594">
            <v>0</v>
          </cell>
          <cell r="F5594">
            <v>890</v>
          </cell>
        </row>
        <row r="5595">
          <cell r="A5595" t="str">
            <v>SK2010-M</v>
          </cell>
          <cell r="B5595" t="str">
            <v>K2010</v>
          </cell>
          <cell r="C5595" t="str">
            <v>ซาติน เดรสแขนสั้น กางเกง Liliana Bloom M</v>
          </cell>
          <cell r="E5595">
            <v>0</v>
          </cell>
          <cell r="F5595">
            <v>890</v>
          </cell>
        </row>
        <row r="5596">
          <cell r="A5596" t="str">
            <v>SK2010-XL</v>
          </cell>
          <cell r="B5596" t="str">
            <v>K2010</v>
          </cell>
          <cell r="C5596" t="str">
            <v>ซาติน เดรสแขนสั้น กางเกง Liliana Bloom XL</v>
          </cell>
          <cell r="E5596">
            <v>0</v>
          </cell>
          <cell r="F5596">
            <v>890</v>
          </cell>
        </row>
        <row r="5597">
          <cell r="A5597" t="str">
            <v>SK2012-2XL</v>
          </cell>
          <cell r="B5597" t="str">
            <v>K2012</v>
          </cell>
          <cell r="C5597" t="str">
            <v>ซาติน เดรสแขนสั้น กางเกง Falls Field 2XL</v>
          </cell>
          <cell r="E5597">
            <v>0</v>
          </cell>
          <cell r="F5597">
            <v>890</v>
          </cell>
        </row>
        <row r="5598">
          <cell r="A5598" t="str">
            <v>SK2012-L</v>
          </cell>
          <cell r="B5598" t="str">
            <v>K2012</v>
          </cell>
          <cell r="C5598" t="str">
            <v>ซาติน เดรสแขนสั้น กางเกง Falls Field L</v>
          </cell>
          <cell r="E5598">
            <v>4</v>
          </cell>
          <cell r="F5598">
            <v>890</v>
          </cell>
        </row>
        <row r="5599">
          <cell r="A5599" t="str">
            <v>SK2012-M</v>
          </cell>
          <cell r="B5599" t="str">
            <v>K2012</v>
          </cell>
          <cell r="C5599" t="str">
            <v>ซาติน เดรสแขนสั้น กางเกง Falls Field M</v>
          </cell>
          <cell r="E5599">
            <v>0</v>
          </cell>
          <cell r="F5599">
            <v>890</v>
          </cell>
        </row>
        <row r="5600">
          <cell r="A5600" t="str">
            <v>SK2012-XL</v>
          </cell>
          <cell r="B5600" t="str">
            <v>K2012</v>
          </cell>
          <cell r="C5600" t="str">
            <v>ซาติน เดรสแขนสั้น กางเกง Falls Field XL</v>
          </cell>
          <cell r="E5600">
            <v>1</v>
          </cell>
          <cell r="F5600">
            <v>890</v>
          </cell>
        </row>
        <row r="5601">
          <cell r="A5601" t="str">
            <v>SK2014-2XL</v>
          </cell>
          <cell r="B5601" t="str">
            <v>K2014</v>
          </cell>
          <cell r="C5601" t="str">
            <v>ซาติน เดรสแขนสั้น กางเกง Bhutan Peace 2XL</v>
          </cell>
          <cell r="E5601">
            <v>0</v>
          </cell>
          <cell r="F5601">
            <v>890</v>
          </cell>
        </row>
        <row r="5602">
          <cell r="A5602" t="str">
            <v>SK2014-L</v>
          </cell>
          <cell r="B5602" t="str">
            <v>K2014</v>
          </cell>
          <cell r="C5602" t="str">
            <v>ซาติน เดรสแขนสั้น กางเกง Bhutan Peace L</v>
          </cell>
          <cell r="E5602">
            <v>0</v>
          </cell>
          <cell r="F5602">
            <v>890</v>
          </cell>
        </row>
        <row r="5603">
          <cell r="A5603" t="str">
            <v>SK2014-M</v>
          </cell>
          <cell r="B5603" t="str">
            <v>K2014</v>
          </cell>
          <cell r="C5603" t="str">
            <v>ซาติน เดรสแขนสั้น กางเกง Bhutan Peace M</v>
          </cell>
          <cell r="E5603">
            <v>0</v>
          </cell>
          <cell r="F5603">
            <v>890</v>
          </cell>
        </row>
        <row r="5604">
          <cell r="A5604" t="str">
            <v>SK2014-XL</v>
          </cell>
          <cell r="B5604" t="str">
            <v>K2014</v>
          </cell>
          <cell r="C5604" t="str">
            <v>ซาติน เดรสแขนสั้น กางเกง Bhutan Peace XL</v>
          </cell>
          <cell r="E5604">
            <v>0</v>
          </cell>
          <cell r="F5604">
            <v>890</v>
          </cell>
        </row>
        <row r="5605">
          <cell r="A5605" t="str">
            <v>SK2015-2XL</v>
          </cell>
          <cell r="B5605" t="str">
            <v>K2015</v>
          </cell>
          <cell r="C5605" t="str">
            <v>ซาติน เดรส กางเกง zoo tropical ขอบแดง 2XL</v>
          </cell>
          <cell r="E5605">
            <v>0</v>
          </cell>
          <cell r="F5605">
            <v>890</v>
          </cell>
        </row>
        <row r="5606">
          <cell r="A5606" t="str">
            <v>SK2015-L</v>
          </cell>
          <cell r="B5606" t="str">
            <v>K2015</v>
          </cell>
          <cell r="C5606" t="str">
            <v>ซาติน เดรส กางเกง zoo tropical ขอบแดง L</v>
          </cell>
          <cell r="E5606">
            <v>0</v>
          </cell>
          <cell r="F5606">
            <v>890</v>
          </cell>
        </row>
        <row r="5607">
          <cell r="A5607" t="str">
            <v>SK2015-M</v>
          </cell>
          <cell r="B5607" t="str">
            <v>K2015</v>
          </cell>
          <cell r="C5607" t="str">
            <v>ซาติน เดรส กางเกง zoo tropical ขอบแดง M</v>
          </cell>
          <cell r="E5607">
            <v>0</v>
          </cell>
          <cell r="F5607">
            <v>890</v>
          </cell>
        </row>
        <row r="5608">
          <cell r="A5608" t="str">
            <v>SK2015-XL</v>
          </cell>
          <cell r="B5608" t="str">
            <v>K2015</v>
          </cell>
          <cell r="C5608" t="str">
            <v>ซาติน เดรส กางเกง zoo tropical ขอบแดง XL</v>
          </cell>
          <cell r="E5608">
            <v>0</v>
          </cell>
          <cell r="F5608">
            <v>890</v>
          </cell>
        </row>
        <row r="5609">
          <cell r="A5609" t="str">
            <v>SK2022-2XL</v>
          </cell>
          <cell r="B5609" t="str">
            <v>K2022</v>
          </cell>
          <cell r="C5609" t="str">
            <v>ซาติน เดรสแขนสั้น กางเกง Crayon Pampas 2XL</v>
          </cell>
          <cell r="E5609">
            <v>8</v>
          </cell>
          <cell r="F5609">
            <v>890</v>
          </cell>
        </row>
        <row r="5610">
          <cell r="A5610" t="str">
            <v>SK2022-L</v>
          </cell>
          <cell r="B5610" t="str">
            <v>K2022</v>
          </cell>
          <cell r="C5610" t="str">
            <v>ซาติน เดรสแขนสั้น กางเกง Crayon Pampas L</v>
          </cell>
          <cell r="E5610">
            <v>8</v>
          </cell>
          <cell r="F5610">
            <v>890</v>
          </cell>
        </row>
        <row r="5611">
          <cell r="A5611" t="str">
            <v>SK2022-M</v>
          </cell>
          <cell r="B5611" t="str">
            <v>K2022</v>
          </cell>
          <cell r="C5611" t="str">
            <v>ซาติน เดรสแขนสั้น กางเกง Crayon Pampas M</v>
          </cell>
          <cell r="E5611">
            <v>10</v>
          </cell>
          <cell r="F5611">
            <v>890</v>
          </cell>
        </row>
        <row r="5612">
          <cell r="A5612" t="str">
            <v>SK2022-XL</v>
          </cell>
          <cell r="B5612" t="str">
            <v>K2022</v>
          </cell>
          <cell r="C5612" t="str">
            <v>ซาติน เดรสแขนสั้น กางเกง Crayon Pampas XL</v>
          </cell>
          <cell r="E5612">
            <v>9</v>
          </cell>
          <cell r="F5612">
            <v>890</v>
          </cell>
        </row>
        <row r="5613">
          <cell r="A5613" t="str">
            <v>SK2023-2XL</v>
          </cell>
          <cell r="B5613" t="str">
            <v>K2023</v>
          </cell>
          <cell r="C5613" t="str">
            <v>ซาติน เดรสแขนสั้น กางเกง Ballet Valley 2XL</v>
          </cell>
          <cell r="E5613">
            <v>5</v>
          </cell>
          <cell r="F5613">
            <v>890</v>
          </cell>
        </row>
        <row r="5614">
          <cell r="A5614" t="str">
            <v>SK2023-L</v>
          </cell>
          <cell r="B5614" t="str">
            <v>K2023</v>
          </cell>
          <cell r="C5614" t="str">
            <v>ซาติน เดรสแขนสั้น กางเกง Ballet Valley L</v>
          </cell>
          <cell r="E5614">
            <v>2</v>
          </cell>
          <cell r="F5614">
            <v>890</v>
          </cell>
        </row>
        <row r="5615">
          <cell r="A5615" t="str">
            <v>SK2023-M</v>
          </cell>
          <cell r="B5615" t="str">
            <v>K2023</v>
          </cell>
          <cell r="C5615" t="str">
            <v>ซาติน เดรสแขนสั้น กางเกง Ballet Valley M</v>
          </cell>
          <cell r="E5615">
            <v>0</v>
          </cell>
          <cell r="F5615">
            <v>890</v>
          </cell>
        </row>
        <row r="5616">
          <cell r="A5616" t="str">
            <v>SK2023-XL</v>
          </cell>
          <cell r="B5616" t="str">
            <v>K2023</v>
          </cell>
          <cell r="C5616" t="str">
            <v>ซาติน เดรสแขนสั้น กางเกง Ballet Valley XL</v>
          </cell>
          <cell r="E5616">
            <v>4</v>
          </cell>
          <cell r="F5616">
            <v>890</v>
          </cell>
        </row>
        <row r="5617">
          <cell r="A5617" t="str">
            <v>SK2028-L</v>
          </cell>
          <cell r="B5617" t="str">
            <v>K2028</v>
          </cell>
          <cell r="C5617" t="str">
            <v>ซาติน เดรสแขนสั้น กางเกง Jolly Bear L</v>
          </cell>
          <cell r="E5617">
            <v>8</v>
          </cell>
          <cell r="F5617">
            <v>890</v>
          </cell>
        </row>
        <row r="5618">
          <cell r="A5618" t="str">
            <v>SK2028-M</v>
          </cell>
          <cell r="B5618" t="str">
            <v>K2028</v>
          </cell>
          <cell r="C5618" t="str">
            <v>ซาติน เดรสแขนสั้น กางเกง Jolly Bear M</v>
          </cell>
          <cell r="E5618">
            <v>10</v>
          </cell>
          <cell r="F5618">
            <v>890</v>
          </cell>
        </row>
        <row r="5619">
          <cell r="A5619" t="str">
            <v>SK2028-XL</v>
          </cell>
          <cell r="B5619" t="str">
            <v>K2028</v>
          </cell>
          <cell r="C5619" t="str">
            <v>ซาติน เดรสแขนสั้น กางเกง Jolly Bear XL</v>
          </cell>
          <cell r="E5619">
            <v>7</v>
          </cell>
          <cell r="F5619">
            <v>890</v>
          </cell>
        </row>
        <row r="5620">
          <cell r="A5620" t="str">
            <v>SK2033-2XL</v>
          </cell>
          <cell r="B5620" t="str">
            <v>K2033</v>
          </cell>
          <cell r="C5620" t="str">
            <v>ซาติน เดรสแขนสั้น กางเกง Christmas Journey 2XL</v>
          </cell>
          <cell r="E5620">
            <v>7</v>
          </cell>
          <cell r="F5620">
            <v>890</v>
          </cell>
        </row>
        <row r="5621">
          <cell r="A5621" t="str">
            <v>SK2033-L</v>
          </cell>
          <cell r="B5621" t="str">
            <v>K2033</v>
          </cell>
          <cell r="C5621" t="str">
            <v>ซาติน เดรสแขนสั้น กางเกง Christmas Journey L</v>
          </cell>
          <cell r="E5621">
            <v>12</v>
          </cell>
          <cell r="F5621">
            <v>890</v>
          </cell>
        </row>
        <row r="5622">
          <cell r="A5622" t="str">
            <v>SK2033-M</v>
          </cell>
          <cell r="B5622" t="str">
            <v>K2033</v>
          </cell>
          <cell r="C5622" t="str">
            <v>ซาติน เดรสแขนสั้น กางเกง Christmas Journey M</v>
          </cell>
          <cell r="E5622">
            <v>8</v>
          </cell>
          <cell r="F5622">
            <v>890</v>
          </cell>
        </row>
        <row r="5623">
          <cell r="A5623" t="str">
            <v>SK2033-XL</v>
          </cell>
          <cell r="B5623" t="str">
            <v>K2033</v>
          </cell>
          <cell r="C5623" t="str">
            <v>ซาติน เดรสแขนสั้น กางเกง Christmas Journey XL</v>
          </cell>
          <cell r="E5623">
            <v>8</v>
          </cell>
          <cell r="F5623">
            <v>890</v>
          </cell>
        </row>
        <row r="5624">
          <cell r="A5624" t="str">
            <v>SK3017-2XL</v>
          </cell>
          <cell r="B5624" t="str">
            <v>K3017</v>
          </cell>
          <cell r="C5624" t="str">
            <v>ซาติน เดรสแขนสั้น teddy bear ลายทาง ม่วงชมพู 2XL</v>
          </cell>
          <cell r="E5624">
            <v>0</v>
          </cell>
          <cell r="F5624">
            <v>890</v>
          </cell>
        </row>
        <row r="5625">
          <cell r="A5625" t="str">
            <v>SK3017-L</v>
          </cell>
          <cell r="B5625" t="str">
            <v>QK3017</v>
          </cell>
          <cell r="C5625" t="str">
            <v>ซาติน เดรสแขนสั้น teddy bear ลายทาง ม่วงชมพู L QC</v>
          </cell>
          <cell r="E5625">
            <v>0</v>
          </cell>
          <cell r="F5625">
            <v>890</v>
          </cell>
        </row>
        <row r="5626">
          <cell r="A5626" t="str">
            <v>SK3017-M</v>
          </cell>
          <cell r="B5626" t="str">
            <v>K3017</v>
          </cell>
          <cell r="C5626" t="str">
            <v>ซาติน เดรสแขนสั้น teddy bear ลายทาง ม่วงชมพู M</v>
          </cell>
          <cell r="E5626">
            <v>0</v>
          </cell>
          <cell r="F5626">
            <v>890</v>
          </cell>
        </row>
        <row r="5627">
          <cell r="A5627" t="str">
            <v>SK3017-XL</v>
          </cell>
          <cell r="B5627" t="str">
            <v>K3017</v>
          </cell>
          <cell r="C5627" t="str">
            <v>ซาติน เดรสแขนสั้น teddy bear ลายทาง ม่วงชมพู XL</v>
          </cell>
          <cell r="E5627">
            <v>0</v>
          </cell>
          <cell r="F5627">
            <v>890</v>
          </cell>
        </row>
        <row r="5628">
          <cell r="A5628" t="str">
            <v>SK3018-2XL</v>
          </cell>
          <cell r="B5628" t="str">
            <v>K3018</v>
          </cell>
          <cell r="C5628" t="str">
            <v>ซาติน เดรสแขนสั้น cat lover พื้นดำ ขอบชมพู 2XL</v>
          </cell>
          <cell r="E5628">
            <v>0</v>
          </cell>
          <cell r="F5628">
            <v>890</v>
          </cell>
        </row>
        <row r="5629">
          <cell r="A5629" t="str">
            <v>SK3018-L</v>
          </cell>
          <cell r="B5629" t="str">
            <v>K3018</v>
          </cell>
          <cell r="C5629" t="str">
            <v>ซาติน เดรสแขนสั้น cat lover พื้นดำ ขอบชมพู L</v>
          </cell>
          <cell r="E5629">
            <v>2</v>
          </cell>
          <cell r="F5629">
            <v>890</v>
          </cell>
        </row>
        <row r="5630">
          <cell r="A5630" t="str">
            <v>SK3018-M</v>
          </cell>
          <cell r="B5630" t="str">
            <v>K3018</v>
          </cell>
          <cell r="C5630" t="str">
            <v>ซาติน เดรสแขนสั้น cat lover พื้นดำ ขอบชมพู M</v>
          </cell>
          <cell r="E5630">
            <v>0</v>
          </cell>
          <cell r="F5630">
            <v>890</v>
          </cell>
        </row>
        <row r="5631">
          <cell r="A5631" t="str">
            <v>SK3018-XL</v>
          </cell>
          <cell r="B5631" t="str">
            <v>K3018</v>
          </cell>
          <cell r="C5631" t="str">
            <v>ซาติน เดรสแขนสั้น cat lover พื้นดำ ขอบชมพู XL</v>
          </cell>
          <cell r="E5631">
            <v>0</v>
          </cell>
          <cell r="F5631">
            <v>890</v>
          </cell>
        </row>
        <row r="5632">
          <cell r="A5632" t="str">
            <v>SKSK006-L</v>
          </cell>
          <cell r="B5632" t="str">
            <v>K6</v>
          </cell>
          <cell r="E5632">
            <v>0</v>
          </cell>
          <cell r="F5632">
            <v>0</v>
          </cell>
        </row>
        <row r="5633">
          <cell r="A5633" t="str">
            <v>SL0001-2XL</v>
          </cell>
          <cell r="B5633" t="str">
            <v>L1</v>
          </cell>
          <cell r="C5633" t="str">
            <v>ซาติน สี่ส่วน พื้นเขียวมินท์ ลูกไม้ 2XL</v>
          </cell>
          <cell r="E5633">
            <v>0</v>
          </cell>
          <cell r="F5633">
            <v>850</v>
          </cell>
        </row>
        <row r="5634">
          <cell r="A5634" t="str">
            <v>SL0001-L</v>
          </cell>
          <cell r="B5634" t="str">
            <v>L1</v>
          </cell>
          <cell r="C5634" t="str">
            <v>ซาติน สี่ส่วน พื้นเขียวมินท์ ลูกไม้ L</v>
          </cell>
          <cell r="E5634">
            <v>0</v>
          </cell>
          <cell r="F5634">
            <v>850</v>
          </cell>
        </row>
        <row r="5635">
          <cell r="A5635" t="str">
            <v>SL0001-M</v>
          </cell>
          <cell r="B5635" t="str">
            <v>L1</v>
          </cell>
          <cell r="C5635" t="str">
            <v>ซาติน สี่ส่วน พื้นเขียวมินท์ ลูกไม้ M</v>
          </cell>
          <cell r="E5635">
            <v>0</v>
          </cell>
          <cell r="F5635">
            <v>850</v>
          </cell>
        </row>
        <row r="5636">
          <cell r="A5636" t="str">
            <v>SL0001-XL</v>
          </cell>
          <cell r="B5636" t="str">
            <v>L1</v>
          </cell>
          <cell r="C5636" t="str">
            <v>ซาติน สี่ส่วน พื้นเขียวมินท์ ลูกไม้ XL</v>
          </cell>
          <cell r="E5636">
            <v>0</v>
          </cell>
          <cell r="F5636">
            <v>850</v>
          </cell>
        </row>
        <row r="5637">
          <cell r="A5637" t="str">
            <v>SL0002-2XL</v>
          </cell>
          <cell r="B5637" t="str">
            <v>L2</v>
          </cell>
          <cell r="C5637" t="str">
            <v>ซาติน สี่ส่วน พื้นกรม ลูกไม้ 2XL</v>
          </cell>
          <cell r="E5637">
            <v>0</v>
          </cell>
          <cell r="F5637">
            <v>850</v>
          </cell>
        </row>
        <row r="5638">
          <cell r="A5638" t="str">
            <v>SL0002-L</v>
          </cell>
          <cell r="B5638" t="str">
            <v>L2</v>
          </cell>
          <cell r="C5638" t="str">
            <v>ซาติน สี่ส่วน พื้นกรม ลูกไม้ L</v>
          </cell>
          <cell r="E5638">
            <v>0</v>
          </cell>
          <cell r="F5638">
            <v>850</v>
          </cell>
        </row>
        <row r="5639">
          <cell r="A5639" t="str">
            <v>SL0002-M</v>
          </cell>
          <cell r="B5639" t="str">
            <v>L2</v>
          </cell>
          <cell r="C5639" t="str">
            <v>ซาติน สี่ส่วน พื้นกรม ลูกไม้ M</v>
          </cell>
          <cell r="E5639">
            <v>0</v>
          </cell>
          <cell r="F5639">
            <v>850</v>
          </cell>
        </row>
        <row r="5640">
          <cell r="A5640" t="str">
            <v>SL0002-XL</v>
          </cell>
          <cell r="B5640" t="str">
            <v>L2</v>
          </cell>
          <cell r="C5640" t="str">
            <v>ซาติน สี่ส่วน พื้นกรม ลูกไม้ XL</v>
          </cell>
          <cell r="E5640">
            <v>0</v>
          </cell>
          <cell r="F5640">
            <v>850</v>
          </cell>
        </row>
        <row r="5641">
          <cell r="A5641" t="str">
            <v>SL0003-2XL</v>
          </cell>
          <cell r="B5641" t="str">
            <v>JL3</v>
          </cell>
          <cell r="C5641" t="str">
            <v>ซาติน สี่ส่วน พื้นแดง ลูกไม้ 2XL ตัวโชว์</v>
          </cell>
          <cell r="E5641">
            <v>0</v>
          </cell>
          <cell r="F5641">
            <v>850</v>
          </cell>
        </row>
        <row r="5642">
          <cell r="A5642" t="str">
            <v>SL0003-L</v>
          </cell>
          <cell r="B5642" t="str">
            <v>JL3</v>
          </cell>
          <cell r="C5642" t="str">
            <v>ซาติน สี่ส่วน พื้นแดง ลูกไม้ L ตัวโชว์</v>
          </cell>
          <cell r="E5642">
            <v>0</v>
          </cell>
          <cell r="F5642">
            <v>850</v>
          </cell>
        </row>
        <row r="5643">
          <cell r="A5643" t="str">
            <v>SL0003-M</v>
          </cell>
          <cell r="B5643" t="str">
            <v>JL3</v>
          </cell>
          <cell r="C5643" t="str">
            <v>ซาติน สี่ส่วน พื้นแดง ลูกไม้ M ตัวโชว์</v>
          </cell>
          <cell r="E5643">
            <v>0</v>
          </cell>
          <cell r="F5643">
            <v>850</v>
          </cell>
        </row>
        <row r="5644">
          <cell r="A5644" t="str">
            <v>SL0003-XL</v>
          </cell>
          <cell r="B5644" t="str">
            <v>L3</v>
          </cell>
          <cell r="C5644" t="str">
            <v>ซาติน สี่ส่วน พื้นแดง ลูกไม้ XL</v>
          </cell>
          <cell r="E5644">
            <v>0</v>
          </cell>
          <cell r="F5644">
            <v>850</v>
          </cell>
        </row>
        <row r="5645">
          <cell r="A5645" t="str">
            <v>SL0004-2XL</v>
          </cell>
          <cell r="B5645" t="str">
            <v>L4</v>
          </cell>
          <cell r="C5645" t="str">
            <v>ซาติน สี่ส่วน พื้นม่วงอ่อน ลูกไม้ 2XL</v>
          </cell>
          <cell r="E5645">
            <v>0</v>
          </cell>
          <cell r="F5645">
            <v>850</v>
          </cell>
        </row>
        <row r="5646">
          <cell r="A5646" t="str">
            <v>SL0004-L</v>
          </cell>
          <cell r="B5646" t="str">
            <v>L4</v>
          </cell>
          <cell r="C5646" t="str">
            <v>ซาติน สี่ส่วน พื้นม่วงอ่อน ลูกไม้ L</v>
          </cell>
          <cell r="E5646">
            <v>0</v>
          </cell>
          <cell r="F5646">
            <v>850</v>
          </cell>
        </row>
        <row r="5647">
          <cell r="A5647" t="str">
            <v>SL0004-M</v>
          </cell>
          <cell r="B5647" t="str">
            <v>L4</v>
          </cell>
          <cell r="C5647" t="str">
            <v>ซาติน สี่ส่วน พื้นม่วงอ่อน ลูกไม้ M</v>
          </cell>
          <cell r="E5647">
            <v>0</v>
          </cell>
          <cell r="F5647">
            <v>850</v>
          </cell>
        </row>
        <row r="5648">
          <cell r="A5648" t="str">
            <v>SL0004-XL</v>
          </cell>
          <cell r="B5648" t="str">
            <v>L4</v>
          </cell>
          <cell r="C5648" t="str">
            <v>ซาติน สี่ส่วน พื้นม่วงอ่อน ลูกไม้ XL</v>
          </cell>
          <cell r="E5648">
            <v>0</v>
          </cell>
          <cell r="F5648">
            <v>850</v>
          </cell>
        </row>
        <row r="5649">
          <cell r="A5649" t="str">
            <v>SL0005-2XL</v>
          </cell>
          <cell r="B5649" t="str">
            <v>QL5</v>
          </cell>
          <cell r="C5649" t="str">
            <v>ซาติน สี่ส่วน พื้นชมพูอ่อน ลูกไม้ 2XL QC</v>
          </cell>
          <cell r="E5649">
            <v>0</v>
          </cell>
          <cell r="F5649">
            <v>850</v>
          </cell>
        </row>
        <row r="5650">
          <cell r="A5650" t="str">
            <v>SL0005-L</v>
          </cell>
          <cell r="B5650" t="str">
            <v>L5</v>
          </cell>
          <cell r="C5650" t="str">
            <v>ซาติน สี่ส่วน พื้นชมพูอ่อน ลูกไม้ L</v>
          </cell>
          <cell r="E5650">
            <v>0</v>
          </cell>
          <cell r="F5650">
            <v>850</v>
          </cell>
        </row>
        <row r="5651">
          <cell r="A5651" t="str">
            <v>SL0005-M</v>
          </cell>
          <cell r="B5651" t="str">
            <v>L5</v>
          </cell>
          <cell r="C5651" t="str">
            <v>ซาติน สี่ส่วน พื้นชมพูอ่อน ลูกไม้ M</v>
          </cell>
          <cell r="E5651">
            <v>0</v>
          </cell>
          <cell r="F5651">
            <v>850</v>
          </cell>
        </row>
        <row r="5652">
          <cell r="A5652" t="str">
            <v>SL0005-XL</v>
          </cell>
          <cell r="B5652" t="str">
            <v>L5</v>
          </cell>
          <cell r="C5652" t="str">
            <v>ซาติน สี่ส่วน พื้นชมพูอ่อน ลูกไม้ XL</v>
          </cell>
          <cell r="E5652">
            <v>0</v>
          </cell>
          <cell r="F5652">
            <v>850</v>
          </cell>
        </row>
        <row r="5653">
          <cell r="A5653" t="str">
            <v>SL0006-2XL</v>
          </cell>
          <cell r="B5653" t="str">
            <v>L6</v>
          </cell>
          <cell r="C5653" t="str">
            <v>ซาติน แขนสั้นขาสี่ส่วน Pancake And Flowers 2XL (กปก)</v>
          </cell>
          <cell r="E5653">
            <v>0</v>
          </cell>
          <cell r="F5653">
            <v>850</v>
          </cell>
        </row>
        <row r="5654">
          <cell r="A5654" t="str">
            <v>SL0006-3XL</v>
          </cell>
          <cell r="B5654" t="str">
            <v>L6</v>
          </cell>
          <cell r="C5654" t="str">
            <v>ซาติน แขนสั้นขาสี่ส่วน Pancake And Flowers 3XL (กปก)</v>
          </cell>
          <cell r="E5654">
            <v>0</v>
          </cell>
          <cell r="F5654">
            <v>890</v>
          </cell>
        </row>
        <row r="5655">
          <cell r="A5655" t="str">
            <v>SL0006-L</v>
          </cell>
          <cell r="B5655" t="str">
            <v>L6</v>
          </cell>
          <cell r="C5655" t="str">
            <v>ซาติน แขนสั้นขาสี่ส่วน Pancake And Flowers L (กปก)</v>
          </cell>
          <cell r="E5655">
            <v>0</v>
          </cell>
          <cell r="F5655">
            <v>890</v>
          </cell>
        </row>
        <row r="5656">
          <cell r="A5656" t="str">
            <v>SL0006-M</v>
          </cell>
          <cell r="B5656" t="str">
            <v>QL6</v>
          </cell>
          <cell r="C5656" t="str">
            <v>ซาติน แขนสั้นขาสี่ส่วน Pancake And Flowers M (กปก) QC</v>
          </cell>
          <cell r="E5656">
            <v>0</v>
          </cell>
          <cell r="F5656">
            <v>850</v>
          </cell>
        </row>
        <row r="5657">
          <cell r="A5657" t="str">
            <v>SL0006-XL</v>
          </cell>
          <cell r="B5657" t="str">
            <v>L6</v>
          </cell>
          <cell r="C5657" t="str">
            <v>ซาติน แขนสั้นขาสี่ส่วน Pancake And Flowers XL (กปก)</v>
          </cell>
          <cell r="E5657">
            <v>0</v>
          </cell>
          <cell r="F5657">
            <v>850</v>
          </cell>
        </row>
        <row r="5658">
          <cell r="A5658" t="str">
            <v>SL0007-2XL</v>
          </cell>
          <cell r="B5658" t="str">
            <v>L7</v>
          </cell>
          <cell r="C5658" t="str">
            <v>ซาติน แขนสั้นขาสี่ส่วน ควีน สตรอเบอร์รี่ พื้นชมพู 2XL (กปก)</v>
          </cell>
          <cell r="E5658">
            <v>0</v>
          </cell>
          <cell r="F5658">
            <v>850</v>
          </cell>
        </row>
        <row r="5659">
          <cell r="A5659" t="str">
            <v>SL0007-3XL</v>
          </cell>
          <cell r="B5659" t="str">
            <v>L7</v>
          </cell>
          <cell r="C5659" t="str">
            <v>ซาติน แขนสั้นขาสี่ส่วน ควีน สตรอเบอร์รี่ พื้นชมพู 3XL (กปก)</v>
          </cell>
          <cell r="E5659">
            <v>0</v>
          </cell>
          <cell r="F5659">
            <v>850</v>
          </cell>
        </row>
        <row r="5660">
          <cell r="A5660" t="str">
            <v>SL0007-L</v>
          </cell>
          <cell r="B5660" t="str">
            <v>L7</v>
          </cell>
          <cell r="C5660" t="str">
            <v>ซาติน แขนสั้นขาสี่ส่วน ควีน สตรอเบอร์รี่ พื้นชมพู L (กปก)</v>
          </cell>
          <cell r="E5660">
            <v>0</v>
          </cell>
          <cell r="F5660">
            <v>850</v>
          </cell>
        </row>
        <row r="5661">
          <cell r="A5661" t="str">
            <v>SL0007-M</v>
          </cell>
          <cell r="B5661" t="str">
            <v>QL7</v>
          </cell>
          <cell r="C5661" t="str">
            <v>ซาติน แขนสั้นขาสี่ส่วน ควีน สตรอเบอร์รี่ พื้นชมพู M (กปก) QC</v>
          </cell>
          <cell r="E5661">
            <v>0</v>
          </cell>
          <cell r="F5661">
            <v>890</v>
          </cell>
        </row>
        <row r="5662">
          <cell r="A5662" t="str">
            <v>SL0007-XL</v>
          </cell>
          <cell r="B5662" t="str">
            <v>L7</v>
          </cell>
          <cell r="C5662" t="str">
            <v>ซาติน แขนสั้นขาสี่ส่วน ควีน สตรอเบอร์รี่ พื้นชมพู XL (กปก)</v>
          </cell>
          <cell r="E5662">
            <v>0</v>
          </cell>
          <cell r="F5662">
            <v>850</v>
          </cell>
        </row>
        <row r="5663">
          <cell r="A5663" t="str">
            <v>SL0035-2XL</v>
          </cell>
          <cell r="B5663" t="str">
            <v>JL35</v>
          </cell>
          <cell r="C5663" t="str">
            <v>ซาติน แขนสั้นขาสี่ส่วน ฟรุตตี้ 2XL (กปก)</v>
          </cell>
          <cell r="E5663">
            <v>0</v>
          </cell>
          <cell r="F5663">
            <v>850</v>
          </cell>
        </row>
        <row r="5664">
          <cell r="A5664" t="str">
            <v>SL0035-L</v>
          </cell>
          <cell r="B5664" t="str">
            <v>L35</v>
          </cell>
          <cell r="C5664" t="str">
            <v>ซาติน แขนสั้นขาสี่ส่วน ฟรุตตี้ L (กปก)</v>
          </cell>
          <cell r="E5664">
            <v>0</v>
          </cell>
          <cell r="F5664">
            <v>850</v>
          </cell>
        </row>
        <row r="5665">
          <cell r="A5665" t="str">
            <v>SL0035-M</v>
          </cell>
          <cell r="B5665" t="str">
            <v>JL35</v>
          </cell>
          <cell r="C5665" t="str">
            <v>ซาติน แขนสั้นขาสี่ส่วน ฟรุตตี้ M (กปก) ตัวโชว์</v>
          </cell>
          <cell r="E5665">
            <v>0</v>
          </cell>
          <cell r="F5665">
            <v>850</v>
          </cell>
        </row>
        <row r="5666">
          <cell r="A5666" t="str">
            <v>SL0035-XL</v>
          </cell>
          <cell r="B5666" t="str">
            <v>JL35</v>
          </cell>
          <cell r="C5666" t="str">
            <v>ซาติน แขนสั้นขาสี่ส่วน ฟรุตตี้ XL (กปก) ตัวโชว์</v>
          </cell>
          <cell r="E5666">
            <v>0</v>
          </cell>
          <cell r="F5666">
            <v>850</v>
          </cell>
        </row>
        <row r="5667">
          <cell r="A5667" t="str">
            <v>SL0128-2XL</v>
          </cell>
          <cell r="B5667" t="str">
            <v>L128</v>
          </cell>
          <cell r="C5667" t="str">
            <v>ซาติน แขนสั้นขาสี่ส่วน ผีเสื้อดอกไม้ เขียว 2XL (กปก)</v>
          </cell>
          <cell r="E5667">
            <v>0</v>
          </cell>
          <cell r="F5667">
            <v>890</v>
          </cell>
        </row>
        <row r="5668">
          <cell r="A5668" t="str">
            <v>SL0128-3XL</v>
          </cell>
          <cell r="B5668" t="str">
            <v>L128</v>
          </cell>
          <cell r="C5668" t="str">
            <v>ซาติน แขนสั้นขาสี่ส่วน ผีเสื้อดอกไม้ เขียว 3XL (กปก)</v>
          </cell>
          <cell r="E5668">
            <v>0</v>
          </cell>
          <cell r="F5668">
            <v>890</v>
          </cell>
        </row>
        <row r="5669">
          <cell r="A5669" t="str">
            <v>SL0128-L</v>
          </cell>
          <cell r="B5669" t="str">
            <v>L128</v>
          </cell>
          <cell r="C5669" t="str">
            <v>ซาติน แขนสั้นขาสี่ส่วน ผีเสื้อดอกไม้ เขียว L (กปก)</v>
          </cell>
          <cell r="E5669">
            <v>0</v>
          </cell>
          <cell r="F5669">
            <v>850</v>
          </cell>
        </row>
        <row r="5670">
          <cell r="A5670" t="str">
            <v>SL0128-M</v>
          </cell>
          <cell r="B5670" t="str">
            <v>L128</v>
          </cell>
          <cell r="C5670" t="str">
            <v>ซาติน แขนสั้นขาสี่ส่วน ผีเสื้อดอกไม้ เขียว M (กปก)</v>
          </cell>
          <cell r="E5670">
            <v>0</v>
          </cell>
          <cell r="F5670">
            <v>890</v>
          </cell>
        </row>
        <row r="5671">
          <cell r="A5671" t="str">
            <v>SL0128-XL</v>
          </cell>
          <cell r="B5671" t="str">
            <v>L128</v>
          </cell>
          <cell r="C5671" t="str">
            <v>ซาติน แขนสั้นขาสี่ส่วน ผีเสื้อดอกไม้ เขียว XL (กปก)</v>
          </cell>
          <cell r="E5671">
            <v>0</v>
          </cell>
          <cell r="F5671">
            <v>850</v>
          </cell>
        </row>
        <row r="5672">
          <cell r="A5672" t="str">
            <v>SL0237-2XL</v>
          </cell>
          <cell r="B5672" t="str">
            <v>L237</v>
          </cell>
          <cell r="C5672" t="str">
            <v>ซาติน แขนสั้นขาสี่ส่วน ภาพวาด 2XL (กปก)</v>
          </cell>
          <cell r="E5672">
            <v>0</v>
          </cell>
          <cell r="F5672">
            <v>850</v>
          </cell>
        </row>
        <row r="5673">
          <cell r="A5673" t="str">
            <v>SL0237-L</v>
          </cell>
          <cell r="B5673" t="str">
            <v>L237</v>
          </cell>
          <cell r="C5673" t="str">
            <v>ซาติน แขนสั้นขาสี่ส่วน ภาพวาด L (กปก)</v>
          </cell>
          <cell r="E5673">
            <v>0</v>
          </cell>
          <cell r="F5673">
            <v>850</v>
          </cell>
        </row>
        <row r="5674">
          <cell r="A5674" t="str">
            <v>SL0237-M</v>
          </cell>
          <cell r="B5674" t="str">
            <v>L237</v>
          </cell>
          <cell r="C5674" t="str">
            <v>ซาติน แขนสั้นขาสี่ส่วน ภาพวาด M (กปก)</v>
          </cell>
          <cell r="E5674">
            <v>0</v>
          </cell>
          <cell r="F5674">
            <v>850</v>
          </cell>
        </row>
        <row r="5675">
          <cell r="A5675" t="str">
            <v>SL0237-XL</v>
          </cell>
          <cell r="B5675" t="str">
            <v>L237</v>
          </cell>
          <cell r="C5675" t="str">
            <v>ซาติน แขนสั้นขาสี่ส่วน ภาพวาด XL (กปก)</v>
          </cell>
          <cell r="E5675">
            <v>0</v>
          </cell>
          <cell r="F5675">
            <v>850</v>
          </cell>
        </row>
        <row r="5676">
          <cell r="A5676" t="str">
            <v>SL0320-2XL</v>
          </cell>
          <cell r="B5676" t="str">
            <v>L320</v>
          </cell>
          <cell r="C5676" t="str">
            <v>ซาติน แขนสั้นขาสี่ส่วน ลายมะพร้าว สีพาสเทล 2XL (กปก)</v>
          </cell>
          <cell r="E5676">
            <v>0</v>
          </cell>
          <cell r="F5676">
            <v>850</v>
          </cell>
        </row>
        <row r="5677">
          <cell r="A5677" t="str">
            <v>SL0320-3XL</v>
          </cell>
          <cell r="B5677" t="str">
            <v>L320</v>
          </cell>
          <cell r="C5677" t="str">
            <v>ซาติน แขนสั้นขาสี่ส่วน ลายมะพร้าว สีพาสเทล 3XL (กปก)</v>
          </cell>
          <cell r="E5677">
            <v>0</v>
          </cell>
          <cell r="F5677">
            <v>850</v>
          </cell>
        </row>
        <row r="5678">
          <cell r="A5678" t="str">
            <v>SL0320-L</v>
          </cell>
          <cell r="B5678" t="str">
            <v>L320</v>
          </cell>
          <cell r="C5678" t="str">
            <v>ซาติน แขนสั้นขาสี่ส่วน ลายมะพร้าว สีพาสเทล L (กปก)</v>
          </cell>
          <cell r="E5678">
            <v>0</v>
          </cell>
          <cell r="F5678">
            <v>850</v>
          </cell>
        </row>
        <row r="5679">
          <cell r="A5679" t="str">
            <v>SL0320-M</v>
          </cell>
          <cell r="B5679" t="str">
            <v>L320</v>
          </cell>
          <cell r="C5679" t="str">
            <v>ซาติน แขนสั้นขาสี่ส่วน ลายมะพร้าว สีพาสเทล M (กปก)</v>
          </cell>
          <cell r="E5679">
            <v>0</v>
          </cell>
          <cell r="F5679">
            <v>890</v>
          </cell>
        </row>
        <row r="5680">
          <cell r="A5680" t="str">
            <v>SL0320-XL</v>
          </cell>
          <cell r="B5680" t="str">
            <v>L320</v>
          </cell>
          <cell r="C5680" t="str">
            <v>ซาติน แขนสั้นขาสี่ส่วน ลายมะพร้าว สีพาสเทล XL (กปก)</v>
          </cell>
          <cell r="E5680">
            <v>0</v>
          </cell>
          <cell r="F5680">
            <v>850</v>
          </cell>
        </row>
        <row r="5681">
          <cell r="A5681" t="str">
            <v>SL0326-2XL</v>
          </cell>
          <cell r="B5681" t="str">
            <v>L326</v>
          </cell>
          <cell r="C5681" t="str">
            <v>ซาติน แขนสั้นขาสี่ส่วน แคนวาส พื้นครีม 2XL กปก</v>
          </cell>
          <cell r="E5681">
            <v>0</v>
          </cell>
          <cell r="F5681">
            <v>850</v>
          </cell>
        </row>
        <row r="5682">
          <cell r="A5682" t="str">
            <v>SL0326-3XL</v>
          </cell>
          <cell r="B5682" t="str">
            <v>L326</v>
          </cell>
          <cell r="C5682" t="str">
            <v>ซาติน แขนสั้นขาสี่ส่วน แคนวาส พื้นครีม 3XL กปก</v>
          </cell>
          <cell r="E5682">
            <v>0</v>
          </cell>
          <cell r="F5682">
            <v>890</v>
          </cell>
        </row>
        <row r="5683">
          <cell r="A5683" t="str">
            <v>SL0326-L</v>
          </cell>
          <cell r="B5683" t="str">
            <v>L326</v>
          </cell>
          <cell r="C5683" t="str">
            <v>ซาติน แขนสั้นขาสี่ส่วน แคนวาส พื้นครีม L กปก</v>
          </cell>
          <cell r="E5683">
            <v>0</v>
          </cell>
          <cell r="F5683">
            <v>850</v>
          </cell>
        </row>
        <row r="5684">
          <cell r="A5684" t="str">
            <v>SL0326-M</v>
          </cell>
          <cell r="B5684" t="str">
            <v>L326</v>
          </cell>
          <cell r="C5684" t="str">
            <v>ซาติน แขนสั้นขาสี่ส่วน แคนวาส พื้นครีม M กปก</v>
          </cell>
          <cell r="E5684">
            <v>0</v>
          </cell>
          <cell r="F5684">
            <v>590</v>
          </cell>
        </row>
        <row r="5685">
          <cell r="A5685" t="str">
            <v>SL0326-XL</v>
          </cell>
          <cell r="B5685" t="str">
            <v>L326</v>
          </cell>
          <cell r="C5685" t="str">
            <v>ซาติน แขนสั้นขาสี่ส่วน แคนวาส พื้นครีม XL กปก</v>
          </cell>
          <cell r="E5685">
            <v>0</v>
          </cell>
          <cell r="F5685">
            <v>850</v>
          </cell>
        </row>
        <row r="5686">
          <cell r="A5686" t="str">
            <v>SL0330-2XL</v>
          </cell>
          <cell r="B5686" t="str">
            <v>L330</v>
          </cell>
          <cell r="C5686" t="str">
            <v>ซาติน แขนสั้นขาสี่ส่วน ปีกัสโซ่ 2XL (กปก)</v>
          </cell>
          <cell r="E5686">
            <v>0</v>
          </cell>
          <cell r="F5686">
            <v>890</v>
          </cell>
        </row>
        <row r="5687">
          <cell r="A5687" t="str">
            <v>SL0330-3XL</v>
          </cell>
          <cell r="B5687" t="str">
            <v>L330</v>
          </cell>
          <cell r="C5687" t="str">
            <v>ซาติน แขนสั้นขาสี่ส่วน ปีกัสโซ่ 3XL (กปก)</v>
          </cell>
          <cell r="E5687">
            <v>0</v>
          </cell>
          <cell r="F5687">
            <v>850</v>
          </cell>
        </row>
        <row r="5688">
          <cell r="A5688" t="str">
            <v>SL0330-L</v>
          </cell>
          <cell r="B5688" t="str">
            <v>L330</v>
          </cell>
          <cell r="C5688" t="str">
            <v>ซาติน แขนสั้นขาสี่ส่วน ปีกัสโซ่ L (กปก)</v>
          </cell>
          <cell r="E5688">
            <v>0</v>
          </cell>
          <cell r="F5688">
            <v>890</v>
          </cell>
        </row>
        <row r="5689">
          <cell r="A5689" t="str">
            <v>SL0330-M</v>
          </cell>
          <cell r="B5689" t="str">
            <v>L330</v>
          </cell>
          <cell r="C5689" t="str">
            <v>ซาติน แขนสั้นขาสี่ส่วน ปีกัสโซ่ M (กปก)</v>
          </cell>
          <cell r="E5689">
            <v>0</v>
          </cell>
          <cell r="F5689">
            <v>890</v>
          </cell>
        </row>
        <row r="5690">
          <cell r="A5690" t="str">
            <v>SL0330-XL</v>
          </cell>
          <cell r="B5690" t="str">
            <v>L330</v>
          </cell>
          <cell r="C5690" t="str">
            <v>ซาติน แขนสั้นขาสี่ส่วน ปีกัสโซ่ XL (กปก)</v>
          </cell>
          <cell r="E5690">
            <v>0</v>
          </cell>
          <cell r="F5690">
            <v>890</v>
          </cell>
        </row>
        <row r="5691">
          <cell r="A5691" t="str">
            <v>SL0333-2XL</v>
          </cell>
          <cell r="B5691" t="str">
            <v>QL333</v>
          </cell>
          <cell r="C5691" t="str">
            <v>ซาติน แขนสั้นขาสี่ส่วน ชมพู นู้ด 2XL (กปก)</v>
          </cell>
          <cell r="E5691">
            <v>0</v>
          </cell>
          <cell r="F5691">
            <v>850</v>
          </cell>
        </row>
        <row r="5692">
          <cell r="A5692" t="str">
            <v>SL0333-L</v>
          </cell>
          <cell r="B5692" t="str">
            <v>BL333</v>
          </cell>
          <cell r="C5692" t="str">
            <v>ซาติน แขนสั้นขาสี่ส่วน ชมพู นู้ด L (กปก)</v>
          </cell>
          <cell r="E5692">
            <v>0</v>
          </cell>
          <cell r="F5692">
            <v>850</v>
          </cell>
        </row>
        <row r="5693">
          <cell r="A5693" t="str">
            <v>SL0333-M</v>
          </cell>
          <cell r="B5693" t="str">
            <v>L333</v>
          </cell>
          <cell r="C5693" t="str">
            <v>ซาติน แขนสั้นขาสี่ส่วน ชมพู นู้ด M (กปก)</v>
          </cell>
          <cell r="E5693">
            <v>0</v>
          </cell>
          <cell r="F5693">
            <v>850</v>
          </cell>
        </row>
        <row r="5694">
          <cell r="A5694" t="str">
            <v>SL0333-XL</v>
          </cell>
          <cell r="B5694" t="str">
            <v>L333</v>
          </cell>
          <cell r="C5694" t="str">
            <v>ซาติน แขนสั้นขาสี่ส่วน ชมพู นู้ด XL (กปก)</v>
          </cell>
          <cell r="E5694">
            <v>0</v>
          </cell>
          <cell r="F5694">
            <v>850</v>
          </cell>
        </row>
        <row r="5695">
          <cell r="A5695" t="str">
            <v>SL0334-2XL</v>
          </cell>
          <cell r="B5695" t="str">
            <v>L334</v>
          </cell>
          <cell r="C5695" t="str">
            <v>ซาติน แขนสั้นขาสี่ส่วน สีกรมเข้ม 2XL (กปก)</v>
          </cell>
          <cell r="E5695">
            <v>0</v>
          </cell>
          <cell r="F5695">
            <v>850</v>
          </cell>
        </row>
        <row r="5696">
          <cell r="A5696" t="str">
            <v>SL0334-L</v>
          </cell>
          <cell r="B5696" t="str">
            <v>L334</v>
          </cell>
          <cell r="C5696" t="str">
            <v>ซาติน แขนสั้นขาสี่ส่วน สีกรมเข้ม L (กปก)</v>
          </cell>
          <cell r="E5696">
            <v>0</v>
          </cell>
          <cell r="F5696">
            <v>850</v>
          </cell>
        </row>
        <row r="5697">
          <cell r="A5697" t="str">
            <v>SL0334-M</v>
          </cell>
          <cell r="B5697" t="str">
            <v>L334</v>
          </cell>
          <cell r="C5697" t="str">
            <v>ซาติน แขนสั้นขาสี่ส่วน สีกรมเข้ม M (กปก)</v>
          </cell>
          <cell r="E5697">
            <v>0</v>
          </cell>
          <cell r="F5697">
            <v>850</v>
          </cell>
        </row>
        <row r="5698">
          <cell r="A5698" t="str">
            <v>SL0334-XL</v>
          </cell>
          <cell r="B5698" t="str">
            <v>L334</v>
          </cell>
          <cell r="C5698" t="str">
            <v>ซาติน แขนสั้นขาสี่ส่วน สีกรมเข้ม XL (กปก)</v>
          </cell>
          <cell r="E5698">
            <v>0</v>
          </cell>
          <cell r="F5698">
            <v>850</v>
          </cell>
        </row>
        <row r="5699">
          <cell r="A5699" t="str">
            <v>SL0347-2XL</v>
          </cell>
          <cell r="B5699" t="str">
            <v>L347</v>
          </cell>
          <cell r="C5699" t="str">
            <v>ซาติน แขนสั้นขาสี่ส่วน Coral Sea 2XL (กปก)</v>
          </cell>
          <cell r="E5699">
            <v>0</v>
          </cell>
          <cell r="F5699">
            <v>890</v>
          </cell>
        </row>
        <row r="5700">
          <cell r="A5700" t="str">
            <v>SL0347-3XL</v>
          </cell>
          <cell r="B5700" t="str">
            <v>L347</v>
          </cell>
          <cell r="C5700" t="str">
            <v>ซาติน แขนสั้นขาสี่ส่วน Coral Sea 3XL (กปก)</v>
          </cell>
          <cell r="E5700">
            <v>0</v>
          </cell>
          <cell r="F5700">
            <v>850</v>
          </cell>
        </row>
        <row r="5701">
          <cell r="A5701" t="str">
            <v>SL0347-L</v>
          </cell>
          <cell r="B5701" t="str">
            <v>L347</v>
          </cell>
          <cell r="C5701" t="str">
            <v>ซาติน แขนสั้นขาสี่ส่วน Coral Sea L (กปก)</v>
          </cell>
          <cell r="E5701">
            <v>0</v>
          </cell>
          <cell r="F5701">
            <v>590</v>
          </cell>
        </row>
        <row r="5702">
          <cell r="A5702" t="str">
            <v>SL0347-M</v>
          </cell>
          <cell r="B5702" t="str">
            <v>L347</v>
          </cell>
          <cell r="C5702" t="str">
            <v>ซาติน แขนสั้นขาสี่ส่วน Coral Sea M (กปก)</v>
          </cell>
          <cell r="E5702">
            <v>0</v>
          </cell>
          <cell r="F5702">
            <v>890</v>
          </cell>
        </row>
        <row r="5703">
          <cell r="A5703" t="str">
            <v>SL0347-XL</v>
          </cell>
          <cell r="B5703" t="str">
            <v>L347</v>
          </cell>
          <cell r="C5703" t="str">
            <v>ซาติน แขนสั้นขาสี่ส่วน Coral Sea XL (กปก)</v>
          </cell>
          <cell r="E5703">
            <v>0</v>
          </cell>
          <cell r="F5703">
            <v>890</v>
          </cell>
        </row>
        <row r="5704">
          <cell r="A5704" t="str">
            <v>SL0348-2XL</v>
          </cell>
          <cell r="B5704" t="str">
            <v>L348</v>
          </cell>
          <cell r="C5704" t="str">
            <v>ซาติน แขนสั้นขาสี่ส่วน กวางเรนเดียร์ 2XL</v>
          </cell>
          <cell r="E5704">
            <v>0</v>
          </cell>
          <cell r="F5704">
            <v>850</v>
          </cell>
        </row>
        <row r="5705">
          <cell r="A5705" t="str">
            <v>SL0348-L</v>
          </cell>
          <cell r="B5705" t="str">
            <v>L348</v>
          </cell>
          <cell r="C5705" t="str">
            <v>ซาติน แขนสั้นขาสี่ส่วน กวางเรนเดียร์ L</v>
          </cell>
          <cell r="E5705">
            <v>0</v>
          </cell>
          <cell r="F5705">
            <v>850</v>
          </cell>
        </row>
        <row r="5706">
          <cell r="A5706" t="str">
            <v>SL0348-M</v>
          </cell>
          <cell r="B5706" t="str">
            <v>L348</v>
          </cell>
          <cell r="C5706" t="str">
            <v>ซาติน แขนสั้นขาสี่ส่วน กวางเรนเดียร์ M</v>
          </cell>
          <cell r="E5706">
            <v>0</v>
          </cell>
          <cell r="F5706">
            <v>850</v>
          </cell>
        </row>
        <row r="5707">
          <cell r="A5707" t="str">
            <v>SL0348-XL</v>
          </cell>
          <cell r="B5707" t="str">
            <v>L348</v>
          </cell>
          <cell r="C5707" t="str">
            <v>ซาติน แขนสั้นขาสี่ส่วน กวางเรนเดียร์ XL</v>
          </cell>
          <cell r="E5707">
            <v>0</v>
          </cell>
          <cell r="F5707">
            <v>850</v>
          </cell>
        </row>
        <row r="5708">
          <cell r="A5708" t="str">
            <v>SL0350-2XL</v>
          </cell>
          <cell r="B5708" t="str">
            <v>L350</v>
          </cell>
          <cell r="C5708" t="str">
            <v>ซาติน แขนสั้นขาสี่ส่วน Flower Gray 2XL</v>
          </cell>
          <cell r="E5708">
            <v>0</v>
          </cell>
          <cell r="F5708">
            <v>850</v>
          </cell>
        </row>
        <row r="5709">
          <cell r="A5709" t="str">
            <v>SL0350-3XL</v>
          </cell>
          <cell r="B5709" t="str">
            <v>L350</v>
          </cell>
          <cell r="C5709" t="str">
            <v>ซาติน แขนสั้นขาสี่ส่วน Flower Gray 3XL</v>
          </cell>
          <cell r="E5709">
            <v>0</v>
          </cell>
          <cell r="F5709">
            <v>850</v>
          </cell>
        </row>
        <row r="5710">
          <cell r="A5710" t="str">
            <v>SL0350-L</v>
          </cell>
          <cell r="B5710" t="str">
            <v>L350</v>
          </cell>
          <cell r="C5710" t="str">
            <v>ซาติน แขนสั้นขาสี่ส่วน Flower Gray L</v>
          </cell>
          <cell r="E5710">
            <v>0</v>
          </cell>
          <cell r="F5710">
            <v>850</v>
          </cell>
        </row>
        <row r="5711">
          <cell r="A5711" t="str">
            <v>SL0350-M</v>
          </cell>
          <cell r="B5711" t="str">
            <v>L350</v>
          </cell>
          <cell r="C5711" t="str">
            <v>ซาติน แขนสั้นขาสี่ส่วน Flower Gray M</v>
          </cell>
          <cell r="E5711">
            <v>0</v>
          </cell>
          <cell r="F5711">
            <v>850</v>
          </cell>
        </row>
        <row r="5712">
          <cell r="A5712" t="str">
            <v>SL0350-XL</v>
          </cell>
          <cell r="B5712" t="str">
            <v>L350</v>
          </cell>
          <cell r="C5712" t="str">
            <v>ซาติน แขนสั้นขาสี่ส่วน Flower Gray XL</v>
          </cell>
          <cell r="E5712">
            <v>0</v>
          </cell>
          <cell r="F5712">
            <v>850</v>
          </cell>
        </row>
        <row r="5713">
          <cell r="A5713" t="str">
            <v>SL0352-2XL</v>
          </cell>
          <cell r="B5713" t="str">
            <v>L352</v>
          </cell>
          <cell r="C5713" t="str">
            <v>ซาติน แขนสั้นขาสี่ส่วน Jasmine Green 2XL (กปก)</v>
          </cell>
          <cell r="E5713">
            <v>0</v>
          </cell>
          <cell r="F5713">
            <v>890</v>
          </cell>
        </row>
        <row r="5714">
          <cell r="A5714" t="str">
            <v>SL0352-L</v>
          </cell>
          <cell r="B5714" t="str">
            <v>L352</v>
          </cell>
          <cell r="C5714" t="str">
            <v>ซาติน แขนสั้นขาสี่ส่วน Jasmine Green L (กปก)</v>
          </cell>
          <cell r="E5714">
            <v>0</v>
          </cell>
          <cell r="F5714">
            <v>850</v>
          </cell>
        </row>
        <row r="5715">
          <cell r="A5715" t="str">
            <v>SL0352-M</v>
          </cell>
          <cell r="B5715" t="str">
            <v>L352</v>
          </cell>
          <cell r="C5715" t="str">
            <v>ซาติน แขนสั้นขาสี่ส่วน Jasmine Green M (กปก)</v>
          </cell>
          <cell r="E5715">
            <v>0</v>
          </cell>
          <cell r="F5715">
            <v>850</v>
          </cell>
        </row>
        <row r="5716">
          <cell r="A5716" t="str">
            <v>SL0352-XL</v>
          </cell>
          <cell r="B5716" t="str">
            <v>L352</v>
          </cell>
          <cell r="C5716" t="str">
            <v>ซาติน แขนสั้นขาสี่ส่วน Jasmine Green XL (กปก)</v>
          </cell>
          <cell r="E5716">
            <v>0</v>
          </cell>
          <cell r="F5716">
            <v>850</v>
          </cell>
        </row>
        <row r="5717">
          <cell r="A5717" t="str">
            <v>SL0360-2XL</v>
          </cell>
          <cell r="B5717" t="str">
            <v>L360</v>
          </cell>
          <cell r="C5717" t="str">
            <v>ซาติน แขนสั้นขาสี่ส่วน Comic book 2XL</v>
          </cell>
          <cell r="E5717">
            <v>1</v>
          </cell>
          <cell r="F5717">
            <v>890</v>
          </cell>
        </row>
        <row r="5718">
          <cell r="A5718" t="str">
            <v>SL0360-3XL</v>
          </cell>
          <cell r="B5718" t="str">
            <v>L360</v>
          </cell>
          <cell r="C5718" t="str">
            <v>ซาติน แขนสั้นขาสี่ส่วน Comic book 3XL</v>
          </cell>
          <cell r="E5718">
            <v>0</v>
          </cell>
          <cell r="F5718">
            <v>850</v>
          </cell>
        </row>
        <row r="5719">
          <cell r="A5719" t="str">
            <v>SL0360-L</v>
          </cell>
          <cell r="B5719" t="str">
            <v>L360</v>
          </cell>
          <cell r="C5719" t="str">
            <v>ซาติน แขนสั้นขาสี่ส่วน Comic book L</v>
          </cell>
          <cell r="E5719">
            <v>0</v>
          </cell>
          <cell r="F5719">
            <v>890</v>
          </cell>
        </row>
        <row r="5720">
          <cell r="A5720" t="str">
            <v>SL0360-M</v>
          </cell>
          <cell r="B5720" t="str">
            <v>L360</v>
          </cell>
          <cell r="C5720" t="str">
            <v>ซาติน แขนสั้นขาสี่ส่วน Comic book M</v>
          </cell>
          <cell r="E5720">
            <v>12</v>
          </cell>
          <cell r="F5720">
            <v>890</v>
          </cell>
        </row>
        <row r="5721">
          <cell r="A5721" t="str">
            <v>SL0360-XL</v>
          </cell>
          <cell r="B5721" t="str">
            <v>L360</v>
          </cell>
          <cell r="C5721" t="str">
            <v>ซาติน แขนสั้นขาสี่ส่วน Comic book XL</v>
          </cell>
          <cell r="E5721">
            <v>0</v>
          </cell>
          <cell r="F5721">
            <v>890</v>
          </cell>
        </row>
        <row r="5722">
          <cell r="A5722" t="str">
            <v>SL0362-2XL</v>
          </cell>
          <cell r="B5722" t="str">
            <v>L362</v>
          </cell>
          <cell r="C5722" t="str">
            <v>ซาติน แขนสั้นขาสี่ส่วน New moon Art 2XL</v>
          </cell>
          <cell r="E5722">
            <v>0</v>
          </cell>
          <cell r="F5722">
            <v>850</v>
          </cell>
        </row>
        <row r="5723">
          <cell r="A5723" t="str">
            <v>SL0362-3XL</v>
          </cell>
          <cell r="B5723" t="str">
            <v>QL362</v>
          </cell>
          <cell r="C5723" t="str">
            <v>ซาติน แขนสั้นขาสี่ส่วน New moon Art 3XL QC</v>
          </cell>
          <cell r="E5723">
            <v>0</v>
          </cell>
          <cell r="F5723">
            <v>890</v>
          </cell>
        </row>
        <row r="5724">
          <cell r="A5724" t="str">
            <v>SL0362-L</v>
          </cell>
          <cell r="B5724" t="str">
            <v>QL362</v>
          </cell>
          <cell r="C5724" t="str">
            <v>ซาติน แขนสั้นขาสี่ส่วน New moon Art L QC</v>
          </cell>
          <cell r="E5724">
            <v>0</v>
          </cell>
          <cell r="F5724">
            <v>890</v>
          </cell>
        </row>
        <row r="5725">
          <cell r="A5725" t="str">
            <v>SL0362-M</v>
          </cell>
          <cell r="B5725" t="str">
            <v>QL362</v>
          </cell>
          <cell r="C5725" t="str">
            <v>ซาติน แขนสั้นขาสี่ส่วน New moon Art M QC</v>
          </cell>
          <cell r="E5725">
            <v>0</v>
          </cell>
          <cell r="F5725">
            <v>890</v>
          </cell>
        </row>
        <row r="5726">
          <cell r="A5726" t="str">
            <v>SL0362-XL</v>
          </cell>
          <cell r="B5726" t="str">
            <v>QL362</v>
          </cell>
          <cell r="C5726" t="str">
            <v>ซาติน แขนสั้นขาสี่ส่วน New moon Art XL QC</v>
          </cell>
          <cell r="E5726">
            <v>0</v>
          </cell>
          <cell r="F5726">
            <v>890</v>
          </cell>
        </row>
        <row r="5727">
          <cell r="A5727" t="str">
            <v>SL0368-2XL</v>
          </cell>
          <cell r="B5727" t="str">
            <v>L368</v>
          </cell>
          <cell r="C5727" t="str">
            <v>ซาติน แขนสั้นขาสี่ส่วน เสือ เขียว (กปก) 2XL</v>
          </cell>
          <cell r="E5727">
            <v>0</v>
          </cell>
          <cell r="F5727">
            <v>890</v>
          </cell>
        </row>
        <row r="5728">
          <cell r="A5728" t="str">
            <v>SL0368-3XL</v>
          </cell>
          <cell r="B5728" t="str">
            <v>L368</v>
          </cell>
          <cell r="C5728" t="str">
            <v>ซาติน แขนสั้นขาสี่ส่วน เสือ เขียว (กปก) 3XL</v>
          </cell>
          <cell r="E5728">
            <v>0</v>
          </cell>
          <cell r="F5728">
            <v>890</v>
          </cell>
        </row>
        <row r="5729">
          <cell r="A5729" t="str">
            <v>SL0368-L</v>
          </cell>
          <cell r="B5729" t="str">
            <v>L368</v>
          </cell>
          <cell r="C5729" t="str">
            <v>ซาติน แขนสั้นขาสี่ส่วน เสือ เขียว (กปก) L</v>
          </cell>
          <cell r="E5729">
            <v>0</v>
          </cell>
          <cell r="F5729">
            <v>890</v>
          </cell>
        </row>
        <row r="5730">
          <cell r="A5730" t="str">
            <v>SL0368-M</v>
          </cell>
          <cell r="B5730" t="str">
            <v>L368</v>
          </cell>
          <cell r="C5730" t="str">
            <v>ซาติน แขนสั้นขาสี่ส่วน เสือ เขียว (กปก) M</v>
          </cell>
          <cell r="E5730">
            <v>0</v>
          </cell>
          <cell r="F5730">
            <v>590</v>
          </cell>
        </row>
        <row r="5731">
          <cell r="A5731" t="str">
            <v>SL0368-XL</v>
          </cell>
          <cell r="B5731" t="str">
            <v>L368</v>
          </cell>
          <cell r="C5731" t="str">
            <v>ซาติน แขนสั้นขาสี่ส่วน เสือ เขียว (กปก) XL</v>
          </cell>
          <cell r="E5731">
            <v>0</v>
          </cell>
          <cell r="F5731">
            <v>890</v>
          </cell>
        </row>
        <row r="5732">
          <cell r="A5732" t="str">
            <v>SL0369-2XL</v>
          </cell>
          <cell r="B5732" t="str">
            <v>L369</v>
          </cell>
          <cell r="C5732" t="str">
            <v>ซาติน แขนสั้นขาสี่ส่วน กุหลาบ ขอบชมพู พื้นขาว 2XL (กปก)</v>
          </cell>
          <cell r="E5732">
            <v>0</v>
          </cell>
          <cell r="F5732">
            <v>850</v>
          </cell>
        </row>
        <row r="5733">
          <cell r="A5733" t="str">
            <v>SL0369-L</v>
          </cell>
          <cell r="B5733" t="str">
            <v>L369</v>
          </cell>
          <cell r="C5733" t="str">
            <v>ซาติน แขนสั้นขาสี่ส่วน กุหลาบ ขอบชมพู พื้นขาว L (กปก)</v>
          </cell>
          <cell r="E5733">
            <v>0</v>
          </cell>
          <cell r="F5733">
            <v>850</v>
          </cell>
        </row>
        <row r="5734">
          <cell r="A5734" t="str">
            <v>SL0369-M</v>
          </cell>
          <cell r="B5734" t="str">
            <v>BL369</v>
          </cell>
          <cell r="C5734" t="str">
            <v>ซาติน แขนสั้นขาสี่ส่วน กุหลาบ ขอบชมพู พื้นขาว M (กปก)</v>
          </cell>
          <cell r="E5734">
            <v>0</v>
          </cell>
          <cell r="F5734">
            <v>850</v>
          </cell>
        </row>
        <row r="5735">
          <cell r="A5735" t="str">
            <v>SL0369-XL</v>
          </cell>
          <cell r="B5735" t="str">
            <v>L369</v>
          </cell>
          <cell r="C5735" t="str">
            <v>ซาติน แขนสั้นขาสี่ส่วน กุหลาบ ขอบชมพู พื้นขาว XL (กปก)</v>
          </cell>
          <cell r="E5735">
            <v>0</v>
          </cell>
          <cell r="F5735">
            <v>850</v>
          </cell>
        </row>
        <row r="5736">
          <cell r="A5736" t="str">
            <v>SL0482-2XL</v>
          </cell>
          <cell r="B5736" t="str">
            <v>L482</v>
          </cell>
          <cell r="C5736" t="str">
            <v>ซาติน แขนสั้นขาสี่ส่วน Sleep Cat พื้นฟ้า 2XL (กปก)</v>
          </cell>
          <cell r="E5736">
            <v>0</v>
          </cell>
          <cell r="F5736">
            <v>890</v>
          </cell>
        </row>
        <row r="5737">
          <cell r="A5737" t="str">
            <v>SL0482-L</v>
          </cell>
          <cell r="B5737" t="str">
            <v>L482</v>
          </cell>
          <cell r="C5737" t="str">
            <v>ซาติน แขนสั้นขาสี่ส่วน Sleep Cat พื้นฟ้า L (กปก)</v>
          </cell>
          <cell r="E5737">
            <v>0</v>
          </cell>
          <cell r="F5737">
            <v>890</v>
          </cell>
        </row>
        <row r="5738">
          <cell r="A5738" t="str">
            <v>SL0482-M</v>
          </cell>
          <cell r="B5738" t="str">
            <v>L482</v>
          </cell>
          <cell r="C5738" t="str">
            <v>ซาติน แขนสั้นขาสี่ส่วน Sleep Cat พื้นฟ้า M (กปก)</v>
          </cell>
          <cell r="E5738">
            <v>0</v>
          </cell>
          <cell r="F5738">
            <v>890</v>
          </cell>
        </row>
        <row r="5739">
          <cell r="A5739" t="str">
            <v>SL0482-XL</v>
          </cell>
          <cell r="B5739" t="str">
            <v>L482</v>
          </cell>
          <cell r="C5739" t="str">
            <v>ซาติน แขนสั้นขาสี่ส่วน Sleep Cat พื้นฟ้า XL (กปก)</v>
          </cell>
          <cell r="E5739">
            <v>0</v>
          </cell>
          <cell r="F5739">
            <v>890</v>
          </cell>
        </row>
        <row r="5740">
          <cell r="A5740" t="str">
            <v>SL0499-2XL</v>
          </cell>
          <cell r="B5740" t="str">
            <v>JL499</v>
          </cell>
          <cell r="C5740" t="str">
            <v>ซาติน แขนสั้นขาสี่ส่วน ดอกไม้ขาว พื้นครีม 2XL ตัวโชว์</v>
          </cell>
          <cell r="E5740">
            <v>0</v>
          </cell>
          <cell r="F5740">
            <v>850</v>
          </cell>
        </row>
        <row r="5741">
          <cell r="A5741" t="str">
            <v>SL0499-L</v>
          </cell>
          <cell r="B5741" t="str">
            <v>JL499</v>
          </cell>
          <cell r="C5741" t="str">
            <v>ซาติน แขนสั้นขาสี่ส่วน ดอกไม้ขาว พื้นครีม L ตัวโชว์</v>
          </cell>
          <cell r="E5741">
            <v>0</v>
          </cell>
          <cell r="F5741">
            <v>850</v>
          </cell>
        </row>
        <row r="5742">
          <cell r="A5742" t="str">
            <v>SL0499-M</v>
          </cell>
          <cell r="B5742" t="str">
            <v>BL499</v>
          </cell>
          <cell r="C5742" t="str">
            <v>ซาติน แขนสั้นขาสี่ส่วน ดอกไม้ขาว พื้นครีม M</v>
          </cell>
          <cell r="E5742">
            <v>0</v>
          </cell>
          <cell r="F5742">
            <v>850</v>
          </cell>
        </row>
        <row r="5743">
          <cell r="A5743" t="str">
            <v>SL0499-XL</v>
          </cell>
          <cell r="B5743" t="str">
            <v>JL499</v>
          </cell>
          <cell r="C5743" t="str">
            <v>ซาติน แขนสั้นขาสี่ส่วน ดอกไม้ขาว พื้นครีม XL ตัวโชว์</v>
          </cell>
          <cell r="E5743">
            <v>0</v>
          </cell>
          <cell r="F5743">
            <v>850</v>
          </cell>
        </row>
        <row r="5744">
          <cell r="A5744" t="str">
            <v>SL0500-2XL</v>
          </cell>
          <cell r="B5744" t="str">
            <v>L500</v>
          </cell>
          <cell r="C5744" t="str">
            <v>ซาติน แขนสั้นขาสี่ส่วน ฟ้ามินท์ ลายทาง  2XL</v>
          </cell>
          <cell r="E5744">
            <v>0</v>
          </cell>
          <cell r="F5744">
            <v>850</v>
          </cell>
        </row>
        <row r="5745">
          <cell r="A5745" t="str">
            <v>SL0500-L</v>
          </cell>
          <cell r="B5745" t="str">
            <v>L500</v>
          </cell>
          <cell r="C5745" t="str">
            <v>ซาติน แขนสั้นขาสี่ส่วน ฟ้ามินท์ ลายทาง  L</v>
          </cell>
          <cell r="E5745">
            <v>0</v>
          </cell>
          <cell r="F5745">
            <v>850</v>
          </cell>
        </row>
        <row r="5746">
          <cell r="A5746" t="str">
            <v>SL0500-M</v>
          </cell>
          <cell r="B5746" t="str">
            <v>L500</v>
          </cell>
          <cell r="C5746" t="str">
            <v>ซาติน แขนสั้นขาสี่ส่วน ฟ้ามินท์ ลายทาง  M</v>
          </cell>
          <cell r="E5746">
            <v>0</v>
          </cell>
          <cell r="F5746">
            <v>850</v>
          </cell>
        </row>
        <row r="5747">
          <cell r="A5747" t="str">
            <v>SL0500-XL</v>
          </cell>
          <cell r="B5747" t="str">
            <v>L500</v>
          </cell>
          <cell r="C5747" t="str">
            <v>ซาติน แขนสั้นขาสี่ส่วน ฟ้ามินท์ ลายทาง  XL</v>
          </cell>
          <cell r="E5747">
            <v>0</v>
          </cell>
          <cell r="F5747">
            <v>850</v>
          </cell>
        </row>
        <row r="5748">
          <cell r="A5748" t="str">
            <v>SL0523-2XL</v>
          </cell>
          <cell r="B5748" t="str">
            <v>L523</v>
          </cell>
          <cell r="C5748" t="str">
            <v>ซาติน แขนสั้นขาสี่ส่วน Flower พื้นเขียว ปกชมพู 2XL (กปก)</v>
          </cell>
          <cell r="E5748">
            <v>0</v>
          </cell>
          <cell r="F5748">
            <v>0</v>
          </cell>
        </row>
        <row r="5749">
          <cell r="A5749" t="str">
            <v>SL0523-L</v>
          </cell>
          <cell r="B5749" t="str">
            <v>L523</v>
          </cell>
          <cell r="C5749" t="str">
            <v>ซาติน แขนสั้นขาสี่ส่วน Flower พื้นเขียว ปกชมพู L (กปก)</v>
          </cell>
          <cell r="E5749">
            <v>0</v>
          </cell>
          <cell r="F5749">
            <v>0</v>
          </cell>
        </row>
        <row r="5750">
          <cell r="A5750" t="str">
            <v>SL0523-M</v>
          </cell>
          <cell r="B5750" t="str">
            <v>L523</v>
          </cell>
          <cell r="C5750" t="str">
            <v>ซาติน แขนสั้นขาสี่ส่วน Flower พื้นเขียว ปกชมพู M (กปก)</v>
          </cell>
          <cell r="E5750">
            <v>0</v>
          </cell>
          <cell r="F5750">
            <v>0</v>
          </cell>
        </row>
        <row r="5751">
          <cell r="A5751" t="str">
            <v>SL0523-XL</v>
          </cell>
          <cell r="B5751" t="str">
            <v>L523</v>
          </cell>
          <cell r="C5751" t="str">
            <v>ซาติน แขนสั้นขาสี่ส่วน Flower พื้นเขียว ปกชมพู XL (กปก)</v>
          </cell>
          <cell r="E5751">
            <v>0</v>
          </cell>
          <cell r="F5751">
            <v>0</v>
          </cell>
        </row>
        <row r="5752">
          <cell r="A5752" t="str">
            <v>SL0524-2XL</v>
          </cell>
          <cell r="B5752" t="str">
            <v>L524</v>
          </cell>
          <cell r="C5752" t="str">
            <v>ซาติน แขนสั้นขาสี่ส่วน ดอกไม้เขียว พื้นเขียว 2XL (กปก)</v>
          </cell>
          <cell r="E5752">
            <v>0</v>
          </cell>
          <cell r="F5752">
            <v>850</v>
          </cell>
        </row>
        <row r="5753">
          <cell r="A5753" t="str">
            <v>SL0524-L</v>
          </cell>
          <cell r="B5753" t="str">
            <v>L524</v>
          </cell>
          <cell r="C5753" t="str">
            <v>ซาติน แขนสั้นขาสี่ส่วน ดอกไม้เขียว พื้นเขียว L (กปก)</v>
          </cell>
          <cell r="E5753">
            <v>0</v>
          </cell>
          <cell r="F5753">
            <v>850</v>
          </cell>
        </row>
        <row r="5754">
          <cell r="A5754" t="str">
            <v>SL0524-M</v>
          </cell>
          <cell r="B5754" t="str">
            <v>L524</v>
          </cell>
          <cell r="C5754" t="str">
            <v>ซาติน แขนสั้นขาสี่ส่วน ดอกไม้เขียว พื้นเขียว M (กปก)</v>
          </cell>
          <cell r="E5754">
            <v>0</v>
          </cell>
          <cell r="F5754">
            <v>850</v>
          </cell>
        </row>
        <row r="5755">
          <cell r="A5755" t="str">
            <v>SL0524-XL</v>
          </cell>
          <cell r="B5755" t="str">
            <v>L524</v>
          </cell>
          <cell r="C5755" t="str">
            <v>ซาติน แขนสั้นขาสี่ส่วน ดอกไม้เขียว พื้นเขียว XL (กปก)</v>
          </cell>
          <cell r="E5755">
            <v>0</v>
          </cell>
          <cell r="F5755">
            <v>0</v>
          </cell>
        </row>
        <row r="5756">
          <cell r="A5756" t="str">
            <v>SL0525-2XL</v>
          </cell>
          <cell r="B5756" t="str">
            <v>L525</v>
          </cell>
          <cell r="C5756" t="str">
            <v>ซาติน แขนสั้นขาสี่ส่วน ดอกไม้มายา 2XL</v>
          </cell>
          <cell r="E5756">
            <v>0</v>
          </cell>
          <cell r="F5756">
            <v>850</v>
          </cell>
        </row>
        <row r="5757">
          <cell r="A5757" t="str">
            <v>SL0525-3XL</v>
          </cell>
          <cell r="B5757" t="str">
            <v>L525</v>
          </cell>
          <cell r="C5757" t="str">
            <v>ซาติน แขนสั้นขาสี่ส่วน ดอกไม้มายา 3XL</v>
          </cell>
          <cell r="E5757">
            <v>0</v>
          </cell>
          <cell r="F5757">
            <v>850</v>
          </cell>
        </row>
        <row r="5758">
          <cell r="A5758" t="str">
            <v>SL0525-L</v>
          </cell>
          <cell r="B5758" t="str">
            <v>L525</v>
          </cell>
          <cell r="C5758" t="str">
            <v>ซาติน แขนสั้นขาสี่ส่วน ดอกไม้มายา L</v>
          </cell>
          <cell r="E5758">
            <v>0</v>
          </cell>
          <cell r="F5758">
            <v>850</v>
          </cell>
        </row>
        <row r="5759">
          <cell r="A5759" t="str">
            <v>SL0525-M</v>
          </cell>
          <cell r="B5759" t="str">
            <v>L525</v>
          </cell>
          <cell r="C5759" t="str">
            <v>ซาติน แขนสั้นขาสี่ส่วน ดอกไม้มายา M</v>
          </cell>
          <cell r="E5759">
            <v>0</v>
          </cell>
          <cell r="F5759">
            <v>850</v>
          </cell>
        </row>
        <row r="5760">
          <cell r="A5760" t="str">
            <v>SL0525-XL</v>
          </cell>
          <cell r="B5760" t="str">
            <v>L525</v>
          </cell>
          <cell r="C5760" t="str">
            <v>ซาติน แขนสั้นขาสี่ส่วน ดอกไม้มายา XL</v>
          </cell>
          <cell r="E5760">
            <v>0</v>
          </cell>
          <cell r="F5760">
            <v>850</v>
          </cell>
        </row>
        <row r="5761">
          <cell r="A5761" t="str">
            <v>SL0542-2XL</v>
          </cell>
          <cell r="B5761" t="str">
            <v>L542</v>
          </cell>
          <cell r="C5761" t="str">
            <v>ซาติน แขนสั้นขาสี่ส่วน Green Garden ปกชมพูจุด 2XL (กปก)</v>
          </cell>
          <cell r="E5761">
            <v>0</v>
          </cell>
          <cell r="F5761">
            <v>850</v>
          </cell>
        </row>
        <row r="5762">
          <cell r="A5762" t="str">
            <v>SL0542-L</v>
          </cell>
          <cell r="B5762" t="str">
            <v>L542</v>
          </cell>
          <cell r="C5762" t="str">
            <v>ซาติน แขนสั้นขาสี่ส่วน Green Garden ปกชมพูจุด L (กปก)</v>
          </cell>
          <cell r="E5762">
            <v>0</v>
          </cell>
          <cell r="F5762">
            <v>850</v>
          </cell>
        </row>
        <row r="5763">
          <cell r="A5763" t="str">
            <v>SL0542-M</v>
          </cell>
          <cell r="B5763" t="str">
            <v>L542</v>
          </cell>
          <cell r="C5763" t="str">
            <v>ซาติน แขนสั้นขาสี่ส่วน Green Garden ปกชมพูจุด M (กปก)</v>
          </cell>
          <cell r="E5763">
            <v>0</v>
          </cell>
          <cell r="F5763">
            <v>850</v>
          </cell>
        </row>
        <row r="5764">
          <cell r="A5764" t="str">
            <v>SL0542-XL</v>
          </cell>
          <cell r="B5764" t="str">
            <v>L542</v>
          </cell>
          <cell r="C5764" t="str">
            <v>ซาติน แขนสั้นขาสี่ส่วน Green Garden ปกชมพูจุด XL (กปก)</v>
          </cell>
          <cell r="E5764">
            <v>0</v>
          </cell>
          <cell r="F5764">
            <v>850</v>
          </cell>
        </row>
        <row r="5765">
          <cell r="A5765" t="str">
            <v>SL0604-2XL</v>
          </cell>
          <cell r="B5765" t="str">
            <v>L604</v>
          </cell>
          <cell r="C5765" t="str">
            <v>ซาติน แขนสั้นขาสี่ส่วน Pink Rose 2XL (กปก)</v>
          </cell>
          <cell r="E5765">
            <v>0</v>
          </cell>
          <cell r="F5765">
            <v>850</v>
          </cell>
        </row>
        <row r="5766">
          <cell r="A5766" t="str">
            <v>SL0604-L</v>
          </cell>
          <cell r="B5766" t="str">
            <v>L604</v>
          </cell>
          <cell r="C5766" t="str">
            <v>ซาติน แขนสั้นขาสี่ส่วน Pink Rose L (กปก)</v>
          </cell>
          <cell r="E5766">
            <v>0</v>
          </cell>
          <cell r="F5766">
            <v>850</v>
          </cell>
        </row>
        <row r="5767">
          <cell r="A5767" t="str">
            <v>SL0604-M</v>
          </cell>
          <cell r="B5767" t="str">
            <v>L604</v>
          </cell>
          <cell r="C5767" t="str">
            <v>ซาติน แขนสั้นขาสี่ส่วน Pink Rose M (กปก)</v>
          </cell>
          <cell r="E5767">
            <v>0</v>
          </cell>
          <cell r="F5767">
            <v>850</v>
          </cell>
        </row>
        <row r="5768">
          <cell r="A5768" t="str">
            <v>SL0604-XL</v>
          </cell>
          <cell r="B5768" t="str">
            <v>L604</v>
          </cell>
          <cell r="C5768" t="str">
            <v>ซาติน แขนสั้นขาสี่ส่วน Pink Rose XL (กปก)</v>
          </cell>
          <cell r="E5768">
            <v>0</v>
          </cell>
          <cell r="F5768">
            <v>850</v>
          </cell>
        </row>
        <row r="5769">
          <cell r="A5769" t="str">
            <v>SL0606-2XL</v>
          </cell>
          <cell r="B5769" t="str">
            <v>L606</v>
          </cell>
          <cell r="C5769" t="str">
            <v>ซาติน แขนสั้นขาสี่ส่วน มอนสเตอร่า พื้นเขียวมินท์ 2XL (กปก)</v>
          </cell>
          <cell r="E5769">
            <v>0</v>
          </cell>
          <cell r="F5769">
            <v>890</v>
          </cell>
        </row>
        <row r="5770">
          <cell r="A5770" t="str">
            <v>SL0606-3XL</v>
          </cell>
          <cell r="B5770" t="str">
            <v>QL606</v>
          </cell>
          <cell r="C5770" t="str">
            <v>ซาติน แขนสั้นขาสี่ส่วน มอนสเตอร่า พื้นเขียวมินท์ 3XL (กปก) QC</v>
          </cell>
          <cell r="E5770">
            <v>0</v>
          </cell>
          <cell r="F5770">
            <v>850</v>
          </cell>
        </row>
        <row r="5771">
          <cell r="A5771" t="str">
            <v>SL0606-L</v>
          </cell>
          <cell r="B5771" t="str">
            <v>L606</v>
          </cell>
          <cell r="C5771" t="str">
            <v>ซาติน แขนสั้นขาสี่ส่วน มอนสเตอร่า พื้นเขียวมินท์ L (กปก)</v>
          </cell>
          <cell r="E5771">
            <v>0</v>
          </cell>
          <cell r="F5771">
            <v>850</v>
          </cell>
        </row>
        <row r="5772">
          <cell r="A5772" t="str">
            <v>SL0606-M</v>
          </cell>
          <cell r="B5772" t="str">
            <v>L606</v>
          </cell>
          <cell r="C5772" t="str">
            <v>ซาติน แขนสั้นขาสี่ส่วน มอนสเตอร่า พื้นเขียวมินท์ M (กปก)</v>
          </cell>
          <cell r="E5772">
            <v>0</v>
          </cell>
          <cell r="F5772">
            <v>850</v>
          </cell>
        </row>
        <row r="5773">
          <cell r="A5773" t="str">
            <v>SL0606-XL</v>
          </cell>
          <cell r="B5773" t="str">
            <v>QL606</v>
          </cell>
          <cell r="C5773" t="str">
            <v>ซาติน แขนสั้นขาสี่ส่วน มอนสเตอร่า พื้นเขียวมินท์ XL (กปก) QC</v>
          </cell>
          <cell r="E5773">
            <v>0</v>
          </cell>
          <cell r="F5773">
            <v>850</v>
          </cell>
        </row>
        <row r="5774">
          <cell r="A5774" t="str">
            <v>SL0660-2XL</v>
          </cell>
          <cell r="B5774" t="str">
            <v>L660</v>
          </cell>
          <cell r="C5774" t="str">
            <v>ซาติน แขนสั้นขาสี่ส่วน Pink Diamond Pastel 2XL (กปก)</v>
          </cell>
          <cell r="E5774">
            <v>0</v>
          </cell>
          <cell r="F5774">
            <v>850</v>
          </cell>
        </row>
        <row r="5775">
          <cell r="A5775" t="str">
            <v>SL0660-L</v>
          </cell>
          <cell r="B5775" t="str">
            <v>L660</v>
          </cell>
          <cell r="C5775" t="str">
            <v>ซาติน แขนสั้นขาสี่ส่วน Pink Diamond Pastel L (กปก)</v>
          </cell>
          <cell r="E5775">
            <v>0</v>
          </cell>
          <cell r="F5775">
            <v>850</v>
          </cell>
        </row>
        <row r="5776">
          <cell r="A5776" t="str">
            <v>SL0660-M</v>
          </cell>
          <cell r="B5776" t="str">
            <v>QL660</v>
          </cell>
          <cell r="C5776" t="str">
            <v>ซาติน แขนสั้นขาสี่ส่วน Pink Diamond Pastel M (กปก) QC</v>
          </cell>
          <cell r="E5776">
            <v>0</v>
          </cell>
          <cell r="F5776">
            <v>850</v>
          </cell>
        </row>
        <row r="5777">
          <cell r="A5777" t="str">
            <v>SL0660-XL</v>
          </cell>
          <cell r="B5777" t="str">
            <v>L660</v>
          </cell>
          <cell r="C5777" t="str">
            <v>ซาติน แขนสั้นขาสี่ส่วน Pink Diamond Pastel XL (กปก)</v>
          </cell>
          <cell r="E5777">
            <v>0</v>
          </cell>
          <cell r="F5777">
            <v>850</v>
          </cell>
        </row>
        <row r="5778">
          <cell r="A5778" t="str">
            <v>SL0663-2XL</v>
          </cell>
          <cell r="B5778" t="str">
            <v>L663</v>
          </cell>
          <cell r="C5778" t="str">
            <v>ซาติน แขนสั้นขาสี่ส่วน Black Rose 2XL (กปก)</v>
          </cell>
          <cell r="E5778">
            <v>0</v>
          </cell>
          <cell r="F5778">
            <v>850</v>
          </cell>
        </row>
        <row r="5779">
          <cell r="A5779" t="str">
            <v>SL0663-L</v>
          </cell>
          <cell r="B5779" t="str">
            <v>L663</v>
          </cell>
          <cell r="C5779" t="str">
            <v>ซาติน แขนสั้นขาสี่ส่วน Black Rose L (กปก)</v>
          </cell>
          <cell r="E5779">
            <v>0</v>
          </cell>
          <cell r="F5779">
            <v>850</v>
          </cell>
        </row>
        <row r="5780">
          <cell r="A5780" t="str">
            <v>SL0663-M</v>
          </cell>
          <cell r="B5780" t="str">
            <v>L663</v>
          </cell>
          <cell r="C5780" t="str">
            <v>ซาติน แขนสั้นขาสี่ส่วน Black Rose M (กปก)</v>
          </cell>
          <cell r="E5780">
            <v>0</v>
          </cell>
          <cell r="F5780">
            <v>850</v>
          </cell>
        </row>
        <row r="5781">
          <cell r="A5781" t="str">
            <v>SL0663-XL</v>
          </cell>
          <cell r="B5781" t="str">
            <v>L663</v>
          </cell>
          <cell r="C5781" t="str">
            <v>ซาติน แขนสั้นขาสี่ส่วน Black Rose XL (กปก)</v>
          </cell>
          <cell r="E5781">
            <v>0</v>
          </cell>
          <cell r="F5781">
            <v>850</v>
          </cell>
        </row>
        <row r="5782">
          <cell r="A5782" t="str">
            <v>SL0675-2XL</v>
          </cell>
          <cell r="B5782" t="str">
            <v>L675</v>
          </cell>
          <cell r="C5782" t="str">
            <v>ซาติน แขนสั้นสี่ส่วน Blue Sky 2XL (กปก)</v>
          </cell>
          <cell r="E5782">
            <v>0</v>
          </cell>
          <cell r="F5782">
            <v>850</v>
          </cell>
        </row>
        <row r="5783">
          <cell r="A5783" t="str">
            <v>SL0675-L</v>
          </cell>
          <cell r="B5783" t="str">
            <v>L675</v>
          </cell>
          <cell r="C5783" t="str">
            <v>ซาติน แขนสั้นสี่ส่วน Blue Sky L (กปก)</v>
          </cell>
          <cell r="E5783">
            <v>0</v>
          </cell>
          <cell r="F5783">
            <v>850</v>
          </cell>
        </row>
        <row r="5784">
          <cell r="A5784" t="str">
            <v>SL0675-M</v>
          </cell>
          <cell r="B5784" t="str">
            <v>L675</v>
          </cell>
          <cell r="C5784" t="str">
            <v>ซาติน แขนสั้นสี่ส่วน Blue Sky M (กปก)</v>
          </cell>
          <cell r="E5784">
            <v>0</v>
          </cell>
          <cell r="F5784">
            <v>850</v>
          </cell>
        </row>
        <row r="5785">
          <cell r="A5785" t="str">
            <v>SL0675-XL</v>
          </cell>
          <cell r="B5785" t="str">
            <v>L675</v>
          </cell>
          <cell r="C5785" t="str">
            <v>ซาติน แขนสั้นสี่ส่วน Blue Sky XL (กปก)</v>
          </cell>
          <cell r="E5785">
            <v>0</v>
          </cell>
          <cell r="F5785">
            <v>850</v>
          </cell>
        </row>
        <row r="5786">
          <cell r="A5786" t="str">
            <v>SL0676-2XL</v>
          </cell>
          <cell r="B5786" t="str">
            <v>L676</v>
          </cell>
          <cell r="C5786" t="str">
            <v>ซาติน แขนสั้นสี่ส่วน Pink Sky 2XL (กปก)</v>
          </cell>
          <cell r="E5786">
            <v>0</v>
          </cell>
          <cell r="F5786">
            <v>850</v>
          </cell>
        </row>
        <row r="5787">
          <cell r="A5787" t="str">
            <v>SL0676-L</v>
          </cell>
          <cell r="B5787" t="str">
            <v>L676</v>
          </cell>
          <cell r="C5787" t="str">
            <v>ซาติน แขนสั้นสี่ส่วน Pink Sky L (กปก)</v>
          </cell>
          <cell r="E5787">
            <v>0</v>
          </cell>
          <cell r="F5787">
            <v>850</v>
          </cell>
        </row>
        <row r="5788">
          <cell r="A5788" t="str">
            <v>SL0676-M</v>
          </cell>
          <cell r="B5788" t="str">
            <v>L676</v>
          </cell>
          <cell r="C5788" t="str">
            <v>ซาติน แขนสั้นสี่ส่วน Pink Sky M (กปก)</v>
          </cell>
          <cell r="E5788">
            <v>0</v>
          </cell>
          <cell r="F5788">
            <v>850</v>
          </cell>
        </row>
        <row r="5789">
          <cell r="A5789" t="str">
            <v>SL0676-XL</v>
          </cell>
          <cell r="B5789" t="str">
            <v>L676</v>
          </cell>
          <cell r="C5789" t="str">
            <v>ซาติน แขนสั้นสี่ส่วน Pink Sky XL (กปก)</v>
          </cell>
          <cell r="E5789">
            <v>0</v>
          </cell>
          <cell r="F5789">
            <v>850</v>
          </cell>
        </row>
        <row r="5790">
          <cell r="A5790" t="str">
            <v>SL0780-2XL</v>
          </cell>
          <cell r="B5790" t="str">
            <v>L780</v>
          </cell>
          <cell r="C5790" t="str">
            <v>ซาติน แขนสั้นขาสี่ส่วน พื้นฟ้า เถาวัลย์ฟ้า 2XL (กปก)</v>
          </cell>
          <cell r="E5790">
            <v>0</v>
          </cell>
          <cell r="F5790">
            <v>890</v>
          </cell>
        </row>
        <row r="5791">
          <cell r="A5791" t="str">
            <v>SL0780-3XL</v>
          </cell>
          <cell r="B5791" t="str">
            <v>L780</v>
          </cell>
          <cell r="C5791" t="str">
            <v>ซาติน แขนสั้นขาสี่ส่วน พื้นฟ้า เถาวัลย์ฟ้า 3XL (กปก)</v>
          </cell>
          <cell r="E5791">
            <v>0</v>
          </cell>
          <cell r="F5791">
            <v>850</v>
          </cell>
        </row>
        <row r="5792">
          <cell r="A5792" t="str">
            <v>SL0780-L</v>
          </cell>
          <cell r="B5792" t="str">
            <v>L780</v>
          </cell>
          <cell r="C5792" t="str">
            <v>ซาติน แขนสั้นขาสี่ส่วน พื้นฟ้า เถาวัลย์ฟ้า L (กปก)</v>
          </cell>
          <cell r="E5792">
            <v>0</v>
          </cell>
          <cell r="F5792">
            <v>890</v>
          </cell>
        </row>
        <row r="5793">
          <cell r="A5793" t="str">
            <v>SL0780-M</v>
          </cell>
          <cell r="B5793" t="str">
            <v>L780</v>
          </cell>
          <cell r="C5793" t="str">
            <v>ซาติน แขนสั้นขาสี่ส่วน พื้นฟ้า เถาวัลย์ฟ้า M (กปก)</v>
          </cell>
          <cell r="E5793">
            <v>0</v>
          </cell>
          <cell r="F5793">
            <v>890</v>
          </cell>
        </row>
        <row r="5794">
          <cell r="A5794" t="str">
            <v>SL0780-XL</v>
          </cell>
          <cell r="B5794" t="str">
            <v>L780</v>
          </cell>
          <cell r="C5794" t="str">
            <v>ซาติน แขนสั้นขาสี่ส่วน พื้นฟ้า เถาวัลย์ฟ้า XL (กปก)</v>
          </cell>
          <cell r="E5794">
            <v>0</v>
          </cell>
          <cell r="F5794">
            <v>890</v>
          </cell>
        </row>
        <row r="5795">
          <cell r="A5795" t="str">
            <v>SL0790-2XL</v>
          </cell>
          <cell r="B5795" t="str">
            <v>L790</v>
          </cell>
          <cell r="C5795" t="str">
            <v>ซาติน แขนสั้นขาสี่ส่วน แฟนซี่ พิ้งค์ 2XL</v>
          </cell>
          <cell r="E5795">
            <v>0</v>
          </cell>
          <cell r="F5795">
            <v>850</v>
          </cell>
        </row>
        <row r="5796">
          <cell r="A5796" t="str">
            <v>SL0790-L</v>
          </cell>
          <cell r="B5796" t="str">
            <v>L790</v>
          </cell>
          <cell r="C5796" t="str">
            <v>ซาติน แขนสั้นขาสี่ส่วน แฟนซี่ พิ้งค์ L</v>
          </cell>
          <cell r="E5796">
            <v>0</v>
          </cell>
          <cell r="F5796">
            <v>850</v>
          </cell>
        </row>
        <row r="5797">
          <cell r="A5797" t="str">
            <v>SL0790-M</v>
          </cell>
          <cell r="B5797" t="str">
            <v>L790</v>
          </cell>
          <cell r="C5797" t="str">
            <v>ซาติน แขนสั้นขาสี่ส่วน แฟนซี่ พิ้งค์ M</v>
          </cell>
          <cell r="E5797">
            <v>0</v>
          </cell>
          <cell r="F5797">
            <v>850</v>
          </cell>
        </row>
        <row r="5798">
          <cell r="A5798" t="str">
            <v>SL0790-XL</v>
          </cell>
          <cell r="B5798" t="str">
            <v>L790</v>
          </cell>
          <cell r="C5798" t="str">
            <v>ซาติน แขนสั้นขาสี่ส่วน แฟนซี่ พิ้งค์ XL</v>
          </cell>
          <cell r="E5798">
            <v>0</v>
          </cell>
          <cell r="F5798">
            <v>850</v>
          </cell>
        </row>
        <row r="5799">
          <cell r="A5799" t="str">
            <v>SL0797-2XL</v>
          </cell>
          <cell r="B5799" t="str">
            <v>L797</v>
          </cell>
          <cell r="C5799" t="str">
            <v>ซาติน แขนสั้นขาสี่ส่วน Green Village 2XL</v>
          </cell>
          <cell r="E5799">
            <v>0</v>
          </cell>
          <cell r="F5799">
            <v>890</v>
          </cell>
        </row>
        <row r="5800">
          <cell r="A5800" t="str">
            <v>SL0797-3XL</v>
          </cell>
          <cell r="B5800" t="str">
            <v>L797</v>
          </cell>
          <cell r="C5800" t="str">
            <v>ซาติน แขนสั้นขาสี่ส่วน Green Village 3XL</v>
          </cell>
          <cell r="E5800">
            <v>0</v>
          </cell>
          <cell r="F5800">
            <v>850</v>
          </cell>
        </row>
        <row r="5801">
          <cell r="A5801" t="str">
            <v>SL0797-L</v>
          </cell>
          <cell r="B5801" t="str">
            <v>L797</v>
          </cell>
          <cell r="C5801" t="str">
            <v>ซาติน แขนสั้นขาสี่ส่วน Green Village L</v>
          </cell>
          <cell r="E5801">
            <v>0</v>
          </cell>
          <cell r="F5801">
            <v>890</v>
          </cell>
        </row>
        <row r="5802">
          <cell r="A5802" t="str">
            <v>SL0797-M</v>
          </cell>
          <cell r="B5802" t="str">
            <v>L797</v>
          </cell>
          <cell r="C5802" t="str">
            <v>ซาติน แขนสั้นขาสี่ส่วน Green Village M</v>
          </cell>
          <cell r="E5802">
            <v>0</v>
          </cell>
          <cell r="F5802">
            <v>890</v>
          </cell>
        </row>
        <row r="5803">
          <cell r="A5803" t="str">
            <v>SL0797-XL</v>
          </cell>
          <cell r="B5803" t="str">
            <v>L797</v>
          </cell>
          <cell r="C5803" t="str">
            <v>ซาติน แขนสั้นขาสี่ส่วน Green Village XL</v>
          </cell>
          <cell r="E5803">
            <v>0</v>
          </cell>
          <cell r="F5803">
            <v>890</v>
          </cell>
        </row>
        <row r="5804">
          <cell r="A5804" t="str">
            <v>SL0798-2XL</v>
          </cell>
          <cell r="B5804" t="str">
            <v>QL798</v>
          </cell>
          <cell r="C5804" t="str">
            <v>ซาติน แขนสั้นขาสี่ส่วน Red Village 2XL QC</v>
          </cell>
          <cell r="E5804">
            <v>0</v>
          </cell>
          <cell r="F5804">
            <v>890</v>
          </cell>
        </row>
        <row r="5805">
          <cell r="A5805" t="str">
            <v>SL0798-3XL</v>
          </cell>
          <cell r="B5805" t="str">
            <v>L798</v>
          </cell>
          <cell r="C5805" t="str">
            <v>ซาติน แขนสั้นขาสี่ส่วน Red Village 3XL</v>
          </cell>
          <cell r="E5805">
            <v>0</v>
          </cell>
          <cell r="F5805">
            <v>850</v>
          </cell>
        </row>
        <row r="5806">
          <cell r="A5806" t="str">
            <v>SL0798-L</v>
          </cell>
          <cell r="B5806" t="str">
            <v>L798</v>
          </cell>
          <cell r="C5806" t="str">
            <v>ซาติน แขนสั้นขาสี่ส่วน Red Village L</v>
          </cell>
          <cell r="E5806">
            <v>0</v>
          </cell>
          <cell r="F5806">
            <v>890</v>
          </cell>
        </row>
        <row r="5807">
          <cell r="A5807" t="str">
            <v>SL0798-M</v>
          </cell>
          <cell r="B5807" t="str">
            <v>L798</v>
          </cell>
          <cell r="C5807" t="str">
            <v>ซาติน แขนสั้นขาสี่ส่วน Red Village M</v>
          </cell>
          <cell r="E5807">
            <v>0</v>
          </cell>
          <cell r="F5807">
            <v>890</v>
          </cell>
        </row>
        <row r="5808">
          <cell r="A5808" t="str">
            <v>SL0798-XL</v>
          </cell>
          <cell r="B5808" t="str">
            <v>L798</v>
          </cell>
          <cell r="C5808" t="str">
            <v>ซาติน แขนสั้นขาสี่ส่วน Red Village XL</v>
          </cell>
          <cell r="E5808">
            <v>0</v>
          </cell>
          <cell r="F5808">
            <v>890</v>
          </cell>
        </row>
        <row r="5809">
          <cell r="A5809" t="str">
            <v>SL0800-2XL</v>
          </cell>
          <cell r="B5809" t="str">
            <v>BL800</v>
          </cell>
          <cell r="C5809" t="str">
            <v>ซาติน แขนสั้นขาสี่ส่วน กุหลาบ พื้นขาว ปกชมพู 2XL</v>
          </cell>
          <cell r="E5809">
            <v>0</v>
          </cell>
          <cell r="F5809">
            <v>850</v>
          </cell>
        </row>
        <row r="5810">
          <cell r="A5810" t="str">
            <v>SL0800-3XL</v>
          </cell>
          <cell r="B5810" t="str">
            <v>L800</v>
          </cell>
          <cell r="C5810" t="str">
            <v>ซาติน แขนสั้นขาสี่ส่วน กุหลาบ พื้นขาว ปกชมพู 3XL</v>
          </cell>
          <cell r="E5810">
            <v>0</v>
          </cell>
          <cell r="F5810">
            <v>850</v>
          </cell>
        </row>
        <row r="5811">
          <cell r="A5811" t="str">
            <v>SL0800-L</v>
          </cell>
          <cell r="B5811" t="str">
            <v>L800</v>
          </cell>
          <cell r="C5811" t="str">
            <v>ซาติน แขนสั้นขาสี่ส่วน กุหลาบ พื้นขาว ปกชมพู L</v>
          </cell>
          <cell r="E5811">
            <v>0</v>
          </cell>
          <cell r="F5811">
            <v>850</v>
          </cell>
        </row>
        <row r="5812">
          <cell r="A5812" t="str">
            <v>SL0800-M</v>
          </cell>
          <cell r="B5812" t="str">
            <v>L800</v>
          </cell>
          <cell r="C5812" t="str">
            <v>ซาติน แขนสั้นขาสี่ส่วน กุหลาบ พื้นขาว ปกชมพู M</v>
          </cell>
          <cell r="E5812">
            <v>0</v>
          </cell>
          <cell r="F5812">
            <v>850</v>
          </cell>
        </row>
        <row r="5813">
          <cell r="A5813" t="str">
            <v>SL0800-XL</v>
          </cell>
          <cell r="B5813" t="str">
            <v>BL800</v>
          </cell>
          <cell r="C5813" t="str">
            <v>ซาติน แขนสั้นขาสี่ส่วน กุหลาบ พื้นขาว ปกชมพู XL</v>
          </cell>
          <cell r="E5813">
            <v>0</v>
          </cell>
          <cell r="F5813">
            <v>850</v>
          </cell>
        </row>
        <row r="5814">
          <cell r="A5814" t="str">
            <v>SL0819-2XL</v>
          </cell>
          <cell r="B5814" t="str">
            <v>L819</v>
          </cell>
          <cell r="C5814" t="str">
            <v>ซาติน แขนสั้นขาสี่ส่วน ดอกมะลิ พื้นฟ้า 2XL (กปก)</v>
          </cell>
          <cell r="E5814">
            <v>0</v>
          </cell>
          <cell r="F5814">
            <v>850</v>
          </cell>
        </row>
        <row r="5815">
          <cell r="A5815" t="str">
            <v>SL0819-L</v>
          </cell>
          <cell r="B5815" t="str">
            <v>L819</v>
          </cell>
          <cell r="C5815" t="str">
            <v>ซาติน แขนสั้นขาสี่ส่วน ดอกมะลิ พื้นฟ้า L (กปก)</v>
          </cell>
          <cell r="E5815">
            <v>0</v>
          </cell>
          <cell r="F5815">
            <v>850</v>
          </cell>
        </row>
        <row r="5816">
          <cell r="A5816" t="str">
            <v>SL0819-M</v>
          </cell>
          <cell r="B5816" t="str">
            <v>L819</v>
          </cell>
          <cell r="C5816" t="str">
            <v>ซาติน แขนสั้นขาสี่ส่วน ดอกมะลิ พื้นฟ้า M (กปก)</v>
          </cell>
          <cell r="E5816">
            <v>0</v>
          </cell>
          <cell r="F5816">
            <v>850</v>
          </cell>
        </row>
        <row r="5817">
          <cell r="A5817" t="str">
            <v>SL0819-XL</v>
          </cell>
          <cell r="B5817" t="str">
            <v>L819</v>
          </cell>
          <cell r="C5817" t="str">
            <v>ซาติน แขนสั้นขาสี่ส่วน ดอกมะลิ พื้นฟ้า XL (กปก)</v>
          </cell>
          <cell r="E5817">
            <v>0</v>
          </cell>
          <cell r="F5817">
            <v>850</v>
          </cell>
        </row>
        <row r="5818">
          <cell r="A5818" t="str">
            <v>SL0820-2XL</v>
          </cell>
          <cell r="B5818" t="str">
            <v>L820</v>
          </cell>
          <cell r="C5818" t="str">
            <v>ซาติน แขนสั้นขาสี่ส่วน ดอกไม้ขาว คอปก พื้นฟ้า 2XL</v>
          </cell>
          <cell r="E5818">
            <v>0</v>
          </cell>
          <cell r="F5818">
            <v>850</v>
          </cell>
        </row>
        <row r="5819">
          <cell r="A5819" t="str">
            <v>SL0820-3XL</v>
          </cell>
          <cell r="B5819" t="str">
            <v>L820</v>
          </cell>
          <cell r="C5819" t="str">
            <v>ซาติน แขนสั้นขาสี่ส่วน ดอกไม้ขาว คอปก พื้นฟ้า 3XL</v>
          </cell>
          <cell r="E5819">
            <v>0</v>
          </cell>
          <cell r="F5819">
            <v>850</v>
          </cell>
        </row>
        <row r="5820">
          <cell r="A5820" t="str">
            <v>SL0820-L</v>
          </cell>
          <cell r="B5820" t="str">
            <v>L820</v>
          </cell>
          <cell r="C5820" t="str">
            <v>ซาติน แขนสั้นขาสี่ส่วน ดอกไม้ขาว คอปก พื้นฟ้า L</v>
          </cell>
          <cell r="E5820">
            <v>0</v>
          </cell>
          <cell r="F5820">
            <v>850</v>
          </cell>
        </row>
        <row r="5821">
          <cell r="A5821" t="str">
            <v>SL0820-M</v>
          </cell>
          <cell r="B5821" t="str">
            <v>L820</v>
          </cell>
          <cell r="C5821" t="str">
            <v>ซาติน แขนสั้นขาสี่ส่วน ดอกไม้ขาว คอปก พื้นฟ้า M</v>
          </cell>
          <cell r="E5821">
            <v>0</v>
          </cell>
          <cell r="F5821">
            <v>850</v>
          </cell>
        </row>
        <row r="5822">
          <cell r="A5822" t="str">
            <v>SL0820-XL</v>
          </cell>
          <cell r="B5822" t="str">
            <v>L820</v>
          </cell>
          <cell r="C5822" t="str">
            <v>ซาติน แขนสั้นขาสี่ส่วน ดอกไม้ขาว คอปก พื้นฟ้า XL</v>
          </cell>
          <cell r="E5822">
            <v>0</v>
          </cell>
          <cell r="F5822">
            <v>850</v>
          </cell>
        </row>
        <row r="5823">
          <cell r="A5823" t="str">
            <v>SL0844-2XL</v>
          </cell>
          <cell r="B5823" t="str">
            <v>L844</v>
          </cell>
          <cell r="C5823" t="str">
            <v>ซาติน แขนสั้นขาสี่ส่วน ดอกไม้แมงกระพรุน ขอบม่วง 2XL</v>
          </cell>
          <cell r="E5823">
            <v>0</v>
          </cell>
          <cell r="F5823">
            <v>850</v>
          </cell>
        </row>
        <row r="5824">
          <cell r="A5824" t="str">
            <v>SL0844-3XL</v>
          </cell>
          <cell r="B5824" t="str">
            <v>L844</v>
          </cell>
          <cell r="C5824" t="str">
            <v>ซาติน แขนสั้นขาสี่ส่วน ดอกไม้แมงกระพรุน ขอบม่วง 3XL</v>
          </cell>
          <cell r="E5824">
            <v>0</v>
          </cell>
          <cell r="F5824">
            <v>850</v>
          </cell>
        </row>
        <row r="5825">
          <cell r="A5825" t="str">
            <v>SL0844-L</v>
          </cell>
          <cell r="B5825" t="str">
            <v>L844</v>
          </cell>
          <cell r="C5825" t="str">
            <v>ซาติน แขนสั้นขาสี่ส่วน ดอกไม้แมงกระพรุน ขอบม่วง L</v>
          </cell>
          <cell r="E5825">
            <v>0</v>
          </cell>
          <cell r="F5825">
            <v>850</v>
          </cell>
        </row>
        <row r="5826">
          <cell r="A5826" t="str">
            <v>SL0844-M</v>
          </cell>
          <cell r="B5826" t="str">
            <v>L844</v>
          </cell>
          <cell r="C5826" t="str">
            <v>ซาติน แขนสั้นขาสี่ส่วน ดอกไม้แมงกระพรุน ขอบม่วง M</v>
          </cell>
          <cell r="E5826">
            <v>0</v>
          </cell>
          <cell r="F5826">
            <v>850</v>
          </cell>
        </row>
        <row r="5827">
          <cell r="A5827" t="str">
            <v>SL0844-XL</v>
          </cell>
          <cell r="B5827" t="str">
            <v>L844</v>
          </cell>
          <cell r="C5827" t="str">
            <v>ซาติน แขนสั้นขาสี่ส่วน ดอกไม้แมงกระพรุน ขอบม่วง XL</v>
          </cell>
          <cell r="E5827">
            <v>0</v>
          </cell>
          <cell r="F5827">
            <v>850</v>
          </cell>
        </row>
        <row r="5828">
          <cell r="A5828" t="str">
            <v>SL0846-2XL</v>
          </cell>
          <cell r="B5828" t="str">
            <v>L846</v>
          </cell>
          <cell r="C5828" t="str">
            <v>ซาติน แขนสั้นขาสี่ส่วน ภาพหญ้าแห้ง 2XL</v>
          </cell>
          <cell r="E5828">
            <v>0</v>
          </cell>
          <cell r="F5828">
            <v>850</v>
          </cell>
        </row>
        <row r="5829">
          <cell r="A5829" t="str">
            <v>SL0846-3XL</v>
          </cell>
          <cell r="B5829" t="str">
            <v>L846</v>
          </cell>
          <cell r="C5829" t="str">
            <v>ซาติน แขนสั้นขาสี่ส่วน ภาพหญ้าแห้ง 3XL</v>
          </cell>
          <cell r="E5829">
            <v>0</v>
          </cell>
          <cell r="F5829">
            <v>850</v>
          </cell>
        </row>
        <row r="5830">
          <cell r="A5830" t="str">
            <v>SL0846-L</v>
          </cell>
          <cell r="B5830" t="str">
            <v>L846</v>
          </cell>
          <cell r="C5830" t="str">
            <v>ซาติน แขนสั้นขาสี่ส่วน ภาพหญ้าแห้ง L</v>
          </cell>
          <cell r="E5830">
            <v>0</v>
          </cell>
          <cell r="F5830">
            <v>850</v>
          </cell>
        </row>
        <row r="5831">
          <cell r="A5831" t="str">
            <v>SL0846-M</v>
          </cell>
          <cell r="B5831" t="str">
            <v>L846</v>
          </cell>
          <cell r="C5831" t="str">
            <v>ซาติน แขนสั้นขาสี่ส่วน ภาพหญ้าแห้ง M</v>
          </cell>
          <cell r="E5831">
            <v>0</v>
          </cell>
          <cell r="F5831">
            <v>850</v>
          </cell>
        </row>
        <row r="5832">
          <cell r="A5832" t="str">
            <v>SL0846-XL</v>
          </cell>
          <cell r="B5832" t="str">
            <v>L846</v>
          </cell>
          <cell r="C5832" t="str">
            <v>ซาติน แขนสั้นขาสี่ส่วน ภาพหญ้าแห้ง XL</v>
          </cell>
          <cell r="E5832">
            <v>0</v>
          </cell>
          <cell r="F5832">
            <v>850</v>
          </cell>
        </row>
        <row r="5833">
          <cell r="A5833" t="str">
            <v>SL0849-2XL</v>
          </cell>
          <cell r="B5833" t="str">
            <v>L849</v>
          </cell>
          <cell r="C5833" t="str">
            <v>ซาติน แขนสั้นขาสี่ส่วน Green to tones 2XL</v>
          </cell>
          <cell r="E5833">
            <v>0</v>
          </cell>
          <cell r="F5833">
            <v>890</v>
          </cell>
        </row>
        <row r="5834">
          <cell r="A5834" t="str">
            <v>SL0849-3XL</v>
          </cell>
          <cell r="B5834" t="str">
            <v>L849</v>
          </cell>
          <cell r="C5834" t="str">
            <v>ซาติน แขนสั้นขาสี่ส่วน Green to tones 3XL</v>
          </cell>
          <cell r="E5834">
            <v>0</v>
          </cell>
          <cell r="F5834">
            <v>890</v>
          </cell>
        </row>
        <row r="5835">
          <cell r="A5835" t="str">
            <v>SL0849-L</v>
          </cell>
          <cell r="B5835" t="str">
            <v>L849</v>
          </cell>
          <cell r="C5835" t="str">
            <v>ซาติน แขนสั้นขาสี่ส่วน Green to tones L</v>
          </cell>
          <cell r="E5835">
            <v>0</v>
          </cell>
          <cell r="F5835">
            <v>890</v>
          </cell>
        </row>
        <row r="5836">
          <cell r="A5836" t="str">
            <v>SL0849-M</v>
          </cell>
          <cell r="B5836" t="str">
            <v>QL849</v>
          </cell>
          <cell r="C5836" t="str">
            <v>ซาติน แขนสั้นขาสี่ส่วน Green to tones M QC</v>
          </cell>
          <cell r="E5836">
            <v>0</v>
          </cell>
          <cell r="F5836">
            <v>890</v>
          </cell>
        </row>
        <row r="5837">
          <cell r="A5837" t="str">
            <v>SL0849-XL</v>
          </cell>
          <cell r="B5837" t="str">
            <v>L849</v>
          </cell>
          <cell r="C5837" t="str">
            <v>ซาติน แขนสั้นขาสี่ส่วน Green to tones XL</v>
          </cell>
          <cell r="E5837">
            <v>0</v>
          </cell>
          <cell r="F5837">
            <v>890</v>
          </cell>
        </row>
        <row r="5838">
          <cell r="A5838" t="str">
            <v>SL0852-2XL</v>
          </cell>
          <cell r="B5838" t="str">
            <v>QL852</v>
          </cell>
          <cell r="C5838" t="str">
            <v>ซาติน แขนสั้นขาสี่ส่วน แมวเทา พื้นครีม 2XL QC</v>
          </cell>
          <cell r="E5838">
            <v>0</v>
          </cell>
          <cell r="F5838">
            <v>890</v>
          </cell>
        </row>
        <row r="5839">
          <cell r="A5839" t="str">
            <v>SL0852-L</v>
          </cell>
          <cell r="B5839" t="str">
            <v>L852</v>
          </cell>
          <cell r="C5839" t="str">
            <v>ซาติน แขนสั้นขาสี่ส่วน แมวเทา พื้นครีม L</v>
          </cell>
          <cell r="E5839">
            <v>0</v>
          </cell>
          <cell r="F5839">
            <v>850</v>
          </cell>
        </row>
        <row r="5840">
          <cell r="A5840" t="str">
            <v>SL0852-M</v>
          </cell>
          <cell r="B5840" t="str">
            <v>L852</v>
          </cell>
          <cell r="C5840" t="str">
            <v>ซาติน แขนสั้นขาสี่ส่วน แมวเทา พื้นครีม M</v>
          </cell>
          <cell r="E5840">
            <v>0</v>
          </cell>
          <cell r="F5840">
            <v>850</v>
          </cell>
        </row>
        <row r="5841">
          <cell r="A5841" t="str">
            <v>SL0852-XL</v>
          </cell>
          <cell r="B5841" t="str">
            <v>L852</v>
          </cell>
          <cell r="C5841" t="str">
            <v>ซาติน แขนสั้นขาสี่ส่วน แมวเทา พื้นครีม XL</v>
          </cell>
          <cell r="E5841">
            <v>0</v>
          </cell>
          <cell r="F5841">
            <v>850</v>
          </cell>
        </row>
        <row r="5842">
          <cell r="A5842" t="str">
            <v>SL0853-2XL</v>
          </cell>
          <cell r="B5842" t="str">
            <v>L853</v>
          </cell>
          <cell r="C5842" t="str">
            <v>ซาติน แขนสั้นขาสี่ส่วน พื้นดำ ดอกไม้เหลือง 2XL</v>
          </cell>
          <cell r="E5842">
            <v>0</v>
          </cell>
          <cell r="F5842">
            <v>850</v>
          </cell>
        </row>
        <row r="5843">
          <cell r="A5843" t="str">
            <v>SL0853-L</v>
          </cell>
          <cell r="B5843" t="str">
            <v>L853</v>
          </cell>
          <cell r="C5843" t="str">
            <v>ซาติน แขนสั้นขาสี่ส่วน พื้นดำ ดอกไม้เหลือง L</v>
          </cell>
          <cell r="E5843">
            <v>0</v>
          </cell>
          <cell r="F5843">
            <v>850</v>
          </cell>
        </row>
        <row r="5844">
          <cell r="A5844" t="str">
            <v>SL0853-M</v>
          </cell>
          <cell r="B5844" t="str">
            <v>L853</v>
          </cell>
          <cell r="C5844" t="str">
            <v>ซาติน แขนสั้นขาสี่ส่วน พื้นดำ ดอกไม้เหลือง M</v>
          </cell>
          <cell r="E5844">
            <v>0</v>
          </cell>
          <cell r="F5844">
            <v>850</v>
          </cell>
        </row>
        <row r="5845">
          <cell r="A5845" t="str">
            <v>SL0853-XL</v>
          </cell>
          <cell r="B5845" t="str">
            <v>L853</v>
          </cell>
          <cell r="C5845" t="str">
            <v>ซาติน แขนสั้นขาสี่ส่วน พื้นดำ ดอกไม้เหลือง XL</v>
          </cell>
          <cell r="E5845">
            <v>0</v>
          </cell>
          <cell r="F5845">
            <v>850</v>
          </cell>
        </row>
        <row r="5846">
          <cell r="A5846" t="str">
            <v>SL0856-2XL</v>
          </cell>
          <cell r="B5846" t="str">
            <v>L856</v>
          </cell>
          <cell r="C5846" t="str">
            <v>ซาติน แขนสั้นขาสี่ส่วน โซ่ ลายทาง (กปก) 2XL</v>
          </cell>
          <cell r="E5846">
            <v>0</v>
          </cell>
          <cell r="F5846">
            <v>890</v>
          </cell>
        </row>
        <row r="5847">
          <cell r="A5847" t="str">
            <v>SL0856-3XL</v>
          </cell>
          <cell r="B5847" t="str">
            <v>L856</v>
          </cell>
          <cell r="C5847" t="str">
            <v>ซาติน แขนสั้นขาสี่ส่วน โซ่ ลายทาง (กปก) 3XL</v>
          </cell>
          <cell r="E5847">
            <v>0</v>
          </cell>
          <cell r="F5847">
            <v>890</v>
          </cell>
        </row>
        <row r="5848">
          <cell r="A5848" t="str">
            <v>SL0856-L</v>
          </cell>
          <cell r="B5848" t="str">
            <v>L856</v>
          </cell>
          <cell r="C5848" t="str">
            <v>ซาติน แขนสั้นขาสี่ส่วน โซ่ ลายทาง (กปก) L</v>
          </cell>
          <cell r="E5848">
            <v>0</v>
          </cell>
          <cell r="F5848">
            <v>850</v>
          </cell>
        </row>
        <row r="5849">
          <cell r="A5849" t="str">
            <v>SL0856-M</v>
          </cell>
          <cell r="B5849" t="str">
            <v>L856</v>
          </cell>
          <cell r="C5849" t="str">
            <v>ซาติน แขนสั้นขาสี่ส่วน โซ่ ลายทาง (กปก) M</v>
          </cell>
          <cell r="E5849">
            <v>0</v>
          </cell>
          <cell r="F5849">
            <v>590</v>
          </cell>
        </row>
        <row r="5850">
          <cell r="A5850" t="str">
            <v>SL0856-XL</v>
          </cell>
          <cell r="B5850" t="str">
            <v>L856</v>
          </cell>
          <cell r="C5850" t="str">
            <v>ซาติน แขนสั้นขาสี่ส่วน โซ่ ลายทาง (กปก) XL</v>
          </cell>
          <cell r="E5850">
            <v>0</v>
          </cell>
          <cell r="F5850">
            <v>850</v>
          </cell>
        </row>
        <row r="5851">
          <cell r="A5851" t="str">
            <v>SL0859-2XL</v>
          </cell>
          <cell r="B5851" t="str">
            <v>L859</v>
          </cell>
          <cell r="C5851" t="str">
            <v>ซาติน แขนสั้นขาสี่ส่วน Forest Maya (กปก) 2XL</v>
          </cell>
          <cell r="E5851">
            <v>0</v>
          </cell>
          <cell r="F5851">
            <v>850</v>
          </cell>
        </row>
        <row r="5852">
          <cell r="A5852" t="str">
            <v>SL0859-3XL</v>
          </cell>
          <cell r="B5852" t="str">
            <v>L859</v>
          </cell>
          <cell r="C5852" t="str">
            <v>ซาติน แขนสั้นขาสี่ส่วน Forest Maya (กปก) 3XL</v>
          </cell>
          <cell r="E5852">
            <v>0</v>
          </cell>
          <cell r="F5852">
            <v>850</v>
          </cell>
        </row>
        <row r="5853">
          <cell r="A5853" t="str">
            <v>SL0859-L</v>
          </cell>
          <cell r="B5853" t="str">
            <v>L859</v>
          </cell>
          <cell r="C5853" t="str">
            <v>ซาติน แขนสั้นขาสี่ส่วน Forest Maya (กปก) L</v>
          </cell>
          <cell r="E5853">
            <v>0</v>
          </cell>
          <cell r="F5853">
            <v>890</v>
          </cell>
        </row>
        <row r="5854">
          <cell r="A5854" t="str">
            <v>SL0859-M</v>
          </cell>
          <cell r="B5854" t="str">
            <v>L859</v>
          </cell>
          <cell r="C5854" t="str">
            <v>ซาติน แขนสั้นขาสี่ส่วน Forest Maya (กปก) M</v>
          </cell>
          <cell r="E5854">
            <v>0</v>
          </cell>
          <cell r="F5854">
            <v>850</v>
          </cell>
        </row>
        <row r="5855">
          <cell r="A5855" t="str">
            <v>SL0859-XL</v>
          </cell>
          <cell r="B5855" t="str">
            <v>L859</v>
          </cell>
          <cell r="C5855" t="str">
            <v>ซาติน แขนสั้นขาสี่ส่วน Forest Maya (กปก) XL</v>
          </cell>
          <cell r="E5855">
            <v>0</v>
          </cell>
          <cell r="F5855">
            <v>850</v>
          </cell>
        </row>
        <row r="5856">
          <cell r="A5856" t="str">
            <v>SL0862-2XL</v>
          </cell>
          <cell r="B5856" t="str">
            <v>L862</v>
          </cell>
          <cell r="C5856" t="str">
            <v>ซาติน แขนสั้นขาสี่ส่วน Blue Comic (กปก) 2XL</v>
          </cell>
          <cell r="E5856">
            <v>0</v>
          </cell>
          <cell r="F5856">
            <v>850</v>
          </cell>
        </row>
        <row r="5857">
          <cell r="A5857" t="str">
            <v>SL0862-3XL</v>
          </cell>
          <cell r="B5857" t="str">
            <v>L862</v>
          </cell>
          <cell r="C5857" t="str">
            <v>ซาติน แขนสั้นขาสี่ส่วน Blue Comic (กปก) 3XL</v>
          </cell>
          <cell r="E5857">
            <v>0</v>
          </cell>
          <cell r="F5857">
            <v>850</v>
          </cell>
        </row>
        <row r="5858">
          <cell r="A5858" t="str">
            <v>SL0862-L</v>
          </cell>
          <cell r="B5858" t="str">
            <v>L862</v>
          </cell>
          <cell r="C5858" t="str">
            <v>ซาติน แขนสั้นขาสี่ส่วน Blue Comic (กปก) L</v>
          </cell>
          <cell r="E5858">
            <v>0</v>
          </cell>
          <cell r="F5858">
            <v>850</v>
          </cell>
        </row>
        <row r="5859">
          <cell r="A5859" t="str">
            <v>SL0862-M</v>
          </cell>
          <cell r="B5859" t="str">
            <v>L862</v>
          </cell>
          <cell r="C5859" t="str">
            <v>ซาติน แขนสั้นขาสี่ส่วน Blue Comic (กปก) M</v>
          </cell>
          <cell r="E5859">
            <v>0</v>
          </cell>
          <cell r="F5859">
            <v>850</v>
          </cell>
        </row>
        <row r="5860">
          <cell r="A5860" t="str">
            <v>SL0862-XL</v>
          </cell>
          <cell r="B5860" t="str">
            <v>L862</v>
          </cell>
          <cell r="C5860" t="str">
            <v>ซาติน แขนสั้นขาสี่ส่วน Blue Comic (กปก) XL</v>
          </cell>
          <cell r="E5860">
            <v>0</v>
          </cell>
          <cell r="F5860">
            <v>850</v>
          </cell>
        </row>
        <row r="5861">
          <cell r="A5861" t="str">
            <v>SL0880-2XL</v>
          </cell>
          <cell r="B5861" t="str">
            <v>L880</v>
          </cell>
          <cell r="C5861" t="str">
            <v>ซาติน แขนสั้นขาสี่ส่วน ฮัมมิ่งเบิร์ด พื้นเขียว ขอบส้ม 2XL</v>
          </cell>
          <cell r="E5861">
            <v>0</v>
          </cell>
          <cell r="F5861">
            <v>850</v>
          </cell>
        </row>
        <row r="5862">
          <cell r="A5862" t="str">
            <v>SL0880-3XL</v>
          </cell>
          <cell r="B5862" t="str">
            <v>L880</v>
          </cell>
          <cell r="C5862" t="str">
            <v>ซาติน แขนสั้นขาสี่ส่วน ฮัมมิ่งเบิร์ด พื้นเขียว ขอบส้ม 3XL</v>
          </cell>
          <cell r="E5862">
            <v>0</v>
          </cell>
          <cell r="F5862">
            <v>850</v>
          </cell>
        </row>
        <row r="5863">
          <cell r="A5863" t="str">
            <v>SL0880-L</v>
          </cell>
          <cell r="B5863" t="str">
            <v>L880</v>
          </cell>
          <cell r="C5863" t="str">
            <v>ซาติน แขนสั้นขาสี่ส่วน ฮัมมิ่งเบิร์ด พื้นเขียว ขอบส้ม L</v>
          </cell>
          <cell r="E5863">
            <v>0</v>
          </cell>
          <cell r="F5863">
            <v>850</v>
          </cell>
        </row>
        <row r="5864">
          <cell r="A5864" t="str">
            <v>SL0880-M</v>
          </cell>
          <cell r="B5864" t="str">
            <v>L880</v>
          </cell>
          <cell r="C5864" t="str">
            <v>ซาติน แขนสั้นขาสี่ส่วน ฮัมมิ่งเบิร์ด พื้นเขียว ขอบส้ม M</v>
          </cell>
          <cell r="E5864">
            <v>0</v>
          </cell>
          <cell r="F5864">
            <v>590</v>
          </cell>
        </row>
        <row r="5865">
          <cell r="A5865" t="str">
            <v>SL0880-XL</v>
          </cell>
          <cell r="B5865" t="str">
            <v>BL880</v>
          </cell>
          <cell r="C5865" t="str">
            <v>ซาติน แขนสั้นขาสี่ส่วน ฮัมมิ่งเบิร์ด พื้นเขียว ขอบส้ม XL</v>
          </cell>
          <cell r="E5865">
            <v>0</v>
          </cell>
          <cell r="F5865">
            <v>850</v>
          </cell>
        </row>
        <row r="5866">
          <cell r="A5866" t="str">
            <v>SL0884-2XL</v>
          </cell>
          <cell r="B5866" t="str">
            <v>L884</v>
          </cell>
          <cell r="C5866" t="str">
            <v>ซาติน แขนสั้นขาสี่ส่วน สวนดอกไม้ พื้นเขียว 2XL (กปก)</v>
          </cell>
          <cell r="E5866">
            <v>0</v>
          </cell>
          <cell r="F5866">
            <v>890</v>
          </cell>
        </row>
        <row r="5867">
          <cell r="A5867" t="str">
            <v>SL0884-3XL</v>
          </cell>
          <cell r="B5867" t="str">
            <v>L884</v>
          </cell>
          <cell r="C5867" t="str">
            <v>ซาติน แขนสั้นขาสี่ส่วน สวนดอกไม้ พื้นเขียว 3XL (กปก)</v>
          </cell>
          <cell r="E5867">
            <v>0</v>
          </cell>
          <cell r="F5867">
            <v>850</v>
          </cell>
        </row>
        <row r="5868">
          <cell r="A5868" t="str">
            <v>SL0884-L</v>
          </cell>
          <cell r="B5868" t="str">
            <v>QL884</v>
          </cell>
          <cell r="C5868" t="str">
            <v>ซาติน แขนสั้นขาสี่ส่วน สวนดอกไม้ พื้นเขียว L (กปก) QC</v>
          </cell>
          <cell r="E5868">
            <v>0</v>
          </cell>
          <cell r="F5868">
            <v>890</v>
          </cell>
        </row>
        <row r="5869">
          <cell r="A5869" t="str">
            <v>SL0884-M</v>
          </cell>
          <cell r="B5869" t="str">
            <v>L884</v>
          </cell>
          <cell r="C5869" t="str">
            <v>ซาติน แขนสั้นขาสี่ส่วน สวนดอกไม้ พื้นเขียว M (กปก)</v>
          </cell>
          <cell r="E5869">
            <v>0</v>
          </cell>
          <cell r="F5869">
            <v>890</v>
          </cell>
        </row>
        <row r="5870">
          <cell r="A5870" t="str">
            <v>SL0884-XL</v>
          </cell>
          <cell r="B5870" t="str">
            <v>QL884</v>
          </cell>
          <cell r="C5870" t="str">
            <v>ซาติน แขนสั้นขาสี่ส่วน สวนดอกไม้ พื้นเขียว XL (กปก) QC</v>
          </cell>
          <cell r="E5870">
            <v>0</v>
          </cell>
          <cell r="F5870">
            <v>890</v>
          </cell>
        </row>
        <row r="5871">
          <cell r="A5871" t="str">
            <v>SL0885-2XL</v>
          </cell>
          <cell r="B5871" t="str">
            <v>L885</v>
          </cell>
          <cell r="C5871" t="str">
            <v>ซาติน แขนสั้นขาสี่ส่วน สุนัขรวม พื้นชมพู 2XL (กปก)</v>
          </cell>
          <cell r="E5871">
            <v>0</v>
          </cell>
          <cell r="F5871">
            <v>890</v>
          </cell>
        </row>
        <row r="5872">
          <cell r="A5872" t="str">
            <v>SL0885-L</v>
          </cell>
          <cell r="B5872" t="str">
            <v>L885</v>
          </cell>
          <cell r="C5872" t="str">
            <v>ซาติน แขนสั้นขาสี่ส่วน สุนัขรวม พื้นชมพู L (กปก)</v>
          </cell>
          <cell r="E5872">
            <v>0</v>
          </cell>
          <cell r="F5872">
            <v>890</v>
          </cell>
        </row>
        <row r="5873">
          <cell r="A5873" t="str">
            <v>SL0885-M</v>
          </cell>
          <cell r="B5873" t="str">
            <v>L885</v>
          </cell>
          <cell r="C5873" t="str">
            <v>ซาติน แขนสั้นขาสี่ส่วน สุนัขรวม พื้นชมพู M (กปก)</v>
          </cell>
          <cell r="E5873">
            <v>0</v>
          </cell>
          <cell r="F5873">
            <v>890</v>
          </cell>
        </row>
        <row r="5874">
          <cell r="A5874" t="str">
            <v>SL0885-XL</v>
          </cell>
          <cell r="B5874" t="str">
            <v>L885</v>
          </cell>
          <cell r="C5874" t="str">
            <v>ซาติน แขนสั้นขาสี่ส่วน สุนัขรวม พื้นชมพู XL (กปก)</v>
          </cell>
          <cell r="E5874">
            <v>0</v>
          </cell>
          <cell r="F5874">
            <v>890</v>
          </cell>
        </row>
        <row r="5875">
          <cell r="A5875" t="str">
            <v>SL0890-2XL</v>
          </cell>
          <cell r="B5875" t="str">
            <v>QL890</v>
          </cell>
          <cell r="C5875" t="str">
            <v>ซาติน แขนสั้นขาสี่ส่วน Centella Asiatica (กปก) 2XL QC</v>
          </cell>
          <cell r="E5875">
            <v>0</v>
          </cell>
          <cell r="F5875">
            <v>850</v>
          </cell>
        </row>
        <row r="5876">
          <cell r="A5876" t="str">
            <v>SL0890-3XL</v>
          </cell>
          <cell r="B5876" t="str">
            <v>L890</v>
          </cell>
          <cell r="C5876" t="str">
            <v>ซาติน แขนสั้นขาสี่ส่วน Centella Asiatica (กปก) 3XL</v>
          </cell>
          <cell r="E5876">
            <v>0</v>
          </cell>
          <cell r="F5876">
            <v>890</v>
          </cell>
        </row>
        <row r="5877">
          <cell r="A5877" t="str">
            <v>SL0890-L</v>
          </cell>
          <cell r="B5877" t="str">
            <v>L890</v>
          </cell>
          <cell r="C5877" t="str">
            <v>ซาติน แขนสั้นขาสี่ส่วน Centella Asiatica (กปก) L</v>
          </cell>
          <cell r="E5877">
            <v>0</v>
          </cell>
          <cell r="F5877">
            <v>850</v>
          </cell>
        </row>
        <row r="5878">
          <cell r="A5878" t="str">
            <v>SL0890-M</v>
          </cell>
          <cell r="B5878" t="str">
            <v>L890</v>
          </cell>
          <cell r="C5878" t="str">
            <v>ซาติน แขนสั้นขาสี่ส่วน Centella Asiatica (กปก) M</v>
          </cell>
          <cell r="E5878">
            <v>0</v>
          </cell>
          <cell r="F5878">
            <v>850</v>
          </cell>
        </row>
        <row r="5879">
          <cell r="A5879" t="str">
            <v>SL0890-XL</v>
          </cell>
          <cell r="B5879" t="str">
            <v>L890</v>
          </cell>
          <cell r="C5879" t="str">
            <v>ซาติน แขนสั้นขาสี่ส่วน Centella Asiatica (กปก) XL</v>
          </cell>
          <cell r="E5879">
            <v>0</v>
          </cell>
          <cell r="F5879">
            <v>850</v>
          </cell>
        </row>
        <row r="5880">
          <cell r="A5880" t="str">
            <v>SL0891-2XL</v>
          </cell>
          <cell r="B5880" t="str">
            <v>L891</v>
          </cell>
          <cell r="C5880" t="str">
            <v>ซาติน แขนสั้นขาสี่ส่วน Sweety Rainbow 2XL (กปก)</v>
          </cell>
          <cell r="E5880">
            <v>0</v>
          </cell>
          <cell r="F5880">
            <v>850</v>
          </cell>
        </row>
        <row r="5881">
          <cell r="A5881" t="str">
            <v>SL0891-3XL</v>
          </cell>
          <cell r="B5881" t="str">
            <v>L891</v>
          </cell>
          <cell r="C5881" t="str">
            <v>ซาติน แขนสั้นขาสี่ส่วน Sweety Rainbow 3XL (กปก)</v>
          </cell>
          <cell r="E5881">
            <v>0</v>
          </cell>
          <cell r="F5881">
            <v>890</v>
          </cell>
        </row>
        <row r="5882">
          <cell r="A5882" t="str">
            <v>SL0891-L</v>
          </cell>
          <cell r="B5882" t="str">
            <v>L891</v>
          </cell>
          <cell r="C5882" t="str">
            <v>ซาติน แขนสั้นขาสี่ส่วน Sweety Rainbow L (กปก)</v>
          </cell>
          <cell r="E5882">
            <v>0</v>
          </cell>
          <cell r="F5882">
            <v>850</v>
          </cell>
        </row>
        <row r="5883">
          <cell r="A5883" t="str">
            <v>SL0891-M</v>
          </cell>
          <cell r="B5883" t="str">
            <v>L891</v>
          </cell>
          <cell r="C5883" t="str">
            <v>ซาติน แขนสั้นขาสี่ส่วน Sweety Rainbow M (กปก)</v>
          </cell>
          <cell r="E5883">
            <v>0</v>
          </cell>
          <cell r="F5883">
            <v>850</v>
          </cell>
        </row>
        <row r="5884">
          <cell r="A5884" t="str">
            <v>SL0891-XL</v>
          </cell>
          <cell r="B5884" t="str">
            <v>L891</v>
          </cell>
          <cell r="C5884" t="str">
            <v>ซาติน แขนสั้นขาสี่ส่วน Sweety Rainbow XL (กปก)</v>
          </cell>
          <cell r="E5884">
            <v>0</v>
          </cell>
          <cell r="F5884">
            <v>890</v>
          </cell>
        </row>
        <row r="5885">
          <cell r="A5885" t="str">
            <v>SL0892-2XL</v>
          </cell>
          <cell r="B5885" t="str">
            <v>L892</v>
          </cell>
          <cell r="C5885" t="str">
            <v>ซาติน แขนสั้นขาสี่ส่วน เสือ น้ำตาล 2XL  (กปก)</v>
          </cell>
          <cell r="E5885">
            <v>0</v>
          </cell>
          <cell r="F5885">
            <v>890</v>
          </cell>
        </row>
        <row r="5886">
          <cell r="A5886" t="str">
            <v>SL0892-3XL</v>
          </cell>
          <cell r="B5886" t="str">
            <v>L892</v>
          </cell>
          <cell r="C5886" t="str">
            <v>ซาติน แขนสั้นขาสี่ส่วน เสือ น้ำตาล 3XL  (กปก)</v>
          </cell>
          <cell r="E5886">
            <v>0</v>
          </cell>
          <cell r="F5886">
            <v>890</v>
          </cell>
        </row>
        <row r="5887">
          <cell r="A5887" t="str">
            <v>SL0892-L</v>
          </cell>
          <cell r="B5887" t="str">
            <v>L892</v>
          </cell>
          <cell r="C5887" t="str">
            <v>ซาติน แขนสั้นขาสี่ส่วน เสือ น้ำตาล L (กปก)</v>
          </cell>
          <cell r="E5887">
            <v>0</v>
          </cell>
          <cell r="F5887">
            <v>850</v>
          </cell>
        </row>
        <row r="5888">
          <cell r="A5888" t="str">
            <v>SL0892-M</v>
          </cell>
          <cell r="B5888" t="str">
            <v>L892</v>
          </cell>
          <cell r="C5888" t="str">
            <v>ซาติน แขนสั้นขาสี่ส่วน เสือ น้ำตาล M (กปก)</v>
          </cell>
          <cell r="E5888">
            <v>0</v>
          </cell>
          <cell r="F5888">
            <v>890</v>
          </cell>
        </row>
        <row r="5889">
          <cell r="A5889" t="str">
            <v>SL0892-XL</v>
          </cell>
          <cell r="B5889" t="str">
            <v>L892</v>
          </cell>
          <cell r="C5889" t="str">
            <v>ซาติน แขนสั้นขาสี่ส่วน เสือ น้ำตาล XL (กปก)</v>
          </cell>
          <cell r="E5889">
            <v>0</v>
          </cell>
          <cell r="F5889">
            <v>850</v>
          </cell>
        </row>
        <row r="5890">
          <cell r="A5890" t="str">
            <v>SL0906-2XL</v>
          </cell>
          <cell r="B5890" t="str">
            <v>L906</v>
          </cell>
          <cell r="C5890" t="str">
            <v>ซาติน แขนสั้นขาสี่ส่วน ใบไม้ขาว พื้นดำ 2XL (กปก)</v>
          </cell>
          <cell r="E5890">
            <v>0</v>
          </cell>
          <cell r="F5890">
            <v>850</v>
          </cell>
        </row>
        <row r="5891">
          <cell r="A5891" t="str">
            <v>SL0906-3XL</v>
          </cell>
          <cell r="B5891" t="str">
            <v>L906</v>
          </cell>
          <cell r="C5891" t="str">
            <v>ซาติน แขนสั้นขาสี่ส่วน ใบไม้ขาว พื้นดำ 3XL (กปก)</v>
          </cell>
          <cell r="E5891">
            <v>0</v>
          </cell>
          <cell r="F5891">
            <v>850</v>
          </cell>
        </row>
        <row r="5892">
          <cell r="A5892" t="str">
            <v>SL0906-L</v>
          </cell>
          <cell r="B5892" t="str">
            <v>L906</v>
          </cell>
          <cell r="C5892" t="str">
            <v>ซาติน แขนสั้นขาสี่ส่วน ใบไม้ขาว พื้นดำ L (กปก)</v>
          </cell>
          <cell r="E5892">
            <v>0</v>
          </cell>
          <cell r="F5892">
            <v>850</v>
          </cell>
        </row>
        <row r="5893">
          <cell r="A5893" t="str">
            <v>SL0906-M</v>
          </cell>
          <cell r="B5893" t="str">
            <v>L906</v>
          </cell>
          <cell r="C5893" t="str">
            <v>ซาติน แขนสั้นขาสี่ส่วน ใบไม้ขาว พื้นดำ M (กปก)</v>
          </cell>
          <cell r="E5893">
            <v>0</v>
          </cell>
          <cell r="F5893">
            <v>590</v>
          </cell>
        </row>
        <row r="5894">
          <cell r="A5894" t="str">
            <v>SL0906-XL</v>
          </cell>
          <cell r="B5894" t="str">
            <v>QL906</v>
          </cell>
          <cell r="C5894" t="str">
            <v>ซาติน แขนสั้นขาสี่ส่วน ใบไม้ขาว พื้นดำ XL (กปก) QC</v>
          </cell>
          <cell r="E5894">
            <v>0</v>
          </cell>
          <cell r="F5894">
            <v>890</v>
          </cell>
        </row>
        <row r="5895">
          <cell r="A5895" t="str">
            <v>SL0907-2XL</v>
          </cell>
          <cell r="B5895" t="str">
            <v>L907</v>
          </cell>
          <cell r="C5895" t="str">
            <v>ซาติน แขนสั้นขาสี่ส่วน หุบเขา ปกน้ำตาล ขอบดำ 2XL (กปก)</v>
          </cell>
          <cell r="E5895">
            <v>0</v>
          </cell>
          <cell r="F5895">
            <v>890</v>
          </cell>
        </row>
        <row r="5896">
          <cell r="A5896" t="str">
            <v>SL0907-3XL</v>
          </cell>
          <cell r="B5896" t="str">
            <v>L907</v>
          </cell>
          <cell r="C5896" t="str">
            <v>ซาติน แขนสั้นขาสี่ส่วน หุบเขา ปกน้ำตาล ขอบดำ 3XL (กปก)</v>
          </cell>
          <cell r="E5896">
            <v>0</v>
          </cell>
          <cell r="F5896">
            <v>890</v>
          </cell>
        </row>
        <row r="5897">
          <cell r="A5897" t="str">
            <v>SL0907-L</v>
          </cell>
          <cell r="B5897" t="str">
            <v>L907</v>
          </cell>
          <cell r="C5897" t="str">
            <v>ซาติน แขนสั้นขาสี่ส่วน หุบเขา ปกน้ำตาล ขอบดำ L (กปก)</v>
          </cell>
          <cell r="E5897">
            <v>0</v>
          </cell>
          <cell r="F5897">
            <v>850</v>
          </cell>
        </row>
        <row r="5898">
          <cell r="A5898" t="str">
            <v>SL0907-M</v>
          </cell>
          <cell r="B5898" t="str">
            <v>L907</v>
          </cell>
          <cell r="C5898" t="str">
            <v>ซาติน แขนสั้นขาสี่ส่วน หุบเขา ปกน้ำตาล ขอบดำ M (กปก)</v>
          </cell>
          <cell r="E5898">
            <v>0</v>
          </cell>
          <cell r="F5898">
            <v>890</v>
          </cell>
        </row>
        <row r="5899">
          <cell r="A5899" t="str">
            <v>SL0907-XL</v>
          </cell>
          <cell r="B5899" t="str">
            <v>L907</v>
          </cell>
          <cell r="C5899" t="str">
            <v>ซาติน แขนสั้นขาสี่ส่วน หุบเขา ปกน้ำตาล ขอบดำ XL (กปก)</v>
          </cell>
          <cell r="E5899">
            <v>0</v>
          </cell>
          <cell r="F5899">
            <v>850</v>
          </cell>
        </row>
        <row r="5900">
          <cell r="A5900" t="str">
            <v>SL0908-2XL</v>
          </cell>
          <cell r="B5900" t="str">
            <v>L908</v>
          </cell>
          <cell r="C5900" t="str">
            <v>ซาติน แขนสั้นขาสี่ส่วน ลายจิงโจ้ขาว พื้นม่วง 2XL (กปก)</v>
          </cell>
          <cell r="E5900">
            <v>0</v>
          </cell>
          <cell r="F5900">
            <v>850</v>
          </cell>
        </row>
        <row r="5901">
          <cell r="A5901" t="str">
            <v>SL0908-3XL</v>
          </cell>
          <cell r="B5901" t="str">
            <v>L908</v>
          </cell>
          <cell r="C5901" t="str">
            <v>ซาติน แขนสั้นขาสี่ส่วน ลายจิงโจ้ขาว พื้นม่วง 3XL (กปก)</v>
          </cell>
          <cell r="E5901">
            <v>0</v>
          </cell>
          <cell r="F5901">
            <v>890</v>
          </cell>
        </row>
        <row r="5902">
          <cell r="A5902" t="str">
            <v>SL0908-L</v>
          </cell>
          <cell r="B5902" t="str">
            <v>L908</v>
          </cell>
          <cell r="C5902" t="str">
            <v>ซาติน แขนสั้นขาสี่ส่วน ลายจิงโจ้ขาว พื้นม่วง L (กปก)</v>
          </cell>
          <cell r="E5902">
            <v>0</v>
          </cell>
          <cell r="F5902">
            <v>850</v>
          </cell>
        </row>
        <row r="5903">
          <cell r="A5903" t="str">
            <v>SL0908-M</v>
          </cell>
          <cell r="B5903" t="str">
            <v>L908</v>
          </cell>
          <cell r="C5903" t="str">
            <v>ซาติน แขนสั้นขาสี่ส่วน ลายจิงโจ้ขาว พื้นม่วง M (กปก)</v>
          </cell>
          <cell r="E5903">
            <v>0</v>
          </cell>
          <cell r="F5903">
            <v>850</v>
          </cell>
        </row>
        <row r="5904">
          <cell r="A5904" t="str">
            <v>SL0908-XL</v>
          </cell>
          <cell r="B5904" t="str">
            <v>L908</v>
          </cell>
          <cell r="C5904" t="str">
            <v>ซาติน แขนสั้นขาสี่ส่วน ลายจิงโจ้ขาว พื้นม่วง XL (กปก)</v>
          </cell>
          <cell r="E5904">
            <v>0</v>
          </cell>
          <cell r="F5904">
            <v>850</v>
          </cell>
        </row>
        <row r="5905">
          <cell r="A5905" t="str">
            <v>SL0920-2XL</v>
          </cell>
          <cell r="B5905" t="str">
            <v>L920</v>
          </cell>
          <cell r="C5905" t="str">
            <v>ซาติน แขนสั้นขาสี่ส่วน Butterfly พื้นเขียว 2XL (กปก)</v>
          </cell>
          <cell r="E5905">
            <v>0</v>
          </cell>
          <cell r="F5905">
            <v>850</v>
          </cell>
        </row>
        <row r="5906">
          <cell r="A5906" t="str">
            <v>SL0920-L</v>
          </cell>
          <cell r="B5906" t="str">
            <v>QL920</v>
          </cell>
          <cell r="C5906" t="str">
            <v>ซาติน แขนสั้นขาสี่ส่วน Butterfly พื้นเขียว L (กปก) QC</v>
          </cell>
          <cell r="E5906">
            <v>0</v>
          </cell>
          <cell r="F5906">
            <v>890</v>
          </cell>
        </row>
        <row r="5907">
          <cell r="A5907" t="str">
            <v>SL0920-M</v>
          </cell>
          <cell r="B5907" t="str">
            <v>L920</v>
          </cell>
          <cell r="C5907" t="str">
            <v>ซาติน แขนสั้นขาสี่ส่วน Butterfly พื้นเขียว M (กปก)</v>
          </cell>
          <cell r="E5907">
            <v>0</v>
          </cell>
          <cell r="F5907">
            <v>850</v>
          </cell>
        </row>
        <row r="5908">
          <cell r="A5908" t="str">
            <v>SL0920-XL</v>
          </cell>
          <cell r="B5908" t="str">
            <v>QL920</v>
          </cell>
          <cell r="C5908" t="str">
            <v>ซาติน แขนสั้นขาสี่ส่วน Butterfly พื้นเขียว XL (กปก) QC</v>
          </cell>
          <cell r="E5908">
            <v>0</v>
          </cell>
          <cell r="F5908">
            <v>890</v>
          </cell>
        </row>
        <row r="5909">
          <cell r="A5909" t="str">
            <v>SL0921-2XL</v>
          </cell>
          <cell r="B5909" t="str">
            <v>L921</v>
          </cell>
          <cell r="C5909" t="str">
            <v>ซาติน แขนสั้นขาสี่ส่วน Butterfly พื้นครีม 2XL (กปก)</v>
          </cell>
          <cell r="E5909">
            <v>0</v>
          </cell>
          <cell r="F5909">
            <v>850</v>
          </cell>
        </row>
        <row r="5910">
          <cell r="A5910" t="str">
            <v>SL0921-L</v>
          </cell>
          <cell r="B5910" t="str">
            <v>L921</v>
          </cell>
          <cell r="C5910" t="str">
            <v>ซาติน แขนสั้นขาสี่ส่วน Butterfly พื้นครีม L (กปก)</v>
          </cell>
          <cell r="E5910">
            <v>0</v>
          </cell>
          <cell r="F5910">
            <v>850</v>
          </cell>
        </row>
        <row r="5911">
          <cell r="A5911" t="str">
            <v>SL0921-M</v>
          </cell>
          <cell r="B5911" t="str">
            <v>L921</v>
          </cell>
          <cell r="C5911" t="str">
            <v>ซาติน แขนสั้นขาสี่ส่วน Butterfly พื้นครีม M (กปก)</v>
          </cell>
          <cell r="E5911">
            <v>0</v>
          </cell>
          <cell r="F5911">
            <v>850</v>
          </cell>
        </row>
        <row r="5912">
          <cell r="A5912" t="str">
            <v>SL0921-XL</v>
          </cell>
          <cell r="B5912" t="str">
            <v>L921</v>
          </cell>
          <cell r="C5912" t="str">
            <v>ซาติน แขนสั้นขาสี่ส่วน Butterfly พื้นครีม XL (กปก)</v>
          </cell>
          <cell r="E5912">
            <v>0</v>
          </cell>
          <cell r="F5912">
            <v>850</v>
          </cell>
        </row>
        <row r="5913">
          <cell r="A5913" t="str">
            <v>SL0922-2XL</v>
          </cell>
          <cell r="B5913" t="str">
            <v>QL922</v>
          </cell>
          <cell r="C5913" t="str">
            <v>ซาติน แขนสั้นขาสี่ส่วน Bird Orchid พื้นขาว 2XL  (กปก) QC</v>
          </cell>
          <cell r="E5913">
            <v>0</v>
          </cell>
          <cell r="F5913">
            <v>890</v>
          </cell>
        </row>
        <row r="5914">
          <cell r="A5914" t="str">
            <v>SL0922-L</v>
          </cell>
          <cell r="B5914" t="str">
            <v>L922</v>
          </cell>
          <cell r="C5914" t="str">
            <v>ซาติน แขนสั้นขาสี่ส่วน Bird Orchid พื้นขาว L (กปก)</v>
          </cell>
          <cell r="E5914">
            <v>0</v>
          </cell>
          <cell r="F5914">
            <v>850</v>
          </cell>
        </row>
        <row r="5915">
          <cell r="A5915" t="str">
            <v>SL0922-M</v>
          </cell>
          <cell r="B5915" t="str">
            <v>QL922</v>
          </cell>
          <cell r="C5915" t="str">
            <v>ซาติน แขนสั้นขาสี่ส่วน Bird Orchid พื้นขาว M (กปก) QC</v>
          </cell>
          <cell r="E5915">
            <v>0</v>
          </cell>
          <cell r="F5915">
            <v>890</v>
          </cell>
        </row>
        <row r="5916">
          <cell r="A5916" t="str">
            <v>SL0922-XL</v>
          </cell>
          <cell r="B5916" t="str">
            <v>L922</v>
          </cell>
          <cell r="C5916" t="str">
            <v>ซาติน แขนสั้นขาสี่ส่วน Bird Orchid พื้นขาว XL (กปก)</v>
          </cell>
          <cell r="E5916">
            <v>0</v>
          </cell>
          <cell r="F5916">
            <v>850</v>
          </cell>
        </row>
        <row r="5917">
          <cell r="A5917" t="str">
            <v>SL0923-2XL</v>
          </cell>
          <cell r="B5917" t="str">
            <v>L923</v>
          </cell>
          <cell r="C5917" t="str">
            <v>ซาติน แขนสั้นขาสี่ส่วน Jungle Cruise ดำ (กปก) 2XL</v>
          </cell>
          <cell r="E5917">
            <v>0</v>
          </cell>
          <cell r="F5917">
            <v>890</v>
          </cell>
        </row>
        <row r="5918">
          <cell r="A5918" t="str">
            <v>SL0923-3XL</v>
          </cell>
          <cell r="B5918" t="str">
            <v>L923</v>
          </cell>
          <cell r="C5918" t="str">
            <v>ซาติน แขนสั้นขาสี่ส่วน Jungle Cruise ดำ (กปก) 3XL</v>
          </cell>
          <cell r="E5918">
            <v>0</v>
          </cell>
          <cell r="F5918">
            <v>850</v>
          </cell>
        </row>
        <row r="5919">
          <cell r="A5919" t="str">
            <v>SL0923-L</v>
          </cell>
          <cell r="B5919" t="str">
            <v>L923</v>
          </cell>
          <cell r="C5919" t="str">
            <v>ซาติน แขนสั้นขาสี่ส่วน Jungle Cruise ดำ (กปก) L</v>
          </cell>
          <cell r="E5919">
            <v>0</v>
          </cell>
          <cell r="F5919">
            <v>890</v>
          </cell>
        </row>
        <row r="5920">
          <cell r="A5920" t="str">
            <v>SL0923-M</v>
          </cell>
          <cell r="B5920" t="str">
            <v>L923</v>
          </cell>
          <cell r="C5920" t="str">
            <v>ซาติน แขนสั้นขาสี่ส่วน Jungle Cruise ดำ (กปก) M</v>
          </cell>
          <cell r="E5920">
            <v>0</v>
          </cell>
          <cell r="F5920">
            <v>590</v>
          </cell>
        </row>
        <row r="5921">
          <cell r="A5921" t="str">
            <v>SL0923-XL</v>
          </cell>
          <cell r="B5921" t="str">
            <v>L923</v>
          </cell>
          <cell r="C5921" t="str">
            <v>ซาติน แขนสั้นขาสี่ส่วน Jungle Cruise ดำ (กปก) XL</v>
          </cell>
          <cell r="E5921">
            <v>0</v>
          </cell>
          <cell r="F5921">
            <v>890</v>
          </cell>
        </row>
        <row r="5922">
          <cell r="A5922" t="str">
            <v>SL0924-2XL</v>
          </cell>
          <cell r="B5922" t="str">
            <v>L924</v>
          </cell>
          <cell r="C5922" t="str">
            <v>ซาติน แขนสั้นขาสี่ส่วน Jungle Cruise ครีม (กปก) 2XL</v>
          </cell>
          <cell r="E5922">
            <v>0</v>
          </cell>
          <cell r="F5922">
            <v>890</v>
          </cell>
        </row>
        <row r="5923">
          <cell r="A5923" t="str">
            <v>SL0924-3XL</v>
          </cell>
          <cell r="B5923" t="str">
            <v>L924</v>
          </cell>
          <cell r="C5923" t="str">
            <v>ซาติน แขนสั้นขาสี่ส่วน Jungle Cruise ครีม (กปก) 3XL</v>
          </cell>
          <cell r="E5923">
            <v>0</v>
          </cell>
          <cell r="F5923">
            <v>850</v>
          </cell>
        </row>
        <row r="5924">
          <cell r="A5924" t="str">
            <v>SL0924-L</v>
          </cell>
          <cell r="B5924" t="str">
            <v>L924</v>
          </cell>
          <cell r="C5924" t="str">
            <v>ซาติน แขนสั้นขาสี่ส่วน Jungle Cruise ครีม (กปก) L</v>
          </cell>
          <cell r="E5924">
            <v>0</v>
          </cell>
          <cell r="F5924">
            <v>890</v>
          </cell>
        </row>
        <row r="5925">
          <cell r="A5925" t="str">
            <v>SL0924-M</v>
          </cell>
          <cell r="B5925" t="str">
            <v>L924</v>
          </cell>
          <cell r="C5925" t="str">
            <v>ซาติน แขนสั้นขาสี่ส่วน Jungle Cruise ครีม (กปก) M</v>
          </cell>
          <cell r="E5925">
            <v>0</v>
          </cell>
          <cell r="F5925">
            <v>590</v>
          </cell>
        </row>
        <row r="5926">
          <cell r="A5926" t="str">
            <v>SL0924-XL</v>
          </cell>
          <cell r="B5926" t="str">
            <v>L924</v>
          </cell>
          <cell r="C5926" t="str">
            <v>ซาติน แขนสั้นขาสี่ส่วน Jungle Cruise ครีม (กปก) XL</v>
          </cell>
          <cell r="E5926">
            <v>0</v>
          </cell>
          <cell r="F5926">
            <v>890</v>
          </cell>
        </row>
        <row r="5927">
          <cell r="A5927" t="str">
            <v>SL0925-2XL</v>
          </cell>
          <cell r="B5927" t="str">
            <v>L925</v>
          </cell>
          <cell r="C5927" t="str">
            <v>ซาติน แขนสั้นขาสี่ส่วน Bird Orchid พื้นเขียว 2XL  (กปก)</v>
          </cell>
          <cell r="E5927">
            <v>0</v>
          </cell>
          <cell r="F5927">
            <v>890</v>
          </cell>
        </row>
        <row r="5928">
          <cell r="A5928" t="str">
            <v>SL0925-L</v>
          </cell>
          <cell r="B5928" t="str">
            <v>L925</v>
          </cell>
          <cell r="C5928" t="str">
            <v>ซาติน แขนสั้นขาสี่ส่วน Bird Orchid พื้นเขียว L (กปก)</v>
          </cell>
          <cell r="E5928">
            <v>0</v>
          </cell>
          <cell r="F5928">
            <v>890</v>
          </cell>
        </row>
        <row r="5929">
          <cell r="A5929" t="str">
            <v>SL0925-M</v>
          </cell>
          <cell r="B5929" t="str">
            <v>L925</v>
          </cell>
          <cell r="C5929" t="str">
            <v>ซาติน แขนสั้นขาสี่ส่วน Bird Orchid พื้นเขียว M (กปก)</v>
          </cell>
          <cell r="E5929">
            <v>0</v>
          </cell>
          <cell r="F5929">
            <v>890</v>
          </cell>
        </row>
        <row r="5930">
          <cell r="A5930" t="str">
            <v>SL0925-XL</v>
          </cell>
          <cell r="B5930" t="str">
            <v>L925</v>
          </cell>
          <cell r="C5930" t="str">
            <v>ซาติน แขนสั้นขาสี่ส่วน Bird Orchid พื้นเขียว XL (กปก)</v>
          </cell>
          <cell r="E5930">
            <v>0</v>
          </cell>
          <cell r="F5930">
            <v>850</v>
          </cell>
        </row>
        <row r="5931">
          <cell r="A5931" t="str">
            <v>SL0926-2XL</v>
          </cell>
          <cell r="B5931" t="str">
            <v>L926</v>
          </cell>
          <cell r="C5931" t="str">
            <v>ซาติน แขนสั้นขาสี่ส่วน พื้นกรม ลายม้าลาย 2XL (กปก)</v>
          </cell>
          <cell r="E5931">
            <v>0</v>
          </cell>
          <cell r="F5931">
            <v>890</v>
          </cell>
        </row>
        <row r="5932">
          <cell r="A5932" t="str">
            <v>SL0926-3XL</v>
          </cell>
          <cell r="B5932" t="str">
            <v>L926</v>
          </cell>
          <cell r="C5932" t="str">
            <v>ซาติน แขนสั้นขาสี่ส่วน พื้นกรม ลายม้าลาย 3XL (กปก)</v>
          </cell>
          <cell r="E5932">
            <v>0</v>
          </cell>
          <cell r="F5932">
            <v>850</v>
          </cell>
        </row>
        <row r="5933">
          <cell r="A5933" t="str">
            <v>SL0926-L</v>
          </cell>
          <cell r="B5933" t="str">
            <v>L926</v>
          </cell>
          <cell r="C5933" t="str">
            <v>ซาติน แขนสั้นขาสี่ส่วน พื้นกรม ลายม้าลาย L (กปก)</v>
          </cell>
          <cell r="E5933">
            <v>0</v>
          </cell>
          <cell r="F5933">
            <v>850</v>
          </cell>
        </row>
        <row r="5934">
          <cell r="A5934" t="str">
            <v>SL0926-M</v>
          </cell>
          <cell r="B5934" t="str">
            <v>L926</v>
          </cell>
          <cell r="C5934" t="str">
            <v>ซาติน แขนสั้นขาสี่ส่วน พื้นกรม ลายม้าลาย M (กปก)</v>
          </cell>
          <cell r="E5934">
            <v>0</v>
          </cell>
          <cell r="F5934">
            <v>850</v>
          </cell>
        </row>
        <row r="5935">
          <cell r="A5935" t="str">
            <v>SL0926-XL</v>
          </cell>
          <cell r="B5935" t="str">
            <v>L926</v>
          </cell>
          <cell r="C5935" t="str">
            <v>ซาติน แขนสั้นขาสี่ส่วน พื้นกรม ลายม้าลาย XL (กปก)</v>
          </cell>
          <cell r="E5935">
            <v>0</v>
          </cell>
          <cell r="F5935">
            <v>850</v>
          </cell>
        </row>
        <row r="5936">
          <cell r="A5936" t="str">
            <v>SL0927-2XL</v>
          </cell>
          <cell r="B5936" t="str">
            <v>L927</v>
          </cell>
          <cell r="C5936" t="str">
            <v>ซาติน แขนสั้นขาสี่ส่วน หน้าแมว พื้นดำ 2XL</v>
          </cell>
          <cell r="E5936">
            <v>0</v>
          </cell>
          <cell r="F5936">
            <v>850</v>
          </cell>
        </row>
        <row r="5937">
          <cell r="A5937" t="str">
            <v>SL0927-3XL</v>
          </cell>
          <cell r="B5937" t="str">
            <v>L927</v>
          </cell>
          <cell r="C5937" t="str">
            <v>ซาติน แขนสั้นขายาว หน้าแมว พื้นดำ 3XL</v>
          </cell>
          <cell r="E5937">
            <v>0</v>
          </cell>
          <cell r="F5937">
            <v>850</v>
          </cell>
        </row>
        <row r="5938">
          <cell r="A5938" t="str">
            <v>SL0927-L</v>
          </cell>
          <cell r="B5938" t="str">
            <v>L927</v>
          </cell>
          <cell r="C5938" t="str">
            <v>ซาติน แขนสั้นขาสี่ส่วน หน้าแมว พื้นดำ L</v>
          </cell>
          <cell r="E5938">
            <v>0</v>
          </cell>
          <cell r="F5938">
            <v>850</v>
          </cell>
        </row>
        <row r="5939">
          <cell r="A5939" t="str">
            <v>SL0927-M</v>
          </cell>
          <cell r="B5939" t="str">
            <v>L927</v>
          </cell>
          <cell r="C5939" t="str">
            <v>ซาติน แขนสั้นขาสี่ส่วน หน้าแมว พื้นดำ M</v>
          </cell>
          <cell r="E5939">
            <v>0</v>
          </cell>
          <cell r="F5939">
            <v>850</v>
          </cell>
        </row>
        <row r="5940">
          <cell r="A5940" t="str">
            <v>SL0927-XL</v>
          </cell>
          <cell r="B5940" t="str">
            <v>L927</v>
          </cell>
          <cell r="C5940" t="str">
            <v>ซาติน แขนสั้นขาสี่ส่วน หน้าแมว พื้นดำ XL</v>
          </cell>
          <cell r="E5940">
            <v>0</v>
          </cell>
          <cell r="F5940">
            <v>850</v>
          </cell>
        </row>
        <row r="5941">
          <cell r="A5941" t="str">
            <v>SL0928-2XL</v>
          </cell>
          <cell r="B5941" t="str">
            <v>L928</v>
          </cell>
          <cell r="C5941" t="str">
            <v>ซาติน แขนสั้นขาสี่ส่วน ลายทางน้ำตาล 2XL (กปก)</v>
          </cell>
          <cell r="E5941">
            <v>0</v>
          </cell>
          <cell r="F5941">
            <v>890</v>
          </cell>
        </row>
        <row r="5942">
          <cell r="A5942" t="str">
            <v>SL0928-3XL</v>
          </cell>
          <cell r="B5942" t="str">
            <v>L928</v>
          </cell>
          <cell r="C5942" t="str">
            <v>ซาติน แขนสั้นขาสี่ส่วน ลายทางน้ำตาล 3XL (กปก)</v>
          </cell>
          <cell r="E5942">
            <v>0</v>
          </cell>
          <cell r="F5942">
            <v>890</v>
          </cell>
        </row>
        <row r="5943">
          <cell r="A5943" t="str">
            <v>SL0928-L</v>
          </cell>
          <cell r="B5943" t="str">
            <v>L928</v>
          </cell>
          <cell r="C5943" t="str">
            <v>ซาติน แขนสั้นขาสี่ส่วน ลายทางน้ำตาล L (กปก)</v>
          </cell>
          <cell r="E5943">
            <v>0</v>
          </cell>
          <cell r="F5943">
            <v>850</v>
          </cell>
        </row>
        <row r="5944">
          <cell r="A5944" t="str">
            <v>SL0928-M</v>
          </cell>
          <cell r="B5944" t="str">
            <v>QL928</v>
          </cell>
          <cell r="C5944" t="str">
            <v>ซาติน แขนสั้นขาสี่ส่วน ลายทางน้ำตาล M (กปก) QC</v>
          </cell>
          <cell r="E5944">
            <v>0</v>
          </cell>
          <cell r="F5944">
            <v>890</v>
          </cell>
        </row>
        <row r="5945">
          <cell r="A5945" t="str">
            <v>SL0928-XL</v>
          </cell>
          <cell r="B5945" t="str">
            <v>L928</v>
          </cell>
          <cell r="C5945" t="str">
            <v>ซาติน แขนสั้นขาสี่ส่วน ลายทางน้ำตาล XL (กปก)</v>
          </cell>
          <cell r="E5945">
            <v>0</v>
          </cell>
          <cell r="F5945">
            <v>850</v>
          </cell>
        </row>
        <row r="5946">
          <cell r="A5946" t="str">
            <v>SL0929-2XL</v>
          </cell>
          <cell r="B5946" t="str">
            <v>L929</v>
          </cell>
          <cell r="C5946" t="str">
            <v>ซาติน แขนสั้นขาสี่ส่วน ดอกไม้ฟ้า ปะการัง ปกชมพู 2XL</v>
          </cell>
          <cell r="E5946">
            <v>0</v>
          </cell>
          <cell r="F5946">
            <v>850</v>
          </cell>
        </row>
        <row r="5947">
          <cell r="A5947" t="str">
            <v>SL0929-3XL</v>
          </cell>
          <cell r="B5947" t="str">
            <v>L929</v>
          </cell>
          <cell r="C5947" t="str">
            <v>ซาติน แขนสั้นขาสี่ส่วน ดอกไม้ฟ้า ปะการัง ปกชมพู 3XL</v>
          </cell>
          <cell r="E5947">
            <v>0</v>
          </cell>
          <cell r="F5947">
            <v>850</v>
          </cell>
        </row>
        <row r="5948">
          <cell r="A5948" t="str">
            <v>SL0929-L</v>
          </cell>
          <cell r="B5948" t="str">
            <v>L929</v>
          </cell>
          <cell r="C5948" t="str">
            <v>ซาติน แขนสั้นขาสี่ส่วน ดอกไม้ฟ้า ปะการัง ปกชมพู L</v>
          </cell>
          <cell r="E5948">
            <v>0</v>
          </cell>
          <cell r="F5948">
            <v>850</v>
          </cell>
        </row>
        <row r="5949">
          <cell r="A5949" t="str">
            <v>SL0929-M</v>
          </cell>
          <cell r="B5949" t="str">
            <v>L929</v>
          </cell>
          <cell r="C5949" t="str">
            <v>ซาติน แขนสั้นขาสี่ส่วน ดอกไม้ฟ้า ปะการัง ปกชมพู M</v>
          </cell>
          <cell r="E5949">
            <v>0</v>
          </cell>
          <cell r="F5949">
            <v>890</v>
          </cell>
        </row>
        <row r="5950">
          <cell r="A5950" t="str">
            <v>SL0929-XL</v>
          </cell>
          <cell r="B5950" t="str">
            <v>L929</v>
          </cell>
          <cell r="C5950" t="str">
            <v>ซาติน แขนสั้นขาสี่ส่วน ดอกไม้ฟ้า ปะการัง ปกชมพู XL</v>
          </cell>
          <cell r="E5950">
            <v>0</v>
          </cell>
          <cell r="F5950">
            <v>890</v>
          </cell>
        </row>
        <row r="5951">
          <cell r="A5951" t="str">
            <v>SL0930-2XL</v>
          </cell>
          <cell r="B5951" t="str">
            <v>L930</v>
          </cell>
          <cell r="C5951" t="str">
            <v>ซาติน แขนสั้นขาสี่ส่วน pinky 2XL (กปก)</v>
          </cell>
          <cell r="E5951">
            <v>0</v>
          </cell>
          <cell r="F5951">
            <v>850</v>
          </cell>
        </row>
        <row r="5952">
          <cell r="A5952" t="str">
            <v>SL0930-3XL</v>
          </cell>
          <cell r="B5952" t="str">
            <v>L930</v>
          </cell>
          <cell r="C5952" t="str">
            <v>ซาติน แขนสั้นขาสี่ส่วน pinky 3XL (กปก)</v>
          </cell>
          <cell r="E5952">
            <v>0</v>
          </cell>
          <cell r="F5952">
            <v>890</v>
          </cell>
        </row>
        <row r="5953">
          <cell r="A5953" t="str">
            <v>SL0930-L</v>
          </cell>
          <cell r="B5953" t="str">
            <v>L930</v>
          </cell>
          <cell r="C5953" t="str">
            <v>ซาติน แขนสั้นขาสี่ส่วน pinky L (กปก)</v>
          </cell>
          <cell r="E5953">
            <v>0</v>
          </cell>
          <cell r="F5953">
            <v>890</v>
          </cell>
        </row>
        <row r="5954">
          <cell r="A5954" t="str">
            <v>SL0930-M</v>
          </cell>
          <cell r="B5954" t="str">
            <v>L930</v>
          </cell>
          <cell r="C5954" t="str">
            <v>ซาติน แขนสั้นขาสี่ส่วน pinky M (กปก)</v>
          </cell>
          <cell r="E5954">
            <v>0</v>
          </cell>
          <cell r="F5954">
            <v>850</v>
          </cell>
        </row>
        <row r="5955">
          <cell r="A5955" t="str">
            <v>SL0930-XL</v>
          </cell>
          <cell r="B5955" t="str">
            <v>L930</v>
          </cell>
          <cell r="C5955" t="str">
            <v>ซาติน แขนสั้นขาสี่ส่วน pinky XL (กปก)</v>
          </cell>
          <cell r="E5955">
            <v>0</v>
          </cell>
          <cell r="F5955">
            <v>850</v>
          </cell>
        </row>
        <row r="5956">
          <cell r="A5956" t="str">
            <v>SL0931-2XL</v>
          </cell>
          <cell r="B5956" t="str">
            <v>L931</v>
          </cell>
          <cell r="C5956" t="str">
            <v>ซาติน แขนสั้นขาสี่ส่วน olivia 2XL (กปก)</v>
          </cell>
          <cell r="E5956">
            <v>0</v>
          </cell>
          <cell r="F5956">
            <v>850</v>
          </cell>
        </row>
        <row r="5957">
          <cell r="A5957" t="str">
            <v>SL0931-3XL</v>
          </cell>
          <cell r="B5957" t="str">
            <v>L931</v>
          </cell>
          <cell r="C5957" t="str">
            <v>ซาติน แขนสั้นขาสี่ส่วน olivia 3XL (กปก)</v>
          </cell>
          <cell r="E5957">
            <v>0</v>
          </cell>
          <cell r="F5957">
            <v>890</v>
          </cell>
        </row>
        <row r="5958">
          <cell r="A5958" t="str">
            <v>SL0931-L</v>
          </cell>
          <cell r="B5958" t="str">
            <v>L931</v>
          </cell>
          <cell r="C5958" t="str">
            <v>ซาติน แขนสั้นขาสี่ส่วน olivia L (กปก)</v>
          </cell>
          <cell r="E5958">
            <v>0</v>
          </cell>
          <cell r="F5958">
            <v>890</v>
          </cell>
        </row>
        <row r="5959">
          <cell r="A5959" t="str">
            <v>SL0931-M</v>
          </cell>
          <cell r="B5959" t="str">
            <v>L931</v>
          </cell>
          <cell r="C5959" t="str">
            <v>ซาติน แขนสั้นขาสี่ส่วน olivia M (กปก)</v>
          </cell>
          <cell r="E5959">
            <v>0</v>
          </cell>
          <cell r="F5959">
            <v>850</v>
          </cell>
        </row>
        <row r="5960">
          <cell r="A5960" t="str">
            <v>SL0931-XL</v>
          </cell>
          <cell r="B5960" t="str">
            <v>L931</v>
          </cell>
          <cell r="C5960" t="str">
            <v>ซาติน แขนสั้นขาสี่ส่วน olivia XL (กปก)</v>
          </cell>
          <cell r="E5960">
            <v>0</v>
          </cell>
          <cell r="F5960">
            <v>850</v>
          </cell>
        </row>
        <row r="5961">
          <cell r="A5961" t="str">
            <v>SL0932-2XL</v>
          </cell>
          <cell r="B5961" t="str">
            <v>L932</v>
          </cell>
          <cell r="C5961" t="str">
            <v>ซาติน แขนสั้นขาสี่ส่วน violet 2XL (กปก)</v>
          </cell>
          <cell r="E5961">
            <v>0</v>
          </cell>
          <cell r="F5961">
            <v>890</v>
          </cell>
        </row>
        <row r="5962">
          <cell r="A5962" t="str">
            <v>SL0932-3XL</v>
          </cell>
          <cell r="B5962" t="str">
            <v>L932</v>
          </cell>
          <cell r="C5962" t="str">
            <v>ซาติน แขนสั้นขาสี่ส่วน violet 3XL (กปก)</v>
          </cell>
          <cell r="E5962">
            <v>0</v>
          </cell>
          <cell r="F5962">
            <v>850</v>
          </cell>
        </row>
        <row r="5963">
          <cell r="A5963" t="str">
            <v>SL0932-L</v>
          </cell>
          <cell r="B5963" t="str">
            <v>L932</v>
          </cell>
          <cell r="C5963" t="str">
            <v>ซาติน แขนสั้นขาสี่ส่วน violet L (กปก)</v>
          </cell>
          <cell r="E5963">
            <v>0</v>
          </cell>
          <cell r="F5963">
            <v>850</v>
          </cell>
        </row>
        <row r="5964">
          <cell r="A5964" t="str">
            <v>SL0932-M</v>
          </cell>
          <cell r="B5964" t="str">
            <v>QL932</v>
          </cell>
          <cell r="C5964" t="str">
            <v>ซาติน แขนสั้นขาสี่ส่วน violet M (กปก) QC</v>
          </cell>
          <cell r="E5964">
            <v>0</v>
          </cell>
          <cell r="F5964">
            <v>850</v>
          </cell>
        </row>
        <row r="5965">
          <cell r="A5965" t="str">
            <v>SL0932-XL</v>
          </cell>
          <cell r="B5965" t="str">
            <v>L932</v>
          </cell>
          <cell r="C5965" t="str">
            <v>ซาติน แขนสั้นขาสี่ส่วน violet XL (กปก)</v>
          </cell>
          <cell r="E5965">
            <v>0</v>
          </cell>
          <cell r="F5965">
            <v>850</v>
          </cell>
        </row>
        <row r="5966">
          <cell r="A5966" t="str">
            <v>SL0934-2XL</v>
          </cell>
          <cell r="B5966" t="str">
            <v>L934</v>
          </cell>
          <cell r="C5966" t="str">
            <v>ซาติน แขนสั้นขาสี่ส่วน navy 2XL (กปก)</v>
          </cell>
          <cell r="E5966">
            <v>0</v>
          </cell>
          <cell r="F5966">
            <v>850</v>
          </cell>
        </row>
        <row r="5967">
          <cell r="A5967" t="str">
            <v>SL0934-3XL</v>
          </cell>
          <cell r="B5967" t="str">
            <v>L934</v>
          </cell>
          <cell r="C5967" t="str">
            <v>ซาติน แขนสั้นขาสี่ส่วน navy 3XL (กปก)</v>
          </cell>
          <cell r="E5967">
            <v>0</v>
          </cell>
          <cell r="F5967">
            <v>850</v>
          </cell>
        </row>
        <row r="5968">
          <cell r="A5968" t="str">
            <v>SL0934-L</v>
          </cell>
          <cell r="B5968" t="str">
            <v>L934</v>
          </cell>
          <cell r="C5968" t="str">
            <v>ซาติน แขนสั้นขาสี่ส่วน navy L (กปก)</v>
          </cell>
          <cell r="E5968">
            <v>0</v>
          </cell>
          <cell r="F5968">
            <v>890</v>
          </cell>
        </row>
        <row r="5969">
          <cell r="A5969" t="str">
            <v>SL0934-M</v>
          </cell>
          <cell r="B5969" t="str">
            <v>L934</v>
          </cell>
          <cell r="C5969" t="str">
            <v>ซาติน แขนสั้นขาสี่ส่วน navy M (กปก)</v>
          </cell>
          <cell r="E5969">
            <v>0</v>
          </cell>
          <cell r="F5969">
            <v>850</v>
          </cell>
        </row>
        <row r="5970">
          <cell r="A5970" t="str">
            <v>SL0934-XL</v>
          </cell>
          <cell r="B5970" t="str">
            <v>L934</v>
          </cell>
          <cell r="C5970" t="str">
            <v>ซาติน แขนสั้นขาสี่ส่วน navy XL (กปก)</v>
          </cell>
          <cell r="E5970">
            <v>0</v>
          </cell>
          <cell r="F5970">
            <v>850</v>
          </cell>
        </row>
        <row r="5971">
          <cell r="A5971" t="str">
            <v>SL0935-2XL</v>
          </cell>
          <cell r="B5971" t="str">
            <v>L935</v>
          </cell>
          <cell r="C5971" t="str">
            <v>ซาติน แขนสั้นขาสี่ส่วน Cute old totoro 2XL (กปก)</v>
          </cell>
          <cell r="E5971">
            <v>0</v>
          </cell>
          <cell r="F5971">
            <v>890</v>
          </cell>
        </row>
        <row r="5972">
          <cell r="A5972" t="str">
            <v>SL0935-3XL</v>
          </cell>
          <cell r="B5972" t="str">
            <v>L935</v>
          </cell>
          <cell r="C5972" t="str">
            <v>ซาติน แขนสั้นขาสี่ส่วน Cute old totoro 3XL (กปก)</v>
          </cell>
          <cell r="E5972">
            <v>0</v>
          </cell>
          <cell r="F5972">
            <v>850</v>
          </cell>
        </row>
        <row r="5973">
          <cell r="A5973" t="str">
            <v>SL0935-L</v>
          </cell>
          <cell r="B5973" t="str">
            <v>L935</v>
          </cell>
          <cell r="C5973" t="str">
            <v>ซาติน แขนสั้นขาสี่ส่วน Cute old totoro L (กปก)</v>
          </cell>
          <cell r="E5973">
            <v>0</v>
          </cell>
          <cell r="F5973">
            <v>850</v>
          </cell>
        </row>
        <row r="5974">
          <cell r="A5974" t="str">
            <v>SL0935-M</v>
          </cell>
          <cell r="B5974" t="str">
            <v>QL935</v>
          </cell>
          <cell r="C5974" t="str">
            <v>ซาติน แขนสั้นขาสี่ส่วน Cute old totoro M (กปก) QC</v>
          </cell>
          <cell r="E5974">
            <v>0</v>
          </cell>
          <cell r="F5974">
            <v>850</v>
          </cell>
        </row>
        <row r="5975">
          <cell r="A5975" t="str">
            <v>SL0935-XL</v>
          </cell>
          <cell r="B5975" t="str">
            <v>L935</v>
          </cell>
          <cell r="C5975" t="str">
            <v>ซาติน แขนสั้นขาสี่ส่วน Cute old totoro XL (กปก)</v>
          </cell>
          <cell r="E5975">
            <v>0</v>
          </cell>
          <cell r="F5975">
            <v>850</v>
          </cell>
        </row>
        <row r="5976">
          <cell r="A5976" t="str">
            <v>SL0937-2XL</v>
          </cell>
          <cell r="B5976" t="str">
            <v>L937</v>
          </cell>
          <cell r="C5976" t="str">
            <v>ซาติน แขนสั้นขาสี่ส่วน Little pink tiger 2XL</v>
          </cell>
          <cell r="E5976">
            <v>0</v>
          </cell>
          <cell r="F5976">
            <v>890</v>
          </cell>
        </row>
        <row r="5977">
          <cell r="A5977" t="str">
            <v>SL0937-3XL</v>
          </cell>
          <cell r="B5977" t="str">
            <v>L937</v>
          </cell>
          <cell r="C5977" t="str">
            <v>ซาติน แขนสั้นขาสี่ส่วน Little pink tiger 3XL</v>
          </cell>
          <cell r="E5977">
            <v>0</v>
          </cell>
          <cell r="F5977">
            <v>890</v>
          </cell>
        </row>
        <row r="5978">
          <cell r="A5978" t="str">
            <v>SL0937-L</v>
          </cell>
          <cell r="B5978" t="str">
            <v>L937</v>
          </cell>
          <cell r="C5978" t="str">
            <v>ซาติน แขนสั้นขาสี่ส่วน Little pink tiger L</v>
          </cell>
          <cell r="E5978">
            <v>0</v>
          </cell>
          <cell r="F5978">
            <v>850</v>
          </cell>
        </row>
        <row r="5979">
          <cell r="A5979" t="str">
            <v>SL0937-M</v>
          </cell>
          <cell r="B5979" t="str">
            <v>L937</v>
          </cell>
          <cell r="C5979" t="str">
            <v>ซาติน แขนสั้นขาสี่ส่วน Little pink tiger M</v>
          </cell>
          <cell r="E5979">
            <v>0</v>
          </cell>
          <cell r="F5979">
            <v>850</v>
          </cell>
        </row>
        <row r="5980">
          <cell r="A5980" t="str">
            <v>SL0937-XL</v>
          </cell>
          <cell r="B5980" t="str">
            <v>L937</v>
          </cell>
          <cell r="C5980" t="str">
            <v>ซาติน แขนสั้นขาสี่ส่วน Little pink tiger XL</v>
          </cell>
          <cell r="E5980">
            <v>0</v>
          </cell>
          <cell r="F5980">
            <v>850</v>
          </cell>
        </row>
        <row r="5981">
          <cell r="A5981" t="str">
            <v>SL0938-2XL</v>
          </cell>
          <cell r="B5981" t="str">
            <v>QL938</v>
          </cell>
          <cell r="C5981" t="str">
            <v>ซาติน แขนสั้นขาสี่ส่วน Navy Timber 2XL QC</v>
          </cell>
          <cell r="E5981">
            <v>0</v>
          </cell>
          <cell r="F5981">
            <v>890</v>
          </cell>
        </row>
        <row r="5982">
          <cell r="A5982" t="str">
            <v>SL0938-3XL</v>
          </cell>
          <cell r="B5982" t="str">
            <v>L938</v>
          </cell>
          <cell r="C5982" t="str">
            <v>ซาติน แขนสั้นขาสี่ส่วน Black forest 3XL</v>
          </cell>
          <cell r="E5982">
            <v>0</v>
          </cell>
          <cell r="F5982">
            <v>850</v>
          </cell>
        </row>
        <row r="5983">
          <cell r="A5983" t="str">
            <v>SL0938-L</v>
          </cell>
          <cell r="B5983" t="str">
            <v>L938</v>
          </cell>
          <cell r="C5983" t="str">
            <v>ซาติน แขนสั้นขาสี่ส่วน Navy Timber L</v>
          </cell>
          <cell r="E5983">
            <v>0</v>
          </cell>
          <cell r="F5983">
            <v>890</v>
          </cell>
        </row>
        <row r="5984">
          <cell r="A5984" t="str">
            <v>SL0938-M</v>
          </cell>
          <cell r="B5984" t="str">
            <v>L938</v>
          </cell>
          <cell r="C5984" t="str">
            <v>ซาติน แขนสั้นขาสี่ส่วน Navy Timber M</v>
          </cell>
          <cell r="E5984">
            <v>0</v>
          </cell>
          <cell r="F5984">
            <v>890</v>
          </cell>
        </row>
        <row r="5985">
          <cell r="A5985" t="str">
            <v>SL0938-XL</v>
          </cell>
          <cell r="B5985" t="str">
            <v>L938</v>
          </cell>
          <cell r="C5985" t="str">
            <v>ซาติน แขนสั้นขาสี่ส่วน Navy Timber XL</v>
          </cell>
          <cell r="E5985">
            <v>0</v>
          </cell>
          <cell r="F5985">
            <v>890</v>
          </cell>
        </row>
        <row r="5986">
          <cell r="A5986" t="str">
            <v>SL0941-2XL</v>
          </cell>
          <cell r="B5986" t="str">
            <v>L941</v>
          </cell>
          <cell r="C5986" t="str">
            <v>ซาติน แขนสั้นขาสี่ส่วน Ebony Tiger Lily 2XL</v>
          </cell>
          <cell r="E5986">
            <v>0</v>
          </cell>
          <cell r="F5986">
            <v>890</v>
          </cell>
        </row>
        <row r="5987">
          <cell r="A5987" t="str">
            <v>SL0941-L</v>
          </cell>
          <cell r="B5987" t="str">
            <v>L941</v>
          </cell>
          <cell r="C5987" t="str">
            <v>ซาติน แขนสั้นขาสี่ส่วน Ebony Tiger Lily L</v>
          </cell>
          <cell r="E5987">
            <v>0</v>
          </cell>
          <cell r="F5987">
            <v>890</v>
          </cell>
        </row>
        <row r="5988">
          <cell r="A5988" t="str">
            <v>SL0941-M</v>
          </cell>
          <cell r="B5988" t="str">
            <v>L941</v>
          </cell>
          <cell r="C5988" t="str">
            <v>ซาติน แขนสั้นขาสี่ส่วน Ebony Tiger Lily M</v>
          </cell>
          <cell r="E5988">
            <v>0</v>
          </cell>
          <cell r="F5988">
            <v>890</v>
          </cell>
        </row>
        <row r="5989">
          <cell r="A5989" t="str">
            <v>SL0941-XL</v>
          </cell>
          <cell r="B5989" t="str">
            <v>L941</v>
          </cell>
          <cell r="C5989" t="str">
            <v>ซาติน แขนสั้นขาสี่ส่วน Ebony Tiger Lily XL</v>
          </cell>
          <cell r="E5989">
            <v>0</v>
          </cell>
          <cell r="F5989">
            <v>890</v>
          </cell>
        </row>
        <row r="5990">
          <cell r="A5990" t="str">
            <v>SL0944-2XL</v>
          </cell>
          <cell r="B5990" t="str">
            <v>L944</v>
          </cell>
          <cell r="C5990" t="str">
            <v>ซาติน แขนสั้นขาสี่ส่วน กวางพื้นกรม (กปก) 2XL</v>
          </cell>
          <cell r="E5990">
            <v>0</v>
          </cell>
          <cell r="F5990">
            <v>850</v>
          </cell>
        </row>
        <row r="5991">
          <cell r="A5991" t="str">
            <v>SL0944-3XL</v>
          </cell>
          <cell r="B5991" t="str">
            <v>L944</v>
          </cell>
          <cell r="C5991" t="str">
            <v>ซาติน แขนสั้นขาสี่ส่วน กวางพื้นกรม (กปก) 3XL</v>
          </cell>
          <cell r="E5991">
            <v>0</v>
          </cell>
          <cell r="F5991">
            <v>850</v>
          </cell>
        </row>
        <row r="5992">
          <cell r="A5992" t="str">
            <v>SL0944-L</v>
          </cell>
          <cell r="B5992" t="str">
            <v>L944</v>
          </cell>
          <cell r="C5992" t="str">
            <v>ซาติน แขนสั้นขาสี่ส่วน กวางพื้นกรม (กปก) L</v>
          </cell>
          <cell r="E5992">
            <v>0</v>
          </cell>
          <cell r="F5992">
            <v>850</v>
          </cell>
        </row>
        <row r="5993">
          <cell r="A5993" t="str">
            <v>SL0944-M</v>
          </cell>
          <cell r="B5993" t="str">
            <v>L944</v>
          </cell>
          <cell r="C5993" t="str">
            <v>ซาติน แขนสั้นขาสี่ส่วน กวางพื้นกรม (กปก) M</v>
          </cell>
          <cell r="E5993">
            <v>0</v>
          </cell>
          <cell r="F5993">
            <v>850</v>
          </cell>
        </row>
        <row r="5994">
          <cell r="A5994" t="str">
            <v>SL0944-XL</v>
          </cell>
          <cell r="B5994" t="str">
            <v>L944</v>
          </cell>
          <cell r="C5994" t="str">
            <v>ซาติน แขนสั้นขาสี่ส่วน กวางพื้นกรม (กปก) XL</v>
          </cell>
          <cell r="E5994">
            <v>0</v>
          </cell>
          <cell r="F5994">
            <v>850</v>
          </cell>
        </row>
        <row r="5995">
          <cell r="A5995" t="str">
            <v>SL0945-2XL</v>
          </cell>
          <cell r="B5995" t="str">
            <v>L945</v>
          </cell>
          <cell r="C5995" t="str">
            <v>ซาติน แขนสั้นขาสี่ส่วน พื้นกรม ดอกกุหลาบแดง กล้วยไม้ 2XL (กปก)</v>
          </cell>
          <cell r="E5995">
            <v>0</v>
          </cell>
          <cell r="F5995">
            <v>850</v>
          </cell>
        </row>
        <row r="5996">
          <cell r="A5996" t="str">
            <v>SL0945-3XL</v>
          </cell>
          <cell r="B5996" t="str">
            <v>L945</v>
          </cell>
          <cell r="C5996" t="str">
            <v>ซาติน แขนสั้นขาสี่ส่วน พื้นกรม ดอกกุหลาบแดง กล้วยไม้ 3XL (กปก)</v>
          </cell>
          <cell r="E5996">
            <v>0</v>
          </cell>
          <cell r="F5996">
            <v>850</v>
          </cell>
        </row>
        <row r="5997">
          <cell r="A5997" t="str">
            <v>SL0945-L</v>
          </cell>
          <cell r="B5997" t="str">
            <v>QL945</v>
          </cell>
          <cell r="C5997" t="str">
            <v>ซาติน แขนสั้นขาสี่ส่วน พื้นกรม ดอกกุหลาบแดง กล้วยไม้ L (กปก) QC</v>
          </cell>
          <cell r="E5997">
            <v>0</v>
          </cell>
          <cell r="F5997">
            <v>890</v>
          </cell>
        </row>
        <row r="5998">
          <cell r="A5998" t="str">
            <v>SL0945-M</v>
          </cell>
          <cell r="B5998" t="str">
            <v>QL945</v>
          </cell>
          <cell r="C5998" t="str">
            <v>ซาติน แขนสั้นขาสี่ส่วน พื้นกรม ดอกกุหลาบแดง กล้วยไม้ M (กปก) QC</v>
          </cell>
          <cell r="E5998">
            <v>0</v>
          </cell>
          <cell r="F5998">
            <v>890</v>
          </cell>
        </row>
        <row r="5999">
          <cell r="A5999" t="str">
            <v>SL0945-XL</v>
          </cell>
          <cell r="B5999" t="str">
            <v>QL945</v>
          </cell>
          <cell r="C5999" t="str">
            <v>ซาติน แขนสั้นขาสี่ส่วน พื้นกรม ดอกกุหลาบแดง กล้วยไม้ XL (กปก) QC</v>
          </cell>
          <cell r="E5999">
            <v>0</v>
          </cell>
          <cell r="F5999">
            <v>890</v>
          </cell>
        </row>
        <row r="6000">
          <cell r="A6000" t="str">
            <v>SL0946-2XL</v>
          </cell>
          <cell r="B6000" t="str">
            <v>L946</v>
          </cell>
          <cell r="C6000" t="str">
            <v>ซาติน แขนสั้นขาสี่ส่วน เกสรดอกไม้ พื้นขาว 2XL (กปก)</v>
          </cell>
          <cell r="E6000">
            <v>0</v>
          </cell>
          <cell r="F6000">
            <v>850</v>
          </cell>
        </row>
        <row r="6001">
          <cell r="A6001" t="str">
            <v>SL0946-3XL</v>
          </cell>
          <cell r="B6001" t="str">
            <v>L946</v>
          </cell>
          <cell r="C6001" t="str">
            <v>ซาติน แขนสั้นขาสี่ส่วน เกสรดอกไม้ พื้นขาว 3XL (กปก)</v>
          </cell>
          <cell r="E6001">
            <v>0</v>
          </cell>
          <cell r="F6001">
            <v>890</v>
          </cell>
        </row>
        <row r="6002">
          <cell r="A6002" t="str">
            <v>SL0946-L</v>
          </cell>
          <cell r="B6002" t="str">
            <v>L946</v>
          </cell>
          <cell r="C6002" t="str">
            <v>ซาติน แขนสั้นขาสี่ส่วน เกสรดอกไม้ พื้นขาว L (กปก)</v>
          </cell>
          <cell r="E6002">
            <v>0</v>
          </cell>
          <cell r="F6002">
            <v>850</v>
          </cell>
        </row>
        <row r="6003">
          <cell r="A6003" t="str">
            <v>SL0946-M</v>
          </cell>
          <cell r="B6003" t="str">
            <v>L946</v>
          </cell>
          <cell r="C6003" t="str">
            <v>ซาติน แขนสั้นขาสี่ส่วน เกสรดอกไม้ พื้นขาว M (กปก)</v>
          </cell>
          <cell r="E6003">
            <v>0</v>
          </cell>
          <cell r="F6003">
            <v>890</v>
          </cell>
        </row>
        <row r="6004">
          <cell r="A6004" t="str">
            <v>SL0946-XL</v>
          </cell>
          <cell r="B6004" t="str">
            <v>L946</v>
          </cell>
          <cell r="C6004" t="str">
            <v>ซาติน แขนสั้นขาสี่ส่วน เกสรดอกไม้ พื้นขาว XL (กปก)</v>
          </cell>
          <cell r="E6004">
            <v>0</v>
          </cell>
          <cell r="F6004">
            <v>850</v>
          </cell>
        </row>
        <row r="6005">
          <cell r="A6005" t="str">
            <v>SL0947-2XL</v>
          </cell>
          <cell r="B6005" t="str">
            <v>L947</v>
          </cell>
          <cell r="C6005" t="str">
            <v>ซาติน แขนสั้นขาสี่ส่วน ลายทางฟ้า 2XL (กปก)</v>
          </cell>
          <cell r="E6005">
            <v>0</v>
          </cell>
          <cell r="F6005">
            <v>890</v>
          </cell>
        </row>
        <row r="6006">
          <cell r="A6006" t="str">
            <v>SL0947-3XL</v>
          </cell>
          <cell r="B6006" t="str">
            <v>L947</v>
          </cell>
          <cell r="C6006" t="str">
            <v>ซาติน แขนสั้นขาสี่ส่วน ลายทางฟ้า 3XL (กปก)</v>
          </cell>
          <cell r="E6006">
            <v>0</v>
          </cell>
          <cell r="F6006">
            <v>890</v>
          </cell>
        </row>
        <row r="6007">
          <cell r="A6007" t="str">
            <v>SL0947-L</v>
          </cell>
          <cell r="B6007" t="str">
            <v>L947</v>
          </cell>
          <cell r="C6007" t="str">
            <v>ซาติน แขนสั้นขาสี่ส่วน ลายทางฟ้า L (กปก)</v>
          </cell>
          <cell r="E6007">
            <v>0</v>
          </cell>
          <cell r="F6007">
            <v>850</v>
          </cell>
        </row>
        <row r="6008">
          <cell r="A6008" t="str">
            <v>SL0947-M</v>
          </cell>
          <cell r="B6008" t="str">
            <v>L947</v>
          </cell>
          <cell r="C6008" t="str">
            <v>ซาติน แขนสั้นขาสี่ส่วน ลายทางฟ้า M (กปก)</v>
          </cell>
          <cell r="E6008">
            <v>0</v>
          </cell>
          <cell r="F6008">
            <v>590</v>
          </cell>
        </row>
        <row r="6009">
          <cell r="A6009" t="str">
            <v>SL0947-XL</v>
          </cell>
          <cell r="B6009" t="str">
            <v>L947</v>
          </cell>
          <cell r="C6009" t="str">
            <v>ซาติน แขนสั้นขาสี่ส่วน ลายทางฟ้า XL (กปก)</v>
          </cell>
          <cell r="E6009">
            <v>0</v>
          </cell>
          <cell r="F6009">
            <v>890</v>
          </cell>
        </row>
        <row r="6010">
          <cell r="A6010" t="str">
            <v>SL0948-2XL</v>
          </cell>
          <cell r="B6010" t="str">
            <v>L948</v>
          </cell>
          <cell r="C6010" t="str">
            <v>ซาติน แขนสั้นขาสี่ส่วน แมวดำ พื้นชมพู 2XL (กปก)</v>
          </cell>
          <cell r="E6010">
            <v>0</v>
          </cell>
          <cell r="F6010">
            <v>850</v>
          </cell>
        </row>
        <row r="6011">
          <cell r="A6011" t="str">
            <v>SL0948-3XL</v>
          </cell>
          <cell r="B6011" t="str">
            <v>L948</v>
          </cell>
          <cell r="C6011" t="str">
            <v>ซาติน แขนสั้นขาสี่ส่วน แมวดำ พื้นชมพู 3XL (กปก)</v>
          </cell>
          <cell r="E6011">
            <v>0</v>
          </cell>
          <cell r="F6011">
            <v>890</v>
          </cell>
        </row>
        <row r="6012">
          <cell r="A6012" t="str">
            <v>SL0948-L</v>
          </cell>
          <cell r="B6012" t="str">
            <v>L948</v>
          </cell>
          <cell r="C6012" t="str">
            <v>ซาติน แขนสั้นขาสี่ส่วน แมวดำ พื้นชมพู L (กปก)</v>
          </cell>
          <cell r="E6012">
            <v>0</v>
          </cell>
          <cell r="F6012">
            <v>850</v>
          </cell>
        </row>
        <row r="6013">
          <cell r="A6013" t="str">
            <v>SL0948-M</v>
          </cell>
          <cell r="B6013" t="str">
            <v>L948</v>
          </cell>
          <cell r="C6013" t="str">
            <v>ซาติน แขนสั้นขาสี่ส่วน แมวดำ พื้นชมพู M (กปก)</v>
          </cell>
          <cell r="E6013">
            <v>0</v>
          </cell>
          <cell r="F6013">
            <v>890</v>
          </cell>
        </row>
        <row r="6014">
          <cell r="A6014" t="str">
            <v>SL0948-XL</v>
          </cell>
          <cell r="B6014" t="str">
            <v>L948</v>
          </cell>
          <cell r="C6014" t="str">
            <v>ซาติน แขนสั้นขาสี่ส่วน แมวดำ พื้นชมพู XL (กปก)</v>
          </cell>
          <cell r="E6014">
            <v>0</v>
          </cell>
          <cell r="F6014">
            <v>850</v>
          </cell>
        </row>
        <row r="6015">
          <cell r="A6015" t="str">
            <v>SL0955-2XL</v>
          </cell>
          <cell r="B6015" t="str">
            <v>L955</v>
          </cell>
          <cell r="C6015" t="str">
            <v>ซาติน แขนสั้นขาสี่ส่วน ภาพถ่ายวิวเมือง (กปก) 2XL</v>
          </cell>
          <cell r="E6015">
            <v>0</v>
          </cell>
          <cell r="F6015">
            <v>890</v>
          </cell>
        </row>
        <row r="6016">
          <cell r="A6016" t="str">
            <v>SL0955-3XL</v>
          </cell>
          <cell r="B6016" t="str">
            <v>L955</v>
          </cell>
          <cell r="C6016" t="str">
            <v>ซาติน แขนสั้นขาสี่ส่วน ภาพถ่ายวิวเมือง (กปก) 3XL</v>
          </cell>
          <cell r="E6016">
            <v>0</v>
          </cell>
          <cell r="F6016">
            <v>890</v>
          </cell>
        </row>
        <row r="6017">
          <cell r="A6017" t="str">
            <v>SL0955-L</v>
          </cell>
          <cell r="B6017" t="str">
            <v>L955</v>
          </cell>
          <cell r="C6017" t="str">
            <v>ซาติน แขนสั้นขาสี่ส่วน ภาพถ่ายวิวเมือง (กปก) L</v>
          </cell>
          <cell r="E6017">
            <v>0</v>
          </cell>
          <cell r="F6017">
            <v>850</v>
          </cell>
        </row>
        <row r="6018">
          <cell r="A6018" t="str">
            <v>SL0955-M</v>
          </cell>
          <cell r="B6018" t="str">
            <v>QL955</v>
          </cell>
          <cell r="C6018" t="str">
            <v>ซาติน แขนสั้นขาสี่ส่วน ภาพถ่ายวิวเมือง (กปก) M QC</v>
          </cell>
          <cell r="E6018">
            <v>0</v>
          </cell>
          <cell r="F6018">
            <v>890</v>
          </cell>
        </row>
        <row r="6019">
          <cell r="A6019" t="str">
            <v>SL0955-XL</v>
          </cell>
          <cell r="B6019" t="str">
            <v>L955</v>
          </cell>
          <cell r="C6019" t="str">
            <v>ซาติน แขนสั้นขาสี่ส่วน ภาพถ่ายวิวเมือง (กปก) XL</v>
          </cell>
          <cell r="E6019">
            <v>0</v>
          </cell>
          <cell r="F6019">
            <v>850</v>
          </cell>
        </row>
        <row r="6020">
          <cell r="A6020" t="str">
            <v>SL0956-2XL</v>
          </cell>
          <cell r="B6020" t="str">
            <v>L956</v>
          </cell>
          <cell r="C6020" t="str">
            <v>ซาติน แขนสั้นขาสี่ส่วน ทิวลิปม่วง พื้นขาว 2XL (กปก)</v>
          </cell>
          <cell r="E6020">
            <v>0</v>
          </cell>
          <cell r="F6020">
            <v>890</v>
          </cell>
        </row>
        <row r="6021">
          <cell r="A6021" t="str">
            <v>SL0956-3XL</v>
          </cell>
          <cell r="B6021" t="str">
            <v>L956</v>
          </cell>
          <cell r="C6021" t="str">
            <v>ซาติน แขนสั้นขาสี่ส่วน ทิวลิปม่วง พื้นขาว 3XL (กปก)</v>
          </cell>
          <cell r="E6021">
            <v>0</v>
          </cell>
          <cell r="F6021">
            <v>890</v>
          </cell>
        </row>
        <row r="6022">
          <cell r="A6022" t="str">
            <v>SL0956-L</v>
          </cell>
          <cell r="B6022" t="str">
            <v>L956</v>
          </cell>
          <cell r="C6022" t="str">
            <v>ซาติน แขนสั้นขาสี่ส่วน ทิวลิปม่วง พื้นขาว L (กปก)</v>
          </cell>
          <cell r="E6022">
            <v>0</v>
          </cell>
          <cell r="F6022">
            <v>850</v>
          </cell>
        </row>
        <row r="6023">
          <cell r="A6023" t="str">
            <v>SL0956-M</v>
          </cell>
          <cell r="B6023" t="str">
            <v>L956</v>
          </cell>
          <cell r="C6023" t="str">
            <v>ซาติน แขนสั้นขาสี่ส่วน ทิวลิปม่วง พื้นขาว M (กปก)</v>
          </cell>
          <cell r="E6023">
            <v>0</v>
          </cell>
          <cell r="F6023">
            <v>850</v>
          </cell>
        </row>
        <row r="6024">
          <cell r="A6024" t="str">
            <v>SL0956-XL</v>
          </cell>
          <cell r="B6024" t="str">
            <v>L956</v>
          </cell>
          <cell r="C6024" t="str">
            <v>ซาติน แขนสั้นขาสี่ส่วน ทิวลิปม่วง พื้นขาว XL (กปก)</v>
          </cell>
          <cell r="E6024">
            <v>0</v>
          </cell>
          <cell r="F6024">
            <v>850</v>
          </cell>
        </row>
        <row r="6025">
          <cell r="A6025" t="str">
            <v>SL0959-2XL</v>
          </cell>
          <cell r="B6025" t="str">
            <v>L959</v>
          </cell>
          <cell r="C6025" t="str">
            <v>ซาติน แขนสั้นขาสี่ส่วน เขาวงกต ขาวดำ 2XL (กปก)</v>
          </cell>
          <cell r="E6025">
            <v>0</v>
          </cell>
          <cell r="F6025">
            <v>850</v>
          </cell>
        </row>
        <row r="6026">
          <cell r="A6026" t="str">
            <v>SL0959-3XL</v>
          </cell>
          <cell r="B6026" t="str">
            <v>L959</v>
          </cell>
          <cell r="C6026" t="str">
            <v>ซาติน แขนสั้นขาสี่ส่วน เขาวงกต ขาวดำ 3XL (กปก)</v>
          </cell>
          <cell r="E6026">
            <v>0</v>
          </cell>
          <cell r="F6026">
            <v>850</v>
          </cell>
        </row>
        <row r="6027">
          <cell r="A6027" t="str">
            <v>SL0959-L</v>
          </cell>
          <cell r="B6027" t="str">
            <v>L959</v>
          </cell>
          <cell r="C6027" t="str">
            <v>ซาติน แขนสั้นขาสี่ส่วน เขาวงกต ขาวดำ L (กปก)</v>
          </cell>
          <cell r="E6027">
            <v>0</v>
          </cell>
          <cell r="F6027">
            <v>850</v>
          </cell>
        </row>
        <row r="6028">
          <cell r="A6028" t="str">
            <v>SL0959-M</v>
          </cell>
          <cell r="B6028" t="str">
            <v>L959</v>
          </cell>
          <cell r="C6028" t="str">
            <v>ซาติน แขนสั้นขาสี่ส่วน เขาวงกต ขาวดำ M (กปก)</v>
          </cell>
          <cell r="E6028">
            <v>0</v>
          </cell>
          <cell r="F6028">
            <v>850</v>
          </cell>
        </row>
        <row r="6029">
          <cell r="A6029" t="str">
            <v>SL0959-XL</v>
          </cell>
          <cell r="B6029" t="str">
            <v>L959</v>
          </cell>
          <cell r="C6029" t="str">
            <v>ซาติน แขนสั้นขาสี่ส่วน เขาวงกต ขาวดำ XL (กปก)</v>
          </cell>
          <cell r="E6029">
            <v>0</v>
          </cell>
          <cell r="F6029">
            <v>850</v>
          </cell>
        </row>
        <row r="6030">
          <cell r="A6030" t="str">
            <v>SL0960-2XL</v>
          </cell>
          <cell r="B6030" t="str">
            <v>L960</v>
          </cell>
          <cell r="C6030" t="str">
            <v>ซาติน แขนสั้นขาสี่ส่วน (มีกปก)  ทุ่งดอกไม้ คอปกโอรสขอบกรม 2XL</v>
          </cell>
          <cell r="E6030">
            <v>0</v>
          </cell>
          <cell r="F6030">
            <v>850</v>
          </cell>
        </row>
        <row r="6031">
          <cell r="A6031" t="str">
            <v>SL0960-3XL</v>
          </cell>
          <cell r="B6031" t="str">
            <v>L960</v>
          </cell>
          <cell r="C6031" t="str">
            <v>ซาติน แขนสั้นขาสี่ส่วน (มีกปก)  ทุ่งดอกไม้ คอปกโอรสขอบกรม 3XL</v>
          </cell>
          <cell r="E6031">
            <v>0</v>
          </cell>
          <cell r="F6031">
            <v>850</v>
          </cell>
        </row>
        <row r="6032">
          <cell r="A6032" t="str">
            <v>SL0960-L</v>
          </cell>
          <cell r="B6032" t="str">
            <v>L960</v>
          </cell>
          <cell r="C6032" t="str">
            <v>ซาติน แขนสั้นขาสี่ส่วน (มีกปก)  ทุ่งดอกไม้ คอปกโอรสขอบกรม L</v>
          </cell>
          <cell r="E6032">
            <v>0</v>
          </cell>
          <cell r="F6032">
            <v>850</v>
          </cell>
        </row>
        <row r="6033">
          <cell r="A6033" t="str">
            <v>SL0960-M</v>
          </cell>
          <cell r="B6033" t="str">
            <v>L960</v>
          </cell>
          <cell r="C6033" t="str">
            <v>ซาติน แขนสั้นขาสี่ส่วน(มีกปก)  ทุ่งดอกไม้ คอปกโอรสขอบกรม M</v>
          </cell>
          <cell r="E6033">
            <v>0</v>
          </cell>
          <cell r="F6033">
            <v>850</v>
          </cell>
        </row>
        <row r="6034">
          <cell r="A6034" t="str">
            <v>SL0960-XL</v>
          </cell>
          <cell r="B6034" t="str">
            <v>L960</v>
          </cell>
          <cell r="C6034" t="str">
            <v>ซาติน แขนสั้นขาสี่ส่วน (มีกปก)  ทุ่งดอกไม้ คอปกโอรสขอบกรม XL</v>
          </cell>
          <cell r="E6034">
            <v>0</v>
          </cell>
          <cell r="F6034">
            <v>850</v>
          </cell>
        </row>
        <row r="6035">
          <cell r="A6035" t="str">
            <v>SL0961-2XL</v>
          </cell>
          <cell r="B6035" t="str">
            <v>L961</v>
          </cell>
          <cell r="C6035" t="str">
            <v>แขนสั้นขาสี่ส่วน (กปก) พื้นเขียว สวนดอกไม้ 2XL</v>
          </cell>
          <cell r="E6035">
            <v>0</v>
          </cell>
          <cell r="F6035">
            <v>850</v>
          </cell>
        </row>
        <row r="6036">
          <cell r="A6036" t="str">
            <v>SL0961-3XL</v>
          </cell>
          <cell r="B6036" t="str">
            <v>L961</v>
          </cell>
          <cell r="C6036" t="str">
            <v>แขนสั้นขาสี่ส่วน (กปก) พื้นเขียว สวนดอกไม้ 3XL</v>
          </cell>
          <cell r="E6036">
            <v>0</v>
          </cell>
          <cell r="F6036">
            <v>850</v>
          </cell>
        </row>
        <row r="6037">
          <cell r="A6037" t="str">
            <v>SL0961-L</v>
          </cell>
          <cell r="B6037" t="str">
            <v>L961</v>
          </cell>
          <cell r="C6037" t="str">
            <v>แขนสั้นขาสี่ส่วน (กปก) พื้นเขียว สวนดอกไม้ L</v>
          </cell>
          <cell r="E6037">
            <v>0</v>
          </cell>
          <cell r="F6037">
            <v>850</v>
          </cell>
        </row>
        <row r="6038">
          <cell r="A6038" t="str">
            <v>SL0961-M</v>
          </cell>
          <cell r="B6038" t="str">
            <v>L961</v>
          </cell>
          <cell r="C6038" t="str">
            <v>แขนสั้นขาสี่ส่วน (กปก) พื้นเขียว สวนดอกไม้ M</v>
          </cell>
          <cell r="E6038">
            <v>0</v>
          </cell>
          <cell r="F6038">
            <v>850</v>
          </cell>
        </row>
        <row r="6039">
          <cell r="A6039" t="str">
            <v>SL0961-XL</v>
          </cell>
          <cell r="B6039" t="str">
            <v>L961</v>
          </cell>
          <cell r="C6039" t="str">
            <v>แขนสั้นขาสี่ส่วน (กปก) พื้นเขียว สวนดอกไม้ XL</v>
          </cell>
          <cell r="E6039">
            <v>0</v>
          </cell>
          <cell r="F6039">
            <v>850</v>
          </cell>
        </row>
        <row r="6040">
          <cell r="A6040" t="str">
            <v>SL0962-2XL</v>
          </cell>
          <cell r="B6040" t="str">
            <v>L962</v>
          </cell>
          <cell r="C6040" t="str">
            <v>ซาติน แขนสั้น ขาสี่ส่วน พื้นครีม สตอเบอรี่ 2XL</v>
          </cell>
          <cell r="E6040">
            <v>0</v>
          </cell>
          <cell r="F6040">
            <v>890</v>
          </cell>
        </row>
        <row r="6041">
          <cell r="A6041" t="str">
            <v>SL0962-3XL</v>
          </cell>
          <cell r="B6041" t="str">
            <v>L962</v>
          </cell>
          <cell r="C6041" t="str">
            <v>ซาติน แขนสั้น ขาสี่ส่วน พื้นครีม สตอเบอรี่ 3XL</v>
          </cell>
          <cell r="E6041">
            <v>0</v>
          </cell>
          <cell r="F6041">
            <v>890</v>
          </cell>
        </row>
        <row r="6042">
          <cell r="A6042" t="str">
            <v>SL0962-L</v>
          </cell>
          <cell r="B6042" t="str">
            <v>QL962</v>
          </cell>
          <cell r="C6042" t="str">
            <v>ซาติน แขนสั้น ขาสี่ส่วน พื้นครีม สตอเบอรี่ L QC</v>
          </cell>
          <cell r="E6042">
            <v>0</v>
          </cell>
          <cell r="F6042">
            <v>850</v>
          </cell>
        </row>
        <row r="6043">
          <cell r="A6043" t="str">
            <v>SL0962-M</v>
          </cell>
          <cell r="B6043" t="str">
            <v>L962</v>
          </cell>
          <cell r="C6043" t="str">
            <v>ซาติน แขนสั้น ขาสี่ส่วน พื้นครีม สตอเบอรี่ M</v>
          </cell>
          <cell r="E6043">
            <v>0</v>
          </cell>
          <cell r="F6043">
            <v>890</v>
          </cell>
        </row>
        <row r="6044">
          <cell r="A6044" t="str">
            <v>SL0962-XL</v>
          </cell>
          <cell r="B6044" t="str">
            <v>QL962</v>
          </cell>
          <cell r="C6044" t="str">
            <v>ซาติน แขนสั้น ขาสี่ส่วน พื้นครีม สตอเบอรี่ XL QC</v>
          </cell>
          <cell r="E6044">
            <v>0</v>
          </cell>
          <cell r="F6044">
            <v>850</v>
          </cell>
        </row>
        <row r="6045">
          <cell r="A6045" t="str">
            <v>SL0963-2XL</v>
          </cell>
          <cell r="B6045" t="str">
            <v>L963</v>
          </cell>
          <cell r="C6045" t="str">
            <v>ซาติน แขนสั้นขาสี่ส่วน เทพีผมม่วง 2XL (กปก)</v>
          </cell>
          <cell r="E6045">
            <v>0</v>
          </cell>
          <cell r="F6045">
            <v>890</v>
          </cell>
        </row>
        <row r="6046">
          <cell r="A6046" t="str">
            <v>SL0963-L</v>
          </cell>
          <cell r="B6046" t="str">
            <v>L963</v>
          </cell>
          <cell r="C6046" t="str">
            <v>ซาติน แขนสั้นขาสี่ส่วน เทพีผมม่วง L (กปก)</v>
          </cell>
          <cell r="E6046">
            <v>0</v>
          </cell>
          <cell r="F6046">
            <v>890</v>
          </cell>
        </row>
        <row r="6047">
          <cell r="A6047" t="str">
            <v>SL0963-M</v>
          </cell>
          <cell r="B6047" t="str">
            <v>L963</v>
          </cell>
          <cell r="C6047" t="str">
            <v>ซาติน แขนสั้นขาสี่ส่วน เทพีผมม่วง M (กปก)</v>
          </cell>
          <cell r="E6047">
            <v>0</v>
          </cell>
          <cell r="F6047">
            <v>890</v>
          </cell>
        </row>
        <row r="6048">
          <cell r="A6048" t="str">
            <v>SL0963-XL</v>
          </cell>
          <cell r="B6048" t="str">
            <v>L963</v>
          </cell>
          <cell r="C6048" t="str">
            <v>ซาติน แขนสั้นขาสี่ส่วน เทพีผมม่วง XL (กปก)</v>
          </cell>
          <cell r="E6048">
            <v>0</v>
          </cell>
          <cell r="F6048">
            <v>890</v>
          </cell>
        </row>
        <row r="6049">
          <cell r="A6049" t="str">
            <v>SL0972-2XL</v>
          </cell>
          <cell r="B6049" t="str">
            <v>L972</v>
          </cell>
          <cell r="C6049" t="str">
            <v>ซาติน แขนสั้นขาสี่ส่วน สุนัขรวม พื้นครีม (กปก) 2XL</v>
          </cell>
          <cell r="E6049">
            <v>0</v>
          </cell>
          <cell r="F6049">
            <v>890</v>
          </cell>
        </row>
        <row r="6050">
          <cell r="A6050" t="str">
            <v>SL0972-3XL</v>
          </cell>
          <cell r="B6050" t="str">
            <v>L972</v>
          </cell>
          <cell r="C6050" t="str">
            <v>ซาติน แขนสั้นขาสี่ส่วน สุนัขรวม พื้นครีม (กปก) 3XL</v>
          </cell>
          <cell r="E6050">
            <v>0</v>
          </cell>
          <cell r="F6050">
            <v>890</v>
          </cell>
        </row>
        <row r="6051">
          <cell r="A6051" t="str">
            <v>SL0972-L</v>
          </cell>
          <cell r="B6051" t="str">
            <v>L972</v>
          </cell>
          <cell r="C6051" t="str">
            <v>ซาติน แขนสั้นขาสี่ส่วน สุนัขรวม พื้นครีม (กปก) L</v>
          </cell>
          <cell r="E6051">
            <v>0</v>
          </cell>
          <cell r="F6051">
            <v>850</v>
          </cell>
        </row>
        <row r="6052">
          <cell r="A6052" t="str">
            <v>SL0972-M</v>
          </cell>
          <cell r="B6052" t="str">
            <v>L972</v>
          </cell>
          <cell r="C6052" t="str">
            <v>ซาติน แขนสั้นขาสี่ส่วน สุนัขรวม พื้นครีม (กปก) M</v>
          </cell>
          <cell r="E6052">
            <v>0</v>
          </cell>
          <cell r="F6052">
            <v>890</v>
          </cell>
        </row>
        <row r="6053">
          <cell r="A6053" t="str">
            <v>SL0972-XL</v>
          </cell>
          <cell r="B6053" t="str">
            <v>L972</v>
          </cell>
          <cell r="C6053" t="str">
            <v>ซาติน แขนสั้นขาสี่ส่วน สุนัขรวม พื้นครีม (กปก) XL</v>
          </cell>
          <cell r="E6053">
            <v>0</v>
          </cell>
          <cell r="F6053">
            <v>850</v>
          </cell>
        </row>
        <row r="6054">
          <cell r="A6054" t="str">
            <v>SL0973-2XL</v>
          </cell>
          <cell r="B6054" t="str">
            <v>L973</v>
          </cell>
          <cell r="C6054" t="str">
            <v>ซาติน แขนสั้นขาสี่ส่วน Rabbit Flower พื้นขาว (กปก) 2XL</v>
          </cell>
          <cell r="E6054">
            <v>0</v>
          </cell>
          <cell r="F6054">
            <v>850</v>
          </cell>
        </row>
        <row r="6055">
          <cell r="A6055" t="str">
            <v>SL0973-3XL</v>
          </cell>
          <cell r="B6055" t="str">
            <v>L973</v>
          </cell>
          <cell r="C6055" t="str">
            <v>ซาติน แขนสั้นขาสี่ส่วน Rabbit Flower พื้นขาว (กปก) 3XL</v>
          </cell>
          <cell r="E6055">
            <v>0</v>
          </cell>
          <cell r="F6055">
            <v>850</v>
          </cell>
        </row>
        <row r="6056">
          <cell r="A6056" t="str">
            <v>SL0973-L</v>
          </cell>
          <cell r="B6056" t="str">
            <v>QL973</v>
          </cell>
          <cell r="C6056" t="str">
            <v>ซาติน แขนสั้นขาสี่ส่วน Rabbit Flower พื้นขาว (กปก) L QC</v>
          </cell>
          <cell r="E6056">
            <v>0</v>
          </cell>
          <cell r="F6056">
            <v>850</v>
          </cell>
        </row>
        <row r="6057">
          <cell r="A6057" t="str">
            <v>SL0973-M</v>
          </cell>
          <cell r="B6057" t="str">
            <v>L973</v>
          </cell>
          <cell r="C6057" t="str">
            <v>ซาติน แขนสั้นขาสี่ส่วน Rabbit Flower พื้นขาว (กปก) M</v>
          </cell>
          <cell r="E6057">
            <v>0</v>
          </cell>
          <cell r="F6057">
            <v>850</v>
          </cell>
        </row>
        <row r="6058">
          <cell r="A6058" t="str">
            <v>SL0973-XL</v>
          </cell>
          <cell r="B6058" t="str">
            <v>L973</v>
          </cell>
          <cell r="C6058" t="str">
            <v>ซาติน แขนสั้นขาสี่ส่วน Rabbit Flower พื้นขาว (กปก) XL</v>
          </cell>
          <cell r="E6058">
            <v>0</v>
          </cell>
          <cell r="F6058">
            <v>850</v>
          </cell>
        </row>
        <row r="6059">
          <cell r="A6059" t="str">
            <v>SL0974-2XL</v>
          </cell>
          <cell r="B6059" t="str">
            <v>L974</v>
          </cell>
          <cell r="C6059" t="str">
            <v>ซาติน แขนสั้นขาสี่ส่วน ผีเสื้อชมพู พื้นเขียว (กปก) 2XL</v>
          </cell>
          <cell r="E6059">
            <v>0</v>
          </cell>
          <cell r="F6059">
            <v>890</v>
          </cell>
        </row>
        <row r="6060">
          <cell r="A6060" t="str">
            <v>SL0974-3XL</v>
          </cell>
          <cell r="B6060" t="str">
            <v>L974</v>
          </cell>
          <cell r="C6060" t="str">
            <v>ซาติน แขนสั้นขาสี่ส่วน ผีเสื้อชมพู พื้นเขียว (กปก) 3XL</v>
          </cell>
          <cell r="E6060">
            <v>0</v>
          </cell>
          <cell r="F6060">
            <v>850</v>
          </cell>
        </row>
        <row r="6061">
          <cell r="A6061" t="str">
            <v>SL0974-L</v>
          </cell>
          <cell r="B6061" t="str">
            <v>L974</v>
          </cell>
          <cell r="C6061" t="str">
            <v>ซาติน แขนสั้นขาสี่ส่วน ผีเสื้อชมพู พื้นเขียว (กปก) L</v>
          </cell>
          <cell r="E6061">
            <v>0</v>
          </cell>
          <cell r="F6061">
            <v>850</v>
          </cell>
        </row>
        <row r="6062">
          <cell r="A6062" t="str">
            <v>SL0974-M</v>
          </cell>
          <cell r="B6062" t="str">
            <v>L974</v>
          </cell>
          <cell r="C6062" t="str">
            <v>ซาติน แขนสั้นขาสี่ส่วน ผีเสื้อชมพู พื้นเขียว (กปก) M</v>
          </cell>
          <cell r="E6062">
            <v>0</v>
          </cell>
          <cell r="F6062">
            <v>590</v>
          </cell>
        </row>
        <row r="6063">
          <cell r="A6063" t="str">
            <v>SL0974-XL</v>
          </cell>
          <cell r="B6063" t="str">
            <v>L974</v>
          </cell>
          <cell r="C6063" t="str">
            <v>ซาติน แขนสั้นขาสี่ส่วน ผีเสื้อชมพู พื้นเขียว (กปก) XL</v>
          </cell>
          <cell r="E6063">
            <v>0</v>
          </cell>
          <cell r="F6063">
            <v>850</v>
          </cell>
        </row>
        <row r="6064">
          <cell r="A6064" t="str">
            <v>SL0975-2XL</v>
          </cell>
          <cell r="B6064" t="str">
            <v>L975</v>
          </cell>
          <cell r="C6064" t="str">
            <v>ซาติน แขนสั้นขาสี่ส่วน SuperDog พื้นครีม (กปก) 2XL</v>
          </cell>
          <cell r="E6064">
            <v>0</v>
          </cell>
          <cell r="F6064">
            <v>850</v>
          </cell>
        </row>
        <row r="6065">
          <cell r="A6065" t="str">
            <v>SL0975-3XL</v>
          </cell>
          <cell r="B6065" t="str">
            <v>L975</v>
          </cell>
          <cell r="C6065" t="str">
            <v>ซาติน แขนสั้นขาสี่ส่วน SuperDog พื้นครีม (กปก) 3XL</v>
          </cell>
          <cell r="E6065">
            <v>0</v>
          </cell>
          <cell r="F6065">
            <v>850</v>
          </cell>
        </row>
        <row r="6066">
          <cell r="A6066" t="str">
            <v>SL0975-L</v>
          </cell>
          <cell r="B6066" t="str">
            <v>L975</v>
          </cell>
          <cell r="C6066" t="str">
            <v>ซาติน แขนสั้นขาสี่ส่วน SuperDog พื้นครีม (กปก) L</v>
          </cell>
          <cell r="E6066">
            <v>0</v>
          </cell>
          <cell r="F6066">
            <v>850</v>
          </cell>
        </row>
        <row r="6067">
          <cell r="A6067" t="str">
            <v>SL0975-M</v>
          </cell>
          <cell r="B6067" t="str">
            <v>L975</v>
          </cell>
          <cell r="C6067" t="str">
            <v>ซาติน แขนสั้นขาสี่ส่วน SuperDog พื้นครีม (กปก) M</v>
          </cell>
          <cell r="E6067">
            <v>0</v>
          </cell>
          <cell r="F6067">
            <v>850</v>
          </cell>
        </row>
        <row r="6068">
          <cell r="A6068" t="str">
            <v>SL0975-XL</v>
          </cell>
          <cell r="B6068" t="str">
            <v>L975</v>
          </cell>
          <cell r="C6068" t="str">
            <v>ซาติน แขนสั้นขาสี่ส่วน SuperDog พื้นครีม (กปก) XL</v>
          </cell>
          <cell r="E6068">
            <v>0</v>
          </cell>
          <cell r="F6068">
            <v>850</v>
          </cell>
        </row>
        <row r="6069">
          <cell r="A6069" t="str">
            <v>SL0976-2XL</v>
          </cell>
          <cell r="B6069" t="str">
            <v>L976</v>
          </cell>
          <cell r="C6069" t="str">
            <v>ซาติน แขนสั้นขาสี่ส่วน ฟลามิงโก้ พื้นเขียว (กปก) 2XL</v>
          </cell>
          <cell r="E6069">
            <v>0</v>
          </cell>
          <cell r="F6069">
            <v>890</v>
          </cell>
        </row>
        <row r="6070">
          <cell r="A6070" t="str">
            <v>SL0976-3XL</v>
          </cell>
          <cell r="B6070" t="str">
            <v>L976</v>
          </cell>
          <cell r="C6070" t="str">
            <v>ซาติน แขนสั้นขาสี่ส่วน ฟลามิงโก้ พื้นเขียว (กปก) 3XL</v>
          </cell>
          <cell r="E6070">
            <v>0</v>
          </cell>
          <cell r="F6070">
            <v>850</v>
          </cell>
        </row>
        <row r="6071">
          <cell r="A6071" t="str">
            <v>SL0976-L</v>
          </cell>
          <cell r="B6071" t="str">
            <v>L976</v>
          </cell>
          <cell r="C6071" t="str">
            <v>ซาติน แขนสั้นขาสี่ส่วน ฟลามิงโก้ พื้นเขียว (กปก) L</v>
          </cell>
          <cell r="E6071">
            <v>0</v>
          </cell>
          <cell r="F6071">
            <v>890</v>
          </cell>
        </row>
        <row r="6072">
          <cell r="A6072" t="str">
            <v>SL0976-M</v>
          </cell>
          <cell r="B6072" t="str">
            <v>QL976</v>
          </cell>
          <cell r="C6072" t="str">
            <v>ซาติน แขนสั้นขาสี่ส่วน ฟลามิงโก้ พื้นเขียว (กปก) M QC</v>
          </cell>
          <cell r="E6072">
            <v>0</v>
          </cell>
          <cell r="F6072">
            <v>850</v>
          </cell>
        </row>
        <row r="6073">
          <cell r="A6073" t="str">
            <v>SL0976-XL</v>
          </cell>
          <cell r="B6073" t="str">
            <v>L976</v>
          </cell>
          <cell r="C6073" t="str">
            <v>ซาติน แขนสั้นขาสี่ส่วน ฟลามิงโก้ พื้นเขียว (กปก) XL</v>
          </cell>
          <cell r="E6073">
            <v>0</v>
          </cell>
          <cell r="F6073">
            <v>890</v>
          </cell>
        </row>
        <row r="6074">
          <cell r="A6074" t="str">
            <v>SL0977-2XL</v>
          </cell>
          <cell r="B6074" t="str">
            <v>L977</v>
          </cell>
          <cell r="C6074" t="str">
            <v>ซาติน แขนสั้นขาสี่ส่วน Butterfly พื้นชมพู คอวี 2XL (กปก)</v>
          </cell>
          <cell r="E6074">
            <v>0</v>
          </cell>
          <cell r="F6074">
            <v>890</v>
          </cell>
        </row>
        <row r="6075">
          <cell r="A6075" t="str">
            <v>SL0977-L</v>
          </cell>
          <cell r="B6075" t="str">
            <v>L977</v>
          </cell>
          <cell r="C6075" t="str">
            <v>ซาติน แขนสั้นขาสี่ส่วน Butterfly พื้นชมพู คอวี L (กปก)</v>
          </cell>
          <cell r="E6075">
            <v>0</v>
          </cell>
          <cell r="F6075">
            <v>850</v>
          </cell>
        </row>
        <row r="6076">
          <cell r="A6076" t="str">
            <v>SL0977-M</v>
          </cell>
          <cell r="B6076" t="str">
            <v>L977</v>
          </cell>
          <cell r="C6076" t="str">
            <v>ซาติน แขนสั้นขาสี่ส่วน Butterfly พื้นชมพู คอวี M (กปก)</v>
          </cell>
          <cell r="E6076">
            <v>0</v>
          </cell>
          <cell r="F6076">
            <v>850</v>
          </cell>
        </row>
        <row r="6077">
          <cell r="A6077" t="str">
            <v>SL0977-XL</v>
          </cell>
          <cell r="B6077" t="str">
            <v>L977</v>
          </cell>
          <cell r="C6077" t="str">
            <v>ซาติน แขนสั้นขาสี่ส่วน Butterfly พื้นชมพู คอวี XL (กปก)</v>
          </cell>
          <cell r="E6077">
            <v>0</v>
          </cell>
          <cell r="F6077">
            <v>890</v>
          </cell>
        </row>
        <row r="6078">
          <cell r="A6078" t="str">
            <v>SL0978-2XL</v>
          </cell>
          <cell r="B6078" t="str">
            <v>QL978</v>
          </cell>
          <cell r="C6078" t="str">
            <v>ซาติน แขนสั้นขาสี่ส่วน กล้วยไม้น้ำตาล 2XL (กปก) QC</v>
          </cell>
          <cell r="E6078">
            <v>0</v>
          </cell>
          <cell r="F6078">
            <v>890</v>
          </cell>
        </row>
        <row r="6079">
          <cell r="A6079" t="str">
            <v>SL0978-3XL</v>
          </cell>
          <cell r="B6079" t="str">
            <v>L978</v>
          </cell>
          <cell r="C6079" t="str">
            <v>ซาติน แขนสั้นขาสี่ส่วน กล้วยไม้น้ำตาล 3XL (กปก)</v>
          </cell>
          <cell r="E6079">
            <v>0</v>
          </cell>
          <cell r="F6079">
            <v>890</v>
          </cell>
        </row>
        <row r="6080">
          <cell r="A6080" t="str">
            <v>SL0978-L</v>
          </cell>
          <cell r="B6080" t="str">
            <v>L978</v>
          </cell>
          <cell r="C6080" t="str">
            <v>ซาติน แขนสั้นขาสี่ส่วน กล้วยไม้น้ำตาล L (กปก)</v>
          </cell>
          <cell r="E6080">
            <v>0</v>
          </cell>
          <cell r="F6080">
            <v>850</v>
          </cell>
        </row>
        <row r="6081">
          <cell r="A6081" t="str">
            <v>SL0978-M</v>
          </cell>
          <cell r="B6081" t="str">
            <v>L978</v>
          </cell>
          <cell r="C6081" t="str">
            <v>ซาติน แขนสั้นขาสี่ส่วน กล้วยไม้น้ำตาล M (กปก)</v>
          </cell>
          <cell r="E6081">
            <v>0</v>
          </cell>
          <cell r="F6081">
            <v>590</v>
          </cell>
        </row>
        <row r="6082">
          <cell r="A6082" t="str">
            <v>SL0978-XL</v>
          </cell>
          <cell r="B6082" t="str">
            <v>L978</v>
          </cell>
          <cell r="C6082" t="str">
            <v>ซาติน แขนสั้นขาสี่ส่วน กล้วยไม้น้ำตาล XL (กปก)</v>
          </cell>
          <cell r="E6082">
            <v>0</v>
          </cell>
          <cell r="F6082">
            <v>890</v>
          </cell>
        </row>
        <row r="6083">
          <cell r="A6083" t="str">
            <v>SL0980-2XL</v>
          </cell>
          <cell r="B6083" t="str">
            <v>L980</v>
          </cell>
          <cell r="C6083" t="str">
            <v>ซาติน แขนสั้นขาสี่ส่วน โบว์ชมพู (กปก) 2XL</v>
          </cell>
          <cell r="E6083">
            <v>0</v>
          </cell>
          <cell r="F6083">
            <v>890</v>
          </cell>
        </row>
        <row r="6084">
          <cell r="A6084" t="str">
            <v>SL0980-3XL</v>
          </cell>
          <cell r="B6084" t="str">
            <v>L980</v>
          </cell>
          <cell r="C6084" t="str">
            <v>ซาติน แขนสั้นขาสี่ส่วน โบว์ชมพู (กปก) 3XL</v>
          </cell>
          <cell r="E6084">
            <v>0</v>
          </cell>
          <cell r="F6084">
            <v>890</v>
          </cell>
        </row>
        <row r="6085">
          <cell r="A6085" t="str">
            <v>SL0980-L</v>
          </cell>
          <cell r="B6085" t="str">
            <v>L980</v>
          </cell>
          <cell r="C6085" t="str">
            <v>ซาติน แขนสั้นขาสี่ส่วน โบว์ชมพู (กปก) L</v>
          </cell>
          <cell r="E6085">
            <v>0</v>
          </cell>
          <cell r="F6085">
            <v>850</v>
          </cell>
        </row>
        <row r="6086">
          <cell r="A6086" t="str">
            <v>SL0980-M</v>
          </cell>
          <cell r="B6086" t="str">
            <v>L980</v>
          </cell>
          <cell r="C6086" t="str">
            <v>ซาติน แขนสั้นขาสี่ส่วน โบว์ชมพู (กปก) M</v>
          </cell>
          <cell r="E6086">
            <v>0</v>
          </cell>
          <cell r="F6086">
            <v>590</v>
          </cell>
        </row>
        <row r="6087">
          <cell r="A6087" t="str">
            <v>SL0980-XL</v>
          </cell>
          <cell r="B6087" t="str">
            <v>QL980</v>
          </cell>
          <cell r="C6087" t="str">
            <v>ซาติน แขนสั้นขาสี่ส่วน โบว์ชมพู (กปก) XL QC</v>
          </cell>
          <cell r="E6087">
            <v>0</v>
          </cell>
          <cell r="F6087">
            <v>890</v>
          </cell>
        </row>
        <row r="6088">
          <cell r="A6088" t="str">
            <v>SL0981-2XL</v>
          </cell>
          <cell r="B6088" t="str">
            <v>L981</v>
          </cell>
          <cell r="C6088" t="str">
            <v>ซาติน แขนสั้นขาสี่ส่วน กระต่ายลายทาง ชมพู (กปก) 2XL</v>
          </cell>
          <cell r="E6088">
            <v>0</v>
          </cell>
          <cell r="F6088">
            <v>890</v>
          </cell>
        </row>
        <row r="6089">
          <cell r="A6089" t="str">
            <v>SL0981-3XL</v>
          </cell>
          <cell r="B6089" t="str">
            <v>L981</v>
          </cell>
          <cell r="C6089" t="str">
            <v>ซาติน แขนสั้นขาสี่ส่วน กระต่ายลายทาง ชมพู (กปก) 3XL</v>
          </cell>
          <cell r="E6089">
            <v>0</v>
          </cell>
          <cell r="F6089">
            <v>890</v>
          </cell>
        </row>
        <row r="6090">
          <cell r="A6090" t="str">
            <v>SL0981-L</v>
          </cell>
          <cell r="B6090" t="str">
            <v>L981</v>
          </cell>
          <cell r="C6090" t="str">
            <v>ซาติน แขนสั้นขาสี่ส่วน กระต่ายลายทาง ชมพู (กปก) L</v>
          </cell>
          <cell r="E6090">
            <v>0</v>
          </cell>
          <cell r="F6090">
            <v>850</v>
          </cell>
        </row>
        <row r="6091">
          <cell r="A6091" t="str">
            <v>SL0981-M</v>
          </cell>
          <cell r="B6091" t="str">
            <v>L981</v>
          </cell>
          <cell r="C6091" t="str">
            <v>ซาติน แขนสั้นขาสี่ส่วน กระต่ายลายทาง ชมพู (กปก) M</v>
          </cell>
          <cell r="E6091">
            <v>0</v>
          </cell>
          <cell r="F6091">
            <v>850</v>
          </cell>
        </row>
        <row r="6092">
          <cell r="A6092" t="str">
            <v>SL0981-XL</v>
          </cell>
          <cell r="B6092" t="str">
            <v>QL981</v>
          </cell>
          <cell r="C6092" t="str">
            <v>ซาติน แขนสั้นขาสี่ส่วน กระต่ายลายทาง ชมพู (กปก) XL QC</v>
          </cell>
          <cell r="E6092">
            <v>0</v>
          </cell>
          <cell r="F6092">
            <v>890</v>
          </cell>
        </row>
        <row r="6093">
          <cell r="A6093" t="str">
            <v>SL0987-2XL</v>
          </cell>
          <cell r="B6093" t="str">
            <v>L987</v>
          </cell>
          <cell r="C6093" t="str">
            <v>ซาติน แขนสั้นขาสี่ส่วน น้องแมวพื้นเขียว 2XL (กปก)</v>
          </cell>
          <cell r="E6093">
            <v>0</v>
          </cell>
          <cell r="F6093">
            <v>890</v>
          </cell>
        </row>
        <row r="6094">
          <cell r="A6094" t="str">
            <v>SL0987-L</v>
          </cell>
          <cell r="B6094" t="str">
            <v>L987</v>
          </cell>
          <cell r="C6094" t="str">
            <v>ซาติน แขนสั้นขาสี่ส่วน น้องแมวพื้นเขียว L (กปก)</v>
          </cell>
          <cell r="E6094">
            <v>0</v>
          </cell>
          <cell r="F6094">
            <v>890</v>
          </cell>
        </row>
        <row r="6095">
          <cell r="A6095" t="str">
            <v>SL0987-M</v>
          </cell>
          <cell r="B6095" t="str">
            <v>L987</v>
          </cell>
          <cell r="C6095" t="str">
            <v>ซาติน แขนสั้นขาสี่ส่วน น้องแมวพื้นเขียว M (กปก)</v>
          </cell>
          <cell r="E6095">
            <v>0</v>
          </cell>
          <cell r="F6095">
            <v>890</v>
          </cell>
        </row>
        <row r="6096">
          <cell r="A6096" t="str">
            <v>SL0987-XL</v>
          </cell>
          <cell r="B6096" t="str">
            <v>L987</v>
          </cell>
          <cell r="C6096" t="str">
            <v>ซาติน แขนสั้นขาสี่ส่วน น้องแมวพื้นเขียว XL (กปก)</v>
          </cell>
          <cell r="E6096">
            <v>0</v>
          </cell>
          <cell r="F6096">
            <v>890</v>
          </cell>
        </row>
        <row r="6097">
          <cell r="A6097" t="str">
            <v>SL0992-2XL</v>
          </cell>
          <cell r="B6097" t="str">
            <v>L992</v>
          </cell>
          <cell r="C6097" t="str">
            <v>ซาติน แขนสั้นขาสี่ส่วน Colorful พื้นครีม ชมพู 2XL</v>
          </cell>
          <cell r="E6097">
            <v>0</v>
          </cell>
          <cell r="F6097">
            <v>890</v>
          </cell>
        </row>
        <row r="6098">
          <cell r="A6098" t="str">
            <v>SL0992-L</v>
          </cell>
          <cell r="B6098" t="str">
            <v>L992</v>
          </cell>
          <cell r="C6098" t="str">
            <v>ซาติน แขนสั้นขาสี่ส่วน Colorful พื้นครีม ชมพู L</v>
          </cell>
          <cell r="E6098">
            <v>0</v>
          </cell>
          <cell r="F6098">
            <v>890</v>
          </cell>
        </row>
        <row r="6099">
          <cell r="A6099" t="str">
            <v>SL0992-M</v>
          </cell>
          <cell r="B6099" t="str">
            <v>L992</v>
          </cell>
          <cell r="C6099" t="str">
            <v>ซาติน แขนสั้นขาสี่ส่วน Colorful พื้นครีม ชมพู M</v>
          </cell>
          <cell r="E6099">
            <v>0</v>
          </cell>
          <cell r="F6099">
            <v>890</v>
          </cell>
        </row>
        <row r="6100">
          <cell r="A6100" t="str">
            <v>SL0992-XL</v>
          </cell>
          <cell r="B6100" t="str">
            <v>L992</v>
          </cell>
          <cell r="C6100" t="str">
            <v>ซาติน แขนสั้นขาสี่ส่วน Colorful พื้นครีม ชมพู XL</v>
          </cell>
          <cell r="E6100">
            <v>0</v>
          </cell>
          <cell r="F6100">
            <v>890</v>
          </cell>
        </row>
        <row r="6101">
          <cell r="A6101" t="str">
            <v>SL0993-2XL</v>
          </cell>
          <cell r="B6101" t="str">
            <v>L993</v>
          </cell>
          <cell r="C6101" t="str">
            <v>ซาติน แขนสั้นขาสี่ส่วน Colorful พื้นชมพู ครีม 2XL</v>
          </cell>
          <cell r="E6101">
            <v>0</v>
          </cell>
          <cell r="F6101">
            <v>890</v>
          </cell>
        </row>
        <row r="6102">
          <cell r="A6102" t="str">
            <v>SL0993-L</v>
          </cell>
          <cell r="B6102" t="str">
            <v>L993</v>
          </cell>
          <cell r="C6102" t="str">
            <v>ซาติน แขนสั้นขาสี่ส่วน Colorful พื้นชมพู ครีม L</v>
          </cell>
          <cell r="E6102">
            <v>0</v>
          </cell>
          <cell r="F6102">
            <v>890</v>
          </cell>
        </row>
        <row r="6103">
          <cell r="A6103" t="str">
            <v>SL0993-M</v>
          </cell>
          <cell r="B6103" t="str">
            <v>L993</v>
          </cell>
          <cell r="C6103" t="str">
            <v>ซาติน แขนสั้นขาสี่ส่วน Colorful พื้นชมพู ครีม M</v>
          </cell>
          <cell r="E6103">
            <v>0</v>
          </cell>
          <cell r="F6103">
            <v>590</v>
          </cell>
        </row>
        <row r="6104">
          <cell r="A6104" t="str">
            <v>SL0993-XL</v>
          </cell>
          <cell r="B6104" t="str">
            <v>L993</v>
          </cell>
          <cell r="C6104" t="str">
            <v>ซาติน แขนสั้นขาสี่ส่วน Colorful พื้นชมพู ครีม XL</v>
          </cell>
          <cell r="E6104">
            <v>0</v>
          </cell>
          <cell r="F6104">
            <v>890</v>
          </cell>
        </row>
        <row r="6105">
          <cell r="A6105" t="str">
            <v>SL0998-2XL</v>
          </cell>
          <cell r="B6105" t="str">
            <v>L998</v>
          </cell>
          <cell r="C6105" t="str">
            <v>ซาติน แขนสั้นขาสี่ส่วน ดอกหางนกยูง พื้นครีม ขอบเขียว 2XL</v>
          </cell>
          <cell r="E6105">
            <v>0</v>
          </cell>
          <cell r="F6105">
            <v>890</v>
          </cell>
        </row>
        <row r="6106">
          <cell r="A6106" t="str">
            <v>SL0998-L</v>
          </cell>
          <cell r="B6106" t="str">
            <v>L998</v>
          </cell>
          <cell r="C6106" t="str">
            <v>ซาติน แขนสั้นขาสี่ส่วน ดอกหางนกยูง พื้นครีม ขอบเขียว L</v>
          </cell>
          <cell r="E6106">
            <v>0</v>
          </cell>
          <cell r="F6106">
            <v>850</v>
          </cell>
        </row>
        <row r="6107">
          <cell r="A6107" t="str">
            <v>SL0998-M</v>
          </cell>
          <cell r="B6107" t="str">
            <v>L998</v>
          </cell>
          <cell r="C6107" t="str">
            <v>ซาติน แขนสั้นขาสี่ส่วน ดอกหางนกยูง พื้นครีม ขอบเขียว M</v>
          </cell>
          <cell r="E6107">
            <v>0</v>
          </cell>
          <cell r="F6107">
            <v>890</v>
          </cell>
        </row>
        <row r="6108">
          <cell r="A6108" t="str">
            <v>SL0998-XL</v>
          </cell>
          <cell r="B6108" t="str">
            <v>L998</v>
          </cell>
          <cell r="C6108" t="str">
            <v>ซาติน แขนสั้นขาสี่ส่วน ดอกหางนกยูง พื้นครีม ขอบเขียว XL</v>
          </cell>
          <cell r="E6108">
            <v>0</v>
          </cell>
          <cell r="F6108">
            <v>850</v>
          </cell>
        </row>
        <row r="6109">
          <cell r="A6109" t="str">
            <v>SL0999-2XL</v>
          </cell>
          <cell r="B6109" t="str">
            <v>L999</v>
          </cell>
          <cell r="C6109" t="str">
            <v>ซาติน แขนสั้นขาสี่ส่วน รวมสัตว์ พื้นฟ้า 2XL (กปก)</v>
          </cell>
          <cell r="E6109">
            <v>0</v>
          </cell>
          <cell r="F6109">
            <v>890</v>
          </cell>
        </row>
        <row r="6110">
          <cell r="A6110" t="str">
            <v>SL0999-L</v>
          </cell>
          <cell r="B6110" t="str">
            <v>L999</v>
          </cell>
          <cell r="C6110" t="str">
            <v>ซาติน แขนสั้นขาสี่ส่วน รวมสัตว์ พื้นฟ้า L (กปก)</v>
          </cell>
          <cell r="E6110">
            <v>0</v>
          </cell>
          <cell r="F6110">
            <v>890</v>
          </cell>
        </row>
        <row r="6111">
          <cell r="A6111" t="str">
            <v>SL0999-M</v>
          </cell>
          <cell r="B6111" t="str">
            <v>L999</v>
          </cell>
          <cell r="C6111" t="str">
            <v>ซาติน แขนสั้นขาสี่ส่วน รวมสัตว์ พื้นฟ้า M (กปก)</v>
          </cell>
          <cell r="E6111">
            <v>0</v>
          </cell>
          <cell r="F6111">
            <v>890</v>
          </cell>
        </row>
        <row r="6112">
          <cell r="A6112" t="str">
            <v>SL0999-XL</v>
          </cell>
          <cell r="B6112" t="str">
            <v>L999</v>
          </cell>
          <cell r="C6112" t="str">
            <v>ซาติน แขนสั้นขาสี่ส่วน รวมสัตว์ พื้นฟ้า XL (กปก)</v>
          </cell>
          <cell r="E6112">
            <v>0</v>
          </cell>
          <cell r="F6112">
            <v>890</v>
          </cell>
        </row>
        <row r="6113">
          <cell r="A6113" t="str">
            <v>SL1000-2XL</v>
          </cell>
          <cell r="B6113" t="str">
            <v>L1000</v>
          </cell>
          <cell r="C6113" t="str">
            <v>ซาติน แขนสั้นขาสี่ส่วน หมีรวม พื้นครีม 2XL (กปก)</v>
          </cell>
          <cell r="E6113">
            <v>0</v>
          </cell>
          <cell r="F6113">
            <v>890</v>
          </cell>
        </row>
        <row r="6114">
          <cell r="A6114" t="str">
            <v>SL1000-L</v>
          </cell>
          <cell r="B6114" t="str">
            <v>L1000</v>
          </cell>
          <cell r="C6114" t="str">
            <v>ซาติน แขนสั้นขาสี่ส่วน หมีรวม พื้นครีม L (กปก)</v>
          </cell>
          <cell r="E6114">
            <v>0</v>
          </cell>
          <cell r="F6114">
            <v>890</v>
          </cell>
        </row>
        <row r="6115">
          <cell r="A6115" t="str">
            <v>SL1000-M</v>
          </cell>
          <cell r="B6115" t="str">
            <v>L1000</v>
          </cell>
          <cell r="C6115" t="str">
            <v>ซาติน แขนสั้นขาสี่ส่วน หมีรวม พื้นครีม M (กปก)</v>
          </cell>
          <cell r="E6115">
            <v>0</v>
          </cell>
          <cell r="F6115">
            <v>590</v>
          </cell>
        </row>
        <row r="6116">
          <cell r="A6116" t="str">
            <v>SL1000-XL</v>
          </cell>
          <cell r="B6116" t="str">
            <v>L1000</v>
          </cell>
          <cell r="C6116" t="str">
            <v>ซาติน แขนสั้นขาสี่ส่วน หมีรวม พื้นครีม XL (กปก)</v>
          </cell>
          <cell r="E6116">
            <v>0</v>
          </cell>
          <cell r="F6116">
            <v>890</v>
          </cell>
        </row>
        <row r="6117">
          <cell r="A6117" t="str">
            <v>SL1001-2XL</v>
          </cell>
          <cell r="B6117" t="str">
            <v>L1001</v>
          </cell>
          <cell r="C6117" t="str">
            <v>ซาติน แขนสั้นขาสี่ส่วน บัวชมพู พื้นม่วง (กปก) 2XL</v>
          </cell>
          <cell r="E6117">
            <v>0</v>
          </cell>
          <cell r="F6117">
            <v>890</v>
          </cell>
        </row>
        <row r="6118">
          <cell r="A6118" t="str">
            <v>SL1001-L</v>
          </cell>
          <cell r="B6118" t="str">
            <v>L1001</v>
          </cell>
          <cell r="C6118" t="str">
            <v>ซาติน แขนสั้นขาสี่ส่วน บัวชมพู พื้นม่วง (กปก) L</v>
          </cell>
          <cell r="E6118">
            <v>0</v>
          </cell>
          <cell r="F6118">
            <v>890</v>
          </cell>
        </row>
        <row r="6119">
          <cell r="A6119" t="str">
            <v>SL1001-M</v>
          </cell>
          <cell r="B6119" t="str">
            <v>L1001</v>
          </cell>
          <cell r="C6119" t="str">
            <v>ซาติน แขนสั้นขาสี่ส่วน บัวชมพู พื้นม่วง (กปก) M</v>
          </cell>
          <cell r="E6119">
            <v>0</v>
          </cell>
          <cell r="F6119">
            <v>890</v>
          </cell>
        </row>
        <row r="6120">
          <cell r="A6120" t="str">
            <v>SL1001-XL</v>
          </cell>
          <cell r="B6120" t="str">
            <v>L1001</v>
          </cell>
          <cell r="C6120" t="str">
            <v>ซาติน แขนสั้นขาสี่ส่วน บัวชมพู พื้นม่วง (กปก) XL</v>
          </cell>
          <cell r="E6120">
            <v>0</v>
          </cell>
          <cell r="F6120">
            <v>890</v>
          </cell>
        </row>
        <row r="6121">
          <cell r="A6121" t="str">
            <v>SL1003-2XL</v>
          </cell>
          <cell r="B6121" t="str">
            <v>L1003</v>
          </cell>
          <cell r="C6121" t="str">
            <v>ซาติน แขนสั้นขาสี่ส่วน Rabbit Flower พื้นครีม 2XL (กปก)</v>
          </cell>
          <cell r="E6121">
            <v>0</v>
          </cell>
          <cell r="F6121">
            <v>890</v>
          </cell>
        </row>
        <row r="6122">
          <cell r="A6122" t="str">
            <v>SL1003-L</v>
          </cell>
          <cell r="B6122" t="str">
            <v>L1003</v>
          </cell>
          <cell r="C6122" t="str">
            <v>ซาติน แขนสั้นขาสี่ส่วน Rabbit Flower พื้นครีม L (กปก)</v>
          </cell>
          <cell r="E6122">
            <v>0</v>
          </cell>
          <cell r="F6122">
            <v>890</v>
          </cell>
        </row>
        <row r="6123">
          <cell r="A6123" t="str">
            <v>SL1003-M</v>
          </cell>
          <cell r="B6123" t="str">
            <v>L1003</v>
          </cell>
          <cell r="C6123" t="str">
            <v>ซาติน แขนสั้นขาสี่ส่วน Rabbit Flower พื้นครีม M (กปก)</v>
          </cell>
          <cell r="E6123">
            <v>0</v>
          </cell>
          <cell r="F6123">
            <v>590</v>
          </cell>
        </row>
        <row r="6124">
          <cell r="A6124" t="str">
            <v>SL1003-XL</v>
          </cell>
          <cell r="B6124" t="str">
            <v>L1003</v>
          </cell>
          <cell r="C6124" t="str">
            <v>ซาติน แขนสั้นขาสี่ส่วน Rabbit Flower พื้นครีม XL (กปก)</v>
          </cell>
          <cell r="E6124">
            <v>0</v>
          </cell>
          <cell r="F6124">
            <v>890</v>
          </cell>
        </row>
        <row r="6125">
          <cell r="A6125" t="str">
            <v>SL1004-2XL</v>
          </cell>
          <cell r="B6125" t="str">
            <v>L1004</v>
          </cell>
          <cell r="C6125" t="str">
            <v>ซาติน แขนสั้นขาสี่ส่วน Happy Easter 2XL (กปก)</v>
          </cell>
          <cell r="E6125">
            <v>0</v>
          </cell>
          <cell r="F6125">
            <v>890</v>
          </cell>
        </row>
        <row r="6126">
          <cell r="A6126" t="str">
            <v>SL1004-L</v>
          </cell>
          <cell r="B6126" t="str">
            <v>L1004</v>
          </cell>
          <cell r="C6126" t="str">
            <v>ซาติน แขนสั้นขาสี่ส่วน Happy Easter L (กปก)</v>
          </cell>
          <cell r="E6126">
            <v>0</v>
          </cell>
          <cell r="F6126">
            <v>890</v>
          </cell>
        </row>
        <row r="6127">
          <cell r="A6127" t="str">
            <v>SL1004-M</v>
          </cell>
          <cell r="B6127" t="str">
            <v>L1004</v>
          </cell>
          <cell r="C6127" t="str">
            <v>ซาติน แขนสั้นขาสี่ส่วน Happy Easter M (กปก)</v>
          </cell>
          <cell r="E6127">
            <v>0</v>
          </cell>
          <cell r="F6127">
            <v>890</v>
          </cell>
        </row>
        <row r="6128">
          <cell r="A6128" t="str">
            <v>SL1004-XL</v>
          </cell>
          <cell r="B6128" t="str">
            <v>L1004</v>
          </cell>
          <cell r="C6128" t="str">
            <v>ซาติน แขนสั้นขาสี่ส่วน Happy Easter XL (กปก)</v>
          </cell>
          <cell r="E6128">
            <v>0</v>
          </cell>
          <cell r="F6128">
            <v>890</v>
          </cell>
        </row>
        <row r="6129">
          <cell r="A6129" t="str">
            <v>SL1010-2XL</v>
          </cell>
          <cell r="B6129" t="str">
            <v>L1010</v>
          </cell>
          <cell r="C6129" t="str">
            <v>ซาติน แขนสั้นขาสี่ส่วน น้องแมว พื้นเทา 2XL  (กปก)</v>
          </cell>
          <cell r="E6129">
            <v>0</v>
          </cell>
          <cell r="F6129">
            <v>890</v>
          </cell>
        </row>
        <row r="6130">
          <cell r="A6130" t="str">
            <v>SL1010-L</v>
          </cell>
          <cell r="B6130" t="str">
            <v>L1010</v>
          </cell>
          <cell r="C6130" t="str">
            <v>ซาติน แขนสั้นขาสี่ส่วน น้องแมว พื้นเทา L (กปก)</v>
          </cell>
          <cell r="E6130">
            <v>0</v>
          </cell>
          <cell r="F6130">
            <v>890</v>
          </cell>
        </row>
        <row r="6131">
          <cell r="A6131" t="str">
            <v>SL1010-M</v>
          </cell>
          <cell r="B6131" t="str">
            <v>L1010</v>
          </cell>
          <cell r="C6131" t="str">
            <v>ซาติน แขนสั้นขาสี่ส่วน น้องแมว พื้นเทา M (กปก)</v>
          </cell>
          <cell r="E6131">
            <v>0</v>
          </cell>
          <cell r="F6131">
            <v>590</v>
          </cell>
        </row>
        <row r="6132">
          <cell r="A6132" t="str">
            <v>SL1010-XL</v>
          </cell>
          <cell r="B6132" t="str">
            <v>L1010</v>
          </cell>
          <cell r="C6132" t="str">
            <v>ซาติน แขนสั้นขาสี่ส่วน น้องแมว พื้นเทา XL (กปก)</v>
          </cell>
          <cell r="E6132">
            <v>0</v>
          </cell>
          <cell r="F6132">
            <v>890</v>
          </cell>
        </row>
        <row r="6133">
          <cell r="A6133" t="str">
            <v>SL1015-2XL</v>
          </cell>
          <cell r="B6133" t="str">
            <v>L1015</v>
          </cell>
          <cell r="C6133" t="str">
            <v>ซาติน แขนสั้นขาสี่ส่วน Flower Pink พื้นชมพู 2XL (กปก)</v>
          </cell>
          <cell r="E6133">
            <v>0</v>
          </cell>
          <cell r="F6133">
            <v>890</v>
          </cell>
        </row>
        <row r="6134">
          <cell r="A6134" t="str">
            <v>SL1015-L</v>
          </cell>
          <cell r="B6134" t="str">
            <v>L1015</v>
          </cell>
          <cell r="C6134" t="str">
            <v>ซาติน แขนสั้นขาสี่ส่วน Flower Pink พื้นชมพู L (กปก)</v>
          </cell>
          <cell r="E6134">
            <v>0</v>
          </cell>
          <cell r="F6134">
            <v>890</v>
          </cell>
        </row>
        <row r="6135">
          <cell r="A6135" t="str">
            <v>SL1015-M</v>
          </cell>
          <cell r="B6135" t="str">
            <v>L1015</v>
          </cell>
          <cell r="C6135" t="str">
            <v>ซาติน แขนสั้นขาสี่ส่วน Flower Pink พื้นชมพู M (กปก)</v>
          </cell>
          <cell r="E6135">
            <v>0</v>
          </cell>
          <cell r="F6135">
            <v>590</v>
          </cell>
        </row>
        <row r="6136">
          <cell r="A6136" t="str">
            <v>SL1015-XL</v>
          </cell>
          <cell r="B6136" t="str">
            <v>L1015</v>
          </cell>
          <cell r="C6136" t="str">
            <v>ซาติน แขนสั้นขาสี่ส่วน Flower Pink พื้นชมพู XL (กปก)</v>
          </cell>
          <cell r="E6136">
            <v>0</v>
          </cell>
          <cell r="F6136">
            <v>890</v>
          </cell>
        </row>
        <row r="6137">
          <cell r="A6137" t="str">
            <v>SL1016-2XL</v>
          </cell>
          <cell r="B6137" t="str">
            <v>L1016</v>
          </cell>
          <cell r="C6137" t="str">
            <v>ซาติน แขนสั้นขาสี่ส่วน Flower Blue พื้นขาว 2XL (กปก)</v>
          </cell>
          <cell r="E6137">
            <v>0</v>
          </cell>
          <cell r="F6137">
            <v>890</v>
          </cell>
        </row>
        <row r="6138">
          <cell r="A6138" t="str">
            <v>SL1016-L</v>
          </cell>
          <cell r="B6138" t="str">
            <v>L1016</v>
          </cell>
          <cell r="C6138" t="str">
            <v>ซาติน แขนสั้นขาสี่ส่วน Flower Blue พื้นขาว L (กปก)</v>
          </cell>
          <cell r="E6138">
            <v>0</v>
          </cell>
          <cell r="F6138">
            <v>890</v>
          </cell>
        </row>
        <row r="6139">
          <cell r="A6139" t="str">
            <v>SL1016-M</v>
          </cell>
          <cell r="B6139" t="str">
            <v>QL1016</v>
          </cell>
          <cell r="C6139" t="str">
            <v>ซาติน แขนสั้นขาสี่ส่วน Flower Blue พื้นขาว M (กปก) QC</v>
          </cell>
          <cell r="E6139">
            <v>0</v>
          </cell>
          <cell r="F6139">
            <v>890</v>
          </cell>
        </row>
        <row r="6140">
          <cell r="A6140" t="str">
            <v>SL1016-XL</v>
          </cell>
          <cell r="B6140" t="str">
            <v>L1016</v>
          </cell>
          <cell r="C6140" t="str">
            <v>ซาติน แขนสั้นขาสี่ส่วน Flower Blue พื้นขาว XL (กปก)</v>
          </cell>
          <cell r="E6140">
            <v>0</v>
          </cell>
          <cell r="F6140">
            <v>890</v>
          </cell>
        </row>
        <row r="6141">
          <cell r="A6141" t="str">
            <v>SL1017-2XL</v>
          </cell>
          <cell r="B6141" t="str">
            <v>L1017</v>
          </cell>
          <cell r="C6141" t="str">
            <v>ซาติน แขนสั้นขาสี่ส่วน Flower Green พื้นครีม 2XL (กปก)</v>
          </cell>
          <cell r="E6141">
            <v>0</v>
          </cell>
          <cell r="F6141">
            <v>890</v>
          </cell>
        </row>
        <row r="6142">
          <cell r="A6142" t="str">
            <v>SL1017-L</v>
          </cell>
          <cell r="B6142" t="str">
            <v>QL1017</v>
          </cell>
          <cell r="C6142" t="str">
            <v>ซาติน แขนสั้นขาสี่ส่วน Flower Green พื้นครีม L (กปก) QC</v>
          </cell>
          <cell r="E6142">
            <v>0</v>
          </cell>
          <cell r="F6142">
            <v>890</v>
          </cell>
        </row>
        <row r="6143">
          <cell r="A6143" t="str">
            <v>SL1017-M</v>
          </cell>
          <cell r="B6143" t="str">
            <v>L1017</v>
          </cell>
          <cell r="C6143" t="str">
            <v>ซาติน แขนสั้นขาสี่ส่วน Flower Green พื้นครีม M (กปก)</v>
          </cell>
          <cell r="E6143">
            <v>0</v>
          </cell>
          <cell r="F6143">
            <v>890</v>
          </cell>
        </row>
        <row r="6144">
          <cell r="A6144" t="str">
            <v>SL1017-XL</v>
          </cell>
          <cell r="B6144" t="str">
            <v>L1017</v>
          </cell>
          <cell r="C6144" t="str">
            <v>ซาติน แขนสั้นขาสี่ส่วน Flower Green พื้นครีม XL (กปก)</v>
          </cell>
          <cell r="E6144">
            <v>0</v>
          </cell>
          <cell r="F6144">
            <v>890</v>
          </cell>
        </row>
        <row r="6145">
          <cell r="A6145" t="str">
            <v>SL1024-2XL</v>
          </cell>
          <cell r="B6145" t="str">
            <v>L1024</v>
          </cell>
          <cell r="C6145" t="str">
            <v>ซาติน แขนสั้นขาสี่ส่วน ดอกไม้หลากสี 2XL (กปก)</v>
          </cell>
          <cell r="E6145">
            <v>0</v>
          </cell>
          <cell r="F6145">
            <v>890</v>
          </cell>
        </row>
        <row r="6146">
          <cell r="A6146" t="str">
            <v>SL1024-L</v>
          </cell>
          <cell r="B6146" t="str">
            <v>L1024</v>
          </cell>
          <cell r="C6146" t="str">
            <v>ซาติน แขนสั้นขาสี่ส่วน ดอกไม้หลากสี L (กปก)</v>
          </cell>
          <cell r="E6146">
            <v>0</v>
          </cell>
          <cell r="F6146">
            <v>890</v>
          </cell>
        </row>
        <row r="6147">
          <cell r="A6147" t="str">
            <v>SL1024-M</v>
          </cell>
          <cell r="B6147" t="str">
            <v>L1024</v>
          </cell>
          <cell r="C6147" t="str">
            <v>ซาติน แขนสั้นขาสี่ส่วน ดอกไม้หลากสี M (กปก)</v>
          </cell>
          <cell r="E6147">
            <v>0</v>
          </cell>
          <cell r="F6147">
            <v>890</v>
          </cell>
        </row>
        <row r="6148">
          <cell r="A6148" t="str">
            <v>SL1024-XL</v>
          </cell>
          <cell r="B6148" t="str">
            <v>L1024</v>
          </cell>
          <cell r="C6148" t="str">
            <v>ซาติน แขนสั้นขาสี่ส่วน ดอกไม้หลากสี XL (กปก)</v>
          </cell>
          <cell r="E6148">
            <v>0</v>
          </cell>
          <cell r="F6148">
            <v>890</v>
          </cell>
        </row>
        <row r="6149">
          <cell r="A6149" t="str">
            <v>SL1025-2XL</v>
          </cell>
          <cell r="B6149" t="str">
            <v>L1025</v>
          </cell>
          <cell r="C6149" t="str">
            <v>ซาติน แขนสั้นขาสี่ส่วน ยีราฟ พื้นเขียว 2XL (กปก)</v>
          </cell>
          <cell r="E6149">
            <v>0</v>
          </cell>
          <cell r="F6149">
            <v>890</v>
          </cell>
        </row>
        <row r="6150">
          <cell r="A6150" t="str">
            <v>SL1025-L</v>
          </cell>
          <cell r="B6150" t="str">
            <v>L1025</v>
          </cell>
          <cell r="C6150" t="str">
            <v>ซาติน แขนสั้นขาสี่ส่วน ยีราฟ พื้นเขียว L (กปก)</v>
          </cell>
          <cell r="E6150">
            <v>0</v>
          </cell>
          <cell r="F6150">
            <v>890</v>
          </cell>
        </row>
        <row r="6151">
          <cell r="A6151" t="str">
            <v>SL1025-M</v>
          </cell>
          <cell r="B6151" t="str">
            <v>L1025</v>
          </cell>
          <cell r="C6151" t="str">
            <v>ซาติน แขนสั้นขาสี่ส่วน ยีราฟ พื้นเขียว M (กปก)</v>
          </cell>
          <cell r="E6151">
            <v>0</v>
          </cell>
          <cell r="F6151">
            <v>890</v>
          </cell>
        </row>
        <row r="6152">
          <cell r="A6152" t="str">
            <v>SL1025-XL</v>
          </cell>
          <cell r="B6152" t="str">
            <v>L1025</v>
          </cell>
          <cell r="C6152" t="str">
            <v>ซาติน แขนสั้นขาสี่ส่วน ยีราฟ พื้นเขียว XL (กปก)</v>
          </cell>
          <cell r="E6152">
            <v>0</v>
          </cell>
          <cell r="F6152">
            <v>890</v>
          </cell>
        </row>
        <row r="6153">
          <cell r="A6153" t="str">
            <v>SL1032-2XL</v>
          </cell>
          <cell r="B6153" t="str">
            <v>L1032</v>
          </cell>
          <cell r="C6153" t="str">
            <v>ซาติน แขนสั้นขาสี่ส่วน Cute Cat 2XL (กปก)</v>
          </cell>
          <cell r="E6153">
            <v>0</v>
          </cell>
          <cell r="F6153">
            <v>890</v>
          </cell>
        </row>
        <row r="6154">
          <cell r="A6154" t="str">
            <v>SL1032-L</v>
          </cell>
          <cell r="B6154" t="str">
            <v>L1032</v>
          </cell>
          <cell r="C6154" t="str">
            <v>ซาติน แขนสั้นขาสี่ส่วน Cute Cat L (กปก)</v>
          </cell>
          <cell r="E6154">
            <v>0</v>
          </cell>
          <cell r="F6154">
            <v>890</v>
          </cell>
        </row>
        <row r="6155">
          <cell r="A6155" t="str">
            <v>SL1032-M</v>
          </cell>
          <cell r="B6155" t="str">
            <v>L1032</v>
          </cell>
          <cell r="C6155" t="str">
            <v>ซาติน แขนสั้นขาสี่ส่วน Cute Cat M (กปก)</v>
          </cell>
          <cell r="E6155">
            <v>0</v>
          </cell>
          <cell r="F6155">
            <v>590</v>
          </cell>
        </row>
        <row r="6156">
          <cell r="A6156" t="str">
            <v>SL1032-XL</v>
          </cell>
          <cell r="B6156" t="str">
            <v>L1032</v>
          </cell>
          <cell r="C6156" t="str">
            <v>ซาติน แขนสั้นขาสี่ส่วน Cute Cat XL (กปก)</v>
          </cell>
          <cell r="E6156">
            <v>0</v>
          </cell>
          <cell r="F6156">
            <v>890</v>
          </cell>
        </row>
        <row r="6157">
          <cell r="A6157" t="str">
            <v>SL1036-2XL</v>
          </cell>
          <cell r="B6157" t="str">
            <v>L1036</v>
          </cell>
          <cell r="C6157" t="str">
            <v>ซาติน แขนสั้นขาสี่ส่วน กระต่ายขาว ขอบชมพู 2XL</v>
          </cell>
          <cell r="E6157">
            <v>0</v>
          </cell>
          <cell r="F6157">
            <v>590</v>
          </cell>
        </row>
        <row r="6158">
          <cell r="A6158" t="str">
            <v>SL1036-L</v>
          </cell>
          <cell r="B6158" t="str">
            <v>L1036</v>
          </cell>
          <cell r="C6158" t="str">
            <v>ซาติน แขนสั้นขาสี่ส่วน กระต่ายขาว ขอบชมพู L</v>
          </cell>
          <cell r="E6158">
            <v>0</v>
          </cell>
          <cell r="F6158">
            <v>890</v>
          </cell>
        </row>
        <row r="6159">
          <cell r="A6159" t="str">
            <v>SL1036-M</v>
          </cell>
          <cell r="B6159" t="str">
            <v>L1036</v>
          </cell>
          <cell r="C6159" t="str">
            <v>ซาติน แขนสั้นขาสี่ส่วน กระต่ายขาว ขอบชมพู M</v>
          </cell>
          <cell r="E6159">
            <v>0</v>
          </cell>
          <cell r="F6159">
            <v>890</v>
          </cell>
        </row>
        <row r="6160">
          <cell r="A6160" t="str">
            <v>SL1036-XL</v>
          </cell>
          <cell r="B6160" t="str">
            <v>L1036</v>
          </cell>
          <cell r="C6160" t="str">
            <v>ซาติน แขนสั้นขาสี่ส่วน กระต่ายขาว ขอบชมพู XL</v>
          </cell>
          <cell r="E6160">
            <v>0</v>
          </cell>
          <cell r="F6160">
            <v>890</v>
          </cell>
        </row>
        <row r="6161">
          <cell r="A6161" t="str">
            <v>SL1041-2XL</v>
          </cell>
          <cell r="B6161" t="str">
            <v>L1041</v>
          </cell>
          <cell r="C6161" t="str">
            <v>ซาติน แขนสั้นขาสี่ส่วน Happy Baby Girl 2XL (กปก)</v>
          </cell>
          <cell r="E6161">
            <v>0</v>
          </cell>
          <cell r="F6161">
            <v>890</v>
          </cell>
        </row>
        <row r="6162">
          <cell r="A6162" t="str">
            <v>SL1041-L</v>
          </cell>
          <cell r="B6162" t="str">
            <v>L1041</v>
          </cell>
          <cell r="C6162" t="str">
            <v>ซาติน แขนสั้นขาสี่ส่วน Happy Baby Girl L (กปก)</v>
          </cell>
          <cell r="E6162">
            <v>0</v>
          </cell>
          <cell r="F6162">
            <v>890</v>
          </cell>
        </row>
        <row r="6163">
          <cell r="A6163" t="str">
            <v>SL1041-M</v>
          </cell>
          <cell r="B6163" t="str">
            <v>L1041</v>
          </cell>
          <cell r="C6163" t="str">
            <v>ซาติน แขนสั้นขาสี่ส่วน Happy Baby Girl M (กปก)</v>
          </cell>
          <cell r="E6163">
            <v>0</v>
          </cell>
          <cell r="F6163">
            <v>590</v>
          </cell>
        </row>
        <row r="6164">
          <cell r="A6164" t="str">
            <v>SL1041-XL</v>
          </cell>
          <cell r="B6164" t="str">
            <v>L1041</v>
          </cell>
          <cell r="C6164" t="str">
            <v>ซาติน แขนสั้นขาสี่ส่วน Happy Baby Girl XL (กปก)</v>
          </cell>
          <cell r="E6164">
            <v>0</v>
          </cell>
          <cell r="F6164">
            <v>890</v>
          </cell>
        </row>
        <row r="6165">
          <cell r="A6165" t="str">
            <v>SL1042-2XL</v>
          </cell>
          <cell r="B6165" t="str">
            <v>L1042</v>
          </cell>
          <cell r="C6165" t="str">
            <v>ซาติน แขนสั้นขาสี่ส่วน เสิอน้อย พื้นครีม 2XL (กปก)</v>
          </cell>
          <cell r="E6165">
            <v>0</v>
          </cell>
          <cell r="F6165">
            <v>890</v>
          </cell>
        </row>
        <row r="6166">
          <cell r="A6166" t="str">
            <v>SL1042-L</v>
          </cell>
          <cell r="B6166" t="str">
            <v>L1042</v>
          </cell>
          <cell r="C6166" t="str">
            <v>ซาติน แขนสั้นขาสี่ส่วน เสิอน้อย พื้นครีม L (กปก)</v>
          </cell>
          <cell r="E6166">
            <v>0</v>
          </cell>
          <cell r="F6166">
            <v>890</v>
          </cell>
        </row>
        <row r="6167">
          <cell r="A6167" t="str">
            <v>SL1042-M</v>
          </cell>
          <cell r="B6167" t="str">
            <v>L1042</v>
          </cell>
          <cell r="C6167" t="str">
            <v>ซาติน แขนสั้นขาสี่ส่วน เสิอน้อย พื้นครีม M (กปก)</v>
          </cell>
          <cell r="E6167">
            <v>0</v>
          </cell>
          <cell r="F6167">
            <v>590</v>
          </cell>
        </row>
        <row r="6168">
          <cell r="A6168" t="str">
            <v>SL1042-XL</v>
          </cell>
          <cell r="B6168" t="str">
            <v>L1042</v>
          </cell>
          <cell r="C6168" t="str">
            <v>ซาติน แขนสั้นขาสี่ส่วน เสิอน้อย พื้นครีม XL (กปก)</v>
          </cell>
          <cell r="E6168">
            <v>0</v>
          </cell>
          <cell r="F6168">
            <v>890</v>
          </cell>
        </row>
        <row r="6169">
          <cell r="A6169" t="str">
            <v>SL1043-2XL</v>
          </cell>
          <cell r="B6169" t="str">
            <v>L1043</v>
          </cell>
          <cell r="C6169" t="str">
            <v>ซาติน แขนสั้นขาสี่ส่วน กราฟฟิก ขาวดำ 2XL (กปก)</v>
          </cell>
          <cell r="E6169">
            <v>0</v>
          </cell>
          <cell r="F6169">
            <v>890</v>
          </cell>
        </row>
        <row r="6170">
          <cell r="A6170" t="str">
            <v>SL1043-L</v>
          </cell>
          <cell r="B6170" t="str">
            <v>QL1043</v>
          </cell>
          <cell r="C6170" t="str">
            <v>ซาติน แขนสั้นขาสี่ส่วน กราฟฟิก ขาวดำ L (กปก) QC</v>
          </cell>
          <cell r="E6170">
            <v>0</v>
          </cell>
          <cell r="F6170">
            <v>890</v>
          </cell>
        </row>
        <row r="6171">
          <cell r="A6171" t="str">
            <v>SL1043-M</v>
          </cell>
          <cell r="B6171" t="str">
            <v>L1043</v>
          </cell>
          <cell r="C6171" t="str">
            <v>ซาติน แขนสั้นขาสี่ส่วน กราฟฟิก ขาวดำ M (กปก)</v>
          </cell>
          <cell r="E6171">
            <v>0</v>
          </cell>
          <cell r="F6171">
            <v>590</v>
          </cell>
        </row>
        <row r="6172">
          <cell r="A6172" t="str">
            <v>SL1043-XL</v>
          </cell>
          <cell r="B6172" t="str">
            <v>L1043</v>
          </cell>
          <cell r="C6172" t="str">
            <v>ซาติน แขนสั้นขาสี่ส่วน กราฟฟิก ขาวดำ XL (กปก)</v>
          </cell>
          <cell r="E6172">
            <v>0</v>
          </cell>
          <cell r="F6172">
            <v>890</v>
          </cell>
        </row>
        <row r="6173">
          <cell r="A6173" t="str">
            <v>SL1044-2XL</v>
          </cell>
          <cell r="B6173" t="str">
            <v>L1044</v>
          </cell>
          <cell r="C6173" t="str">
            <v>ซาติน แขนสั้นขาสี่ส่วน อาร์ทหน้ายิ้ม พื้นส้ม 2XL (กปก)</v>
          </cell>
          <cell r="E6173">
            <v>0</v>
          </cell>
          <cell r="F6173">
            <v>890</v>
          </cell>
        </row>
        <row r="6174">
          <cell r="A6174" t="str">
            <v>SL1044-L</v>
          </cell>
          <cell r="B6174" t="str">
            <v>L1044</v>
          </cell>
          <cell r="C6174" t="str">
            <v>ซาติน แขนสั้นขาสี่ส่วน อาร์ทหน้ายิ้ม พื้นส้ม L (กปก)</v>
          </cell>
          <cell r="E6174">
            <v>0</v>
          </cell>
          <cell r="F6174">
            <v>890</v>
          </cell>
        </row>
        <row r="6175">
          <cell r="A6175" t="str">
            <v>SL1044-M</v>
          </cell>
          <cell r="B6175" t="str">
            <v>L1044</v>
          </cell>
          <cell r="C6175" t="str">
            <v>ซาติน แขนสั้นขาสี่ส่วน อาร์ทหน้ายิ้ม พื้นส้ม M (กปก)</v>
          </cell>
          <cell r="E6175">
            <v>0</v>
          </cell>
          <cell r="F6175">
            <v>890</v>
          </cell>
        </row>
        <row r="6176">
          <cell r="A6176" t="str">
            <v>SL1044-XL</v>
          </cell>
          <cell r="B6176" t="str">
            <v>L1044</v>
          </cell>
          <cell r="C6176" t="str">
            <v>ซาติน แขนสั้นขาสี่ส่วน อาร์ทหน้ายิ้ม พื้นส้ม XL (กปก)</v>
          </cell>
          <cell r="E6176">
            <v>0</v>
          </cell>
          <cell r="F6176">
            <v>890</v>
          </cell>
        </row>
        <row r="6177">
          <cell r="A6177" t="str">
            <v>SL1045-2XL</v>
          </cell>
          <cell r="B6177" t="str">
            <v>L1045</v>
          </cell>
          <cell r="C6177" t="str">
            <v>ซาติน แขนสั้นขาสี่ส่วน โซ่ พื้นกรม 2XL (กปก)</v>
          </cell>
          <cell r="E6177">
            <v>0</v>
          </cell>
          <cell r="F6177">
            <v>890</v>
          </cell>
        </row>
        <row r="6178">
          <cell r="A6178" t="str">
            <v>SL1045-L</v>
          </cell>
          <cell r="B6178" t="str">
            <v>L1045</v>
          </cell>
          <cell r="C6178" t="str">
            <v>ซาติน แขนสั้นขาสี่ส่วน โซ่ พื้นกรม L (กปก)</v>
          </cell>
          <cell r="E6178">
            <v>0</v>
          </cell>
          <cell r="F6178">
            <v>850</v>
          </cell>
        </row>
        <row r="6179">
          <cell r="A6179" t="str">
            <v>SL1045-M</v>
          </cell>
          <cell r="B6179" t="str">
            <v>L1045</v>
          </cell>
          <cell r="C6179" t="str">
            <v>ซาติน แขนสั้นขาสี่ส่วน โซ่ พื้นกรม M (กปก)</v>
          </cell>
          <cell r="E6179">
            <v>0</v>
          </cell>
          <cell r="F6179">
            <v>890</v>
          </cell>
        </row>
        <row r="6180">
          <cell r="A6180" t="str">
            <v>SL1045-XL</v>
          </cell>
          <cell r="B6180" t="str">
            <v>L1045</v>
          </cell>
          <cell r="C6180" t="str">
            <v>ซาติน แขนสั้นขาสี่ส่วน โซ่ พื้นกรม XL (กปก)</v>
          </cell>
          <cell r="E6180">
            <v>0</v>
          </cell>
          <cell r="F6180">
            <v>890</v>
          </cell>
        </row>
        <row r="6181">
          <cell r="A6181" t="str">
            <v>SL1055-2XL</v>
          </cell>
          <cell r="B6181" t="str">
            <v>L1055</v>
          </cell>
          <cell r="C6181" t="str">
            <v>ซาติน แขนสั้นขาสี่ส่วน หมีน้อย พื้นน้ำตาล 2XL (กปก)</v>
          </cell>
          <cell r="E6181">
            <v>0</v>
          </cell>
          <cell r="F6181">
            <v>890</v>
          </cell>
        </row>
        <row r="6182">
          <cell r="A6182" t="str">
            <v>SL1055-L</v>
          </cell>
          <cell r="B6182" t="str">
            <v>L1055</v>
          </cell>
          <cell r="C6182" t="str">
            <v>ซาติน แขนสั้นขาสี่ส่วน หมีน้อย พื้นน้ำตาล L (กปก)</v>
          </cell>
          <cell r="E6182">
            <v>0</v>
          </cell>
          <cell r="F6182">
            <v>890</v>
          </cell>
        </row>
        <row r="6183">
          <cell r="A6183" t="str">
            <v>SL1055-M</v>
          </cell>
          <cell r="B6183" t="str">
            <v>L1055</v>
          </cell>
          <cell r="C6183" t="str">
            <v>ซาติน แขนสั้นขาสี่ส่วน หมีน้อย พื้นน้ำตาล M (กปก)</v>
          </cell>
          <cell r="E6183">
            <v>0</v>
          </cell>
          <cell r="F6183">
            <v>890</v>
          </cell>
        </row>
        <row r="6184">
          <cell r="A6184" t="str">
            <v>SL1055-XL</v>
          </cell>
          <cell r="B6184" t="str">
            <v>L1055</v>
          </cell>
          <cell r="C6184" t="str">
            <v>ซาติน แขนสั้นขาสี่ส่วน หมีน้อย พื้นน้ำตาล XL (กปก)</v>
          </cell>
          <cell r="E6184">
            <v>0</v>
          </cell>
          <cell r="F6184">
            <v>890</v>
          </cell>
        </row>
        <row r="6185">
          <cell r="A6185" t="str">
            <v>SL1056-2XL</v>
          </cell>
          <cell r="B6185" t="str">
            <v>L1056</v>
          </cell>
          <cell r="C6185" t="str">
            <v>ซาติน แขนสั้นขาสี่ส่วน หมีน้อย พื้นครีม 2XL (กปก)</v>
          </cell>
          <cell r="E6185">
            <v>0</v>
          </cell>
          <cell r="F6185">
            <v>890</v>
          </cell>
        </row>
        <row r="6186">
          <cell r="A6186" t="str">
            <v>SL1056-L</v>
          </cell>
          <cell r="B6186" t="str">
            <v>L1056</v>
          </cell>
          <cell r="C6186" t="str">
            <v>ซาติน แขนสั้นขาสี่ส่วน หมีน้อย พื้นครีม L (กปก)</v>
          </cell>
          <cell r="E6186">
            <v>0</v>
          </cell>
          <cell r="F6186">
            <v>890</v>
          </cell>
        </row>
        <row r="6187">
          <cell r="A6187" t="str">
            <v>SL1056-M</v>
          </cell>
          <cell r="B6187" t="str">
            <v>L1056</v>
          </cell>
          <cell r="C6187" t="str">
            <v>ซาติน แขนสั้นขาสี่ส่วน หมีน้อย พื้นครีม M (กปก)</v>
          </cell>
          <cell r="E6187">
            <v>0</v>
          </cell>
          <cell r="F6187">
            <v>890</v>
          </cell>
        </row>
        <row r="6188">
          <cell r="A6188" t="str">
            <v>SL1056-XL</v>
          </cell>
          <cell r="B6188" t="str">
            <v>L1056</v>
          </cell>
          <cell r="C6188" t="str">
            <v>ซาติน แขนสั้นขาสี่ส่วน หมีน้อย พื้นครีม XL (กปก)</v>
          </cell>
          <cell r="E6188">
            <v>0</v>
          </cell>
          <cell r="F6188">
            <v>890</v>
          </cell>
        </row>
        <row r="6189">
          <cell r="A6189" t="str">
            <v>SL1057-2XL</v>
          </cell>
          <cell r="B6189" t="str">
            <v>L1057</v>
          </cell>
          <cell r="C6189" t="str">
            <v>ซาติน แขนสั้นขาสี่ส่วน สุนัขลายทาง เขียวอ่อน 2XL (กปก)</v>
          </cell>
          <cell r="E6189">
            <v>0</v>
          </cell>
          <cell r="F6189">
            <v>890</v>
          </cell>
        </row>
        <row r="6190">
          <cell r="A6190" t="str">
            <v>SL1057-L</v>
          </cell>
          <cell r="B6190" t="str">
            <v>L1057</v>
          </cell>
          <cell r="C6190" t="str">
            <v>ซาติน แขนสั้นขาสี่ส่วน สุนัขลายทาง เขียวอ่อน L (กปก)</v>
          </cell>
          <cell r="E6190">
            <v>0</v>
          </cell>
          <cell r="F6190">
            <v>890</v>
          </cell>
        </row>
        <row r="6191">
          <cell r="A6191" t="str">
            <v>SL1057-M</v>
          </cell>
          <cell r="B6191" t="str">
            <v>L1057</v>
          </cell>
          <cell r="C6191" t="str">
            <v>ซาติน แขนสั้นขาสี่ส่วน สุนัขลายทาง เขียวอ่อน M (กปก)</v>
          </cell>
          <cell r="E6191">
            <v>0</v>
          </cell>
          <cell r="F6191">
            <v>890</v>
          </cell>
        </row>
        <row r="6192">
          <cell r="A6192" t="str">
            <v>SL1057-XL</v>
          </cell>
          <cell r="B6192" t="str">
            <v>L1057</v>
          </cell>
          <cell r="C6192" t="str">
            <v>ซาติน แขนสั้นขาสี่ส่วน สุนัขลายทาง เขียวอ่อน XL (กปก)</v>
          </cell>
          <cell r="E6192">
            <v>0</v>
          </cell>
          <cell r="F6192">
            <v>890</v>
          </cell>
        </row>
        <row r="6193">
          <cell r="A6193" t="str">
            <v>SL1065-2XL</v>
          </cell>
          <cell r="B6193" t="str">
            <v>L1065</v>
          </cell>
          <cell r="C6193" t="str">
            <v>ซาติน แขนสั้นขาสี่ส่วน รวมสัตว์ อวกาศ พื้นครีม 2XL (กปก)</v>
          </cell>
          <cell r="E6193">
            <v>0</v>
          </cell>
          <cell r="F6193">
            <v>890</v>
          </cell>
        </row>
        <row r="6194">
          <cell r="A6194" t="str">
            <v>SL1065-L</v>
          </cell>
          <cell r="B6194" t="str">
            <v>L1065</v>
          </cell>
          <cell r="C6194" t="str">
            <v>ซาติน แขนสั้นขาสี่ส่วน รวมสัตว์ อวกาศ พื้นครีม L (กปก)</v>
          </cell>
          <cell r="E6194">
            <v>0</v>
          </cell>
          <cell r="F6194">
            <v>890</v>
          </cell>
        </row>
        <row r="6195">
          <cell r="A6195" t="str">
            <v>SL1065-M</v>
          </cell>
          <cell r="B6195" t="str">
            <v>L1065</v>
          </cell>
          <cell r="C6195" t="str">
            <v>ซาติน แขนสั้นขาสี่ส่วน รวมสัตว์ อวกาศ พื้นครีม M (กปก)</v>
          </cell>
          <cell r="E6195">
            <v>0</v>
          </cell>
          <cell r="F6195">
            <v>590</v>
          </cell>
        </row>
        <row r="6196">
          <cell r="A6196" t="str">
            <v>SL1065-XL</v>
          </cell>
          <cell r="B6196" t="str">
            <v>L1065</v>
          </cell>
          <cell r="C6196" t="str">
            <v>ซาติน แขนสั้นขาสี่ส่วน รวมสัตว์ อวกาศ พื้นครีม XL (กปก)</v>
          </cell>
          <cell r="E6196">
            <v>0</v>
          </cell>
          <cell r="F6196">
            <v>890</v>
          </cell>
        </row>
        <row r="6197">
          <cell r="A6197" t="str">
            <v>SL1068-2XL</v>
          </cell>
          <cell r="B6197" t="str">
            <v>L1068</v>
          </cell>
          <cell r="C6197" t="str">
            <v>ซาติน แขนสั้นขาสี่ส่วน ดอกไม้แดง ขอบเขียว กระดุม 2XL</v>
          </cell>
          <cell r="E6197">
            <v>0</v>
          </cell>
          <cell r="F6197">
            <v>890</v>
          </cell>
        </row>
        <row r="6198">
          <cell r="A6198" t="str">
            <v>SL1068-L</v>
          </cell>
          <cell r="B6198" t="str">
            <v>L1068</v>
          </cell>
          <cell r="C6198" t="str">
            <v>ซาติน แขนสั้นขาสี่ส่วน ดอกไม้แดง ขอบเขียว กระดุม L</v>
          </cell>
          <cell r="E6198">
            <v>0</v>
          </cell>
          <cell r="F6198">
            <v>890</v>
          </cell>
        </row>
        <row r="6199">
          <cell r="A6199" t="str">
            <v>SL1068-M</v>
          </cell>
          <cell r="B6199" t="str">
            <v>QL1068</v>
          </cell>
          <cell r="C6199" t="str">
            <v>ซาติน แขนสั้นขาสี่ส่วน ดอกไม้แดง ขอบเขียว กระดุม M QC</v>
          </cell>
          <cell r="E6199">
            <v>0</v>
          </cell>
          <cell r="F6199">
            <v>890</v>
          </cell>
        </row>
        <row r="6200">
          <cell r="A6200" t="str">
            <v>SL1068-XL</v>
          </cell>
          <cell r="B6200" t="str">
            <v>L1068</v>
          </cell>
          <cell r="C6200" t="str">
            <v>ซาติน แขนสั้นขาสี่ส่วน ดอกไม้แดง ขอบเขียว กระดุม XL</v>
          </cell>
          <cell r="E6200">
            <v>0</v>
          </cell>
          <cell r="F6200">
            <v>890</v>
          </cell>
        </row>
        <row r="6201">
          <cell r="A6201" t="str">
            <v>SL1085-2XL</v>
          </cell>
          <cell r="B6201" t="str">
            <v>QL1085</v>
          </cell>
          <cell r="C6201" t="str">
            <v>ซาติน แขนสั้นขาสี่ส่วน Flower Red พื้นครีม 2XL (กปก) QC</v>
          </cell>
          <cell r="E6201">
            <v>0</v>
          </cell>
          <cell r="F6201">
            <v>890</v>
          </cell>
        </row>
        <row r="6202">
          <cell r="A6202" t="str">
            <v>SL1085-L</v>
          </cell>
          <cell r="B6202" t="str">
            <v>L1085</v>
          </cell>
          <cell r="C6202" t="str">
            <v>ซาติน แขนสั้นขาสี่ส่วน Flower Red พื้นครีม L (กปก)</v>
          </cell>
          <cell r="E6202">
            <v>0</v>
          </cell>
          <cell r="F6202">
            <v>890</v>
          </cell>
        </row>
        <row r="6203">
          <cell r="A6203" t="str">
            <v>SL1085-M</v>
          </cell>
          <cell r="B6203" t="str">
            <v>L1085</v>
          </cell>
          <cell r="C6203" t="str">
            <v>ซาติน แขนสั้นขาสี่ส่วน Flower Red พื้นครีม M (กปก)</v>
          </cell>
          <cell r="E6203">
            <v>0</v>
          </cell>
          <cell r="F6203">
            <v>890</v>
          </cell>
        </row>
        <row r="6204">
          <cell r="A6204" t="str">
            <v>SL1085-XL</v>
          </cell>
          <cell r="B6204" t="str">
            <v>L1085</v>
          </cell>
          <cell r="C6204" t="str">
            <v>ซาติน แขนสั้นขาสี่ส่วน Flower Red พื้นครีม XL (กปก)</v>
          </cell>
          <cell r="E6204">
            <v>0</v>
          </cell>
          <cell r="F6204">
            <v>890</v>
          </cell>
        </row>
        <row r="6205">
          <cell r="A6205" t="str">
            <v>SL1086-2XL</v>
          </cell>
          <cell r="B6205" t="str">
            <v>L1086</v>
          </cell>
          <cell r="C6205" t="str">
            <v>ซาติน แขนสั้นขาสี่ส่วน Flower Blue พื้นครีม 2XL (กปก)</v>
          </cell>
          <cell r="E6205">
            <v>0</v>
          </cell>
          <cell r="F6205">
            <v>890</v>
          </cell>
        </row>
        <row r="6206">
          <cell r="A6206" t="str">
            <v>SL1086-L</v>
          </cell>
          <cell r="B6206" t="str">
            <v>L1086</v>
          </cell>
          <cell r="C6206" t="str">
            <v>ซาติน แขนสั้นขาสี่ส่วน Flower Blue พื้นครีม L (กปก)</v>
          </cell>
          <cell r="E6206">
            <v>0</v>
          </cell>
          <cell r="F6206">
            <v>890</v>
          </cell>
        </row>
        <row r="6207">
          <cell r="A6207" t="str">
            <v>SL1086-M</v>
          </cell>
          <cell r="B6207" t="str">
            <v>L1086</v>
          </cell>
          <cell r="C6207" t="str">
            <v>ซาติน แขนสั้นขาสี่ส่วน Flower Blue พื้นครีม M (กปก)</v>
          </cell>
          <cell r="E6207">
            <v>0</v>
          </cell>
          <cell r="F6207">
            <v>590</v>
          </cell>
        </row>
        <row r="6208">
          <cell r="A6208" t="str">
            <v>SL1086-XL</v>
          </cell>
          <cell r="B6208" t="str">
            <v>L1086</v>
          </cell>
          <cell r="C6208" t="str">
            <v>ซาติน แขนสั้นขาสี่ส่วน Flower Blue พื้นครีม XL (กปก)</v>
          </cell>
          <cell r="E6208">
            <v>0</v>
          </cell>
          <cell r="F6208">
            <v>890</v>
          </cell>
        </row>
        <row r="6209">
          <cell r="A6209" t="str">
            <v>SL1087-2XL</v>
          </cell>
          <cell r="B6209" t="str">
            <v>L1087</v>
          </cell>
          <cell r="C6209" t="str">
            <v>ซาติน แขนสั้นขาสี่ส่วน Flower White&amp;Brown พื้นครีม 2XL (กปก)</v>
          </cell>
          <cell r="E6209">
            <v>0</v>
          </cell>
          <cell r="F6209">
            <v>890</v>
          </cell>
        </row>
        <row r="6210">
          <cell r="A6210" t="str">
            <v>SL1087-L</v>
          </cell>
          <cell r="B6210" t="str">
            <v>L1087</v>
          </cell>
          <cell r="C6210" t="str">
            <v>ซาติน แขนสั้นขาสี่ส่วน Flower White&amp;Brown พื้นครีม L (กปก)</v>
          </cell>
          <cell r="E6210">
            <v>0</v>
          </cell>
          <cell r="F6210">
            <v>890</v>
          </cell>
        </row>
        <row r="6211">
          <cell r="A6211" t="str">
            <v>SL1087-M</v>
          </cell>
          <cell r="B6211" t="str">
            <v>QL1087</v>
          </cell>
          <cell r="C6211" t="str">
            <v>ซาติน แขนสั้นขาสี่ส่วน Flower White&amp;Brown พื้นครีม M (กปก) QC</v>
          </cell>
          <cell r="E6211">
            <v>0</v>
          </cell>
          <cell r="F6211">
            <v>890</v>
          </cell>
        </row>
        <row r="6212">
          <cell r="A6212" t="str">
            <v>SL1087-XL</v>
          </cell>
          <cell r="B6212" t="str">
            <v>L1087</v>
          </cell>
          <cell r="C6212" t="str">
            <v>ซาติน แขนสั้นขาสี่ส่วน Flower White&amp;Brown พื้นครีม XL (กปก)</v>
          </cell>
          <cell r="E6212">
            <v>0</v>
          </cell>
          <cell r="F6212">
            <v>890</v>
          </cell>
        </row>
        <row r="6213">
          <cell r="A6213" t="str">
            <v>SL1088-2XL</v>
          </cell>
          <cell r="B6213" t="str">
            <v>L1088</v>
          </cell>
          <cell r="C6213" t="str">
            <v>ซาติน แขนสั้นขาสี่ส่วน Flower Pink พื้นครีม 2XL (กปก)</v>
          </cell>
          <cell r="E6213">
            <v>0</v>
          </cell>
          <cell r="F6213">
            <v>890</v>
          </cell>
        </row>
        <row r="6214">
          <cell r="A6214" t="str">
            <v>SL1088-L</v>
          </cell>
          <cell r="B6214" t="str">
            <v>L1088</v>
          </cell>
          <cell r="C6214" t="str">
            <v>ซาติน แขนสั้นขาสี่ส่วน Flower Pink พื้นครีม L (กปก)</v>
          </cell>
          <cell r="E6214">
            <v>0</v>
          </cell>
          <cell r="F6214">
            <v>890</v>
          </cell>
        </row>
        <row r="6215">
          <cell r="A6215" t="str">
            <v>SL1088-M</v>
          </cell>
          <cell r="B6215" t="str">
            <v>L1088</v>
          </cell>
          <cell r="C6215" t="str">
            <v>ซาติน แขนสั้นขาสี่ส่วน Flower Pink พื้นครีม M (กปก)</v>
          </cell>
          <cell r="E6215">
            <v>0</v>
          </cell>
          <cell r="F6215">
            <v>890</v>
          </cell>
        </row>
        <row r="6216">
          <cell r="A6216" t="str">
            <v>SL1088-XL</v>
          </cell>
          <cell r="B6216" t="str">
            <v>L1088</v>
          </cell>
          <cell r="C6216" t="str">
            <v>ซาติน แขนสั้นขาสี่ส่วน Flower Pink พื้นครีม XL (กปก)</v>
          </cell>
          <cell r="E6216">
            <v>0</v>
          </cell>
          <cell r="F6216">
            <v>890</v>
          </cell>
        </row>
        <row r="6217">
          <cell r="A6217" t="str">
            <v>SL1089-2XL</v>
          </cell>
          <cell r="B6217" t="str">
            <v>L1089</v>
          </cell>
          <cell r="C6217" t="str">
            <v>ซาติน แขนสี่ส่วนขาสี่ส่วน กราฟฟิกแดงฟ้า 2XL (กปก)</v>
          </cell>
          <cell r="E6217">
            <v>0</v>
          </cell>
          <cell r="F6217">
            <v>890</v>
          </cell>
        </row>
        <row r="6218">
          <cell r="A6218" t="str">
            <v>SL1089-L</v>
          </cell>
          <cell r="B6218" t="str">
            <v>L1089</v>
          </cell>
          <cell r="C6218" t="str">
            <v>ซาติน แขนสี่ส่วนขาสี่ส่วน กราฟฟิกแดงฟ้า L (กปก)</v>
          </cell>
          <cell r="E6218">
            <v>0</v>
          </cell>
          <cell r="F6218">
            <v>890</v>
          </cell>
        </row>
        <row r="6219">
          <cell r="A6219" t="str">
            <v>SL1089-M</v>
          </cell>
          <cell r="B6219" t="str">
            <v>L1089</v>
          </cell>
          <cell r="C6219" t="str">
            <v>ซาติน แขนสี่ส่วนขาสี่ส่วน กราฟฟิกแดงฟ้า M (กปก)</v>
          </cell>
          <cell r="E6219">
            <v>0</v>
          </cell>
          <cell r="F6219">
            <v>890</v>
          </cell>
        </row>
        <row r="6220">
          <cell r="A6220" t="str">
            <v>SL1089-XL</v>
          </cell>
          <cell r="B6220" t="str">
            <v>L1089</v>
          </cell>
          <cell r="C6220" t="str">
            <v>ซาติน แขนสี่ส่วนขาสี่ส่วน กราฟฟิกแดงฟ้า XL (กปก)</v>
          </cell>
          <cell r="E6220">
            <v>0</v>
          </cell>
          <cell r="F6220">
            <v>890</v>
          </cell>
        </row>
        <row r="6221">
          <cell r="A6221" t="str">
            <v>SL1095-2XL</v>
          </cell>
          <cell r="B6221" t="str">
            <v>L1095</v>
          </cell>
          <cell r="C6221" t="str">
            <v>ซาติน แขนสั้นขาสี่ส่วน สิงโตพื้นส้ม (กปก) 2XL</v>
          </cell>
          <cell r="E6221">
            <v>0</v>
          </cell>
          <cell r="F6221">
            <v>890</v>
          </cell>
        </row>
        <row r="6222">
          <cell r="A6222" t="str">
            <v>SL1095-L</v>
          </cell>
          <cell r="B6222" t="str">
            <v>L1095</v>
          </cell>
          <cell r="C6222" t="str">
            <v>ซาติน แขนสั้นขาสี่ส่วน สิงโตพื้นส้ม (กปก) L</v>
          </cell>
          <cell r="E6222">
            <v>0</v>
          </cell>
          <cell r="F6222">
            <v>890</v>
          </cell>
        </row>
        <row r="6223">
          <cell r="A6223" t="str">
            <v>SL1095-M</v>
          </cell>
          <cell r="B6223" t="str">
            <v>L1095</v>
          </cell>
          <cell r="C6223" t="str">
            <v>ซาติน แขนสั้นขาสี่ส่วน สิงโตพื้นส้ม (กปก) M</v>
          </cell>
          <cell r="E6223">
            <v>0</v>
          </cell>
          <cell r="F6223">
            <v>590</v>
          </cell>
        </row>
        <row r="6224">
          <cell r="A6224" t="str">
            <v>SL1095-XL</v>
          </cell>
          <cell r="B6224" t="str">
            <v>L1095</v>
          </cell>
          <cell r="C6224" t="str">
            <v>ซาติน แขนสั้นขาสี่ส่วน สิงโตพื้นส้ม (กปก) XL</v>
          </cell>
          <cell r="E6224">
            <v>0</v>
          </cell>
          <cell r="F6224">
            <v>890</v>
          </cell>
        </row>
        <row r="6225">
          <cell r="A6225" t="str">
            <v>SL1096-2XL</v>
          </cell>
          <cell r="B6225" t="str">
            <v>L1096</v>
          </cell>
          <cell r="C6225" t="str">
            <v>ซาติน แขนสั้นขาสี่ส่วน สีน้ำคัลเลอร์ฟลู (กปก) 2XL</v>
          </cell>
          <cell r="E6225">
            <v>0</v>
          </cell>
          <cell r="F6225">
            <v>890</v>
          </cell>
        </row>
        <row r="6226">
          <cell r="A6226" t="str">
            <v>SL1096-L</v>
          </cell>
          <cell r="B6226" t="str">
            <v>L1096</v>
          </cell>
          <cell r="C6226" t="str">
            <v>ซาติน แขนสั้นขาสี่ส่วน สีน้ำคัลเลอร์ฟลู (กปก) L</v>
          </cell>
          <cell r="E6226">
            <v>0</v>
          </cell>
          <cell r="F6226">
            <v>890</v>
          </cell>
        </row>
        <row r="6227">
          <cell r="A6227" t="str">
            <v>SL1096-M</v>
          </cell>
          <cell r="B6227" t="str">
            <v>L1096</v>
          </cell>
          <cell r="C6227" t="str">
            <v>ซาติน แขนสั้นขาสี่ส่วน สีน้ำคัลเลอร์ฟลู (กปก) M</v>
          </cell>
          <cell r="E6227">
            <v>0</v>
          </cell>
          <cell r="F6227">
            <v>590</v>
          </cell>
        </row>
        <row r="6228">
          <cell r="A6228" t="str">
            <v>SL1096-XL</v>
          </cell>
          <cell r="B6228" t="str">
            <v>L1096</v>
          </cell>
          <cell r="C6228" t="str">
            <v>ซาติน แขนสั้นขาสี่ส่วน สีน้ำคัลเลอร์ฟลู (กปก) XL</v>
          </cell>
          <cell r="E6228">
            <v>0</v>
          </cell>
          <cell r="F6228">
            <v>890</v>
          </cell>
        </row>
        <row r="6229">
          <cell r="A6229" t="str">
            <v>SL1097-2XL</v>
          </cell>
          <cell r="B6229" t="str">
            <v>L1097</v>
          </cell>
          <cell r="C6229" t="str">
            <v>ซาติน แขนสั้นขาสี่ส่วน เสือดาวอเมซอน พื้นดำ 2XL  (กปก)</v>
          </cell>
          <cell r="E6229">
            <v>0</v>
          </cell>
          <cell r="F6229">
            <v>890</v>
          </cell>
        </row>
        <row r="6230">
          <cell r="A6230" t="str">
            <v>SL1097-L</v>
          </cell>
          <cell r="B6230" t="str">
            <v>L1097</v>
          </cell>
          <cell r="C6230" t="str">
            <v>ซาติน แขนสั้นขาสี่ส่วน เสือดาวอเมซอน พื้นดำ L (กปก)</v>
          </cell>
          <cell r="E6230">
            <v>0</v>
          </cell>
          <cell r="F6230">
            <v>890</v>
          </cell>
        </row>
        <row r="6231">
          <cell r="A6231" t="str">
            <v>SL1097-M</v>
          </cell>
          <cell r="B6231" t="str">
            <v>L1097</v>
          </cell>
          <cell r="C6231" t="str">
            <v>ซาติน แขนสั้นขาสี่ส่วน เสือดาวอเมซอน พื้นดำ M (กปก)</v>
          </cell>
          <cell r="E6231">
            <v>0</v>
          </cell>
          <cell r="F6231">
            <v>890</v>
          </cell>
        </row>
        <row r="6232">
          <cell r="A6232" t="str">
            <v>SL1097-XL</v>
          </cell>
          <cell r="B6232" t="str">
            <v>L1097</v>
          </cell>
          <cell r="C6232" t="str">
            <v>ซาติน แขนสั้นขาสี่ส่วน เสือดาวอเมซอน พื้นดำ XL (กปก)</v>
          </cell>
          <cell r="E6232">
            <v>0</v>
          </cell>
          <cell r="F6232">
            <v>890</v>
          </cell>
        </row>
        <row r="6233">
          <cell r="A6233" t="str">
            <v>SL1098-2XL</v>
          </cell>
          <cell r="B6233" t="str">
            <v>L1098</v>
          </cell>
          <cell r="C6233" t="str">
            <v>ซาติน แขนสั้นขาสี่ส่วน นกหงส์หยก พื้นดำ ปกเขียว 2XL  (กปก)</v>
          </cell>
          <cell r="E6233">
            <v>0</v>
          </cell>
          <cell r="F6233">
            <v>890</v>
          </cell>
        </row>
        <row r="6234">
          <cell r="A6234" t="str">
            <v>SL1098-L</v>
          </cell>
          <cell r="B6234" t="str">
            <v>L1098</v>
          </cell>
          <cell r="C6234" t="str">
            <v>ซาติน แขนสั้นขาสี่ส่วน นกหงส์หยก พื้นดำ ปกเขียว L (กปก)</v>
          </cell>
          <cell r="E6234">
            <v>0</v>
          </cell>
          <cell r="F6234">
            <v>890</v>
          </cell>
        </row>
        <row r="6235">
          <cell r="A6235" t="str">
            <v>SL1098-M</v>
          </cell>
          <cell r="B6235" t="str">
            <v>L1098</v>
          </cell>
          <cell r="C6235" t="str">
            <v>ซาติน แขนสั้นขาสี่ส่วน นกหงส์หยก พื้นดำ ปกเขียว M (กปก)</v>
          </cell>
          <cell r="E6235">
            <v>0</v>
          </cell>
          <cell r="F6235">
            <v>890</v>
          </cell>
        </row>
        <row r="6236">
          <cell r="A6236" t="str">
            <v>SL1098-XL</v>
          </cell>
          <cell r="B6236" t="str">
            <v>L1098</v>
          </cell>
          <cell r="C6236" t="str">
            <v>ซาติน แขนสั้นขาสี่ส่วน นกหงส์หยก พื้นดำ ปกเขียว XL (กปก)</v>
          </cell>
          <cell r="E6236">
            <v>0</v>
          </cell>
          <cell r="F6236">
            <v>890</v>
          </cell>
        </row>
        <row r="6237">
          <cell r="A6237" t="str">
            <v>SL1100-2XL</v>
          </cell>
          <cell r="B6237" t="str">
            <v>L1100</v>
          </cell>
          <cell r="C6237" t="str">
            <v>ซาติน แขนสั้นขาสี่ส่วน ศิลปะ พื้นขาว 2XL (กปก)</v>
          </cell>
          <cell r="E6237">
            <v>0</v>
          </cell>
          <cell r="F6237">
            <v>890</v>
          </cell>
        </row>
        <row r="6238">
          <cell r="A6238" t="str">
            <v>SL1100-L</v>
          </cell>
          <cell r="B6238" t="str">
            <v>L1100</v>
          </cell>
          <cell r="C6238" t="str">
            <v>ซาติน แขนสั้นขาสี่ส่วน ศิลปะ พื้นขาว L (กปก)</v>
          </cell>
          <cell r="E6238">
            <v>0</v>
          </cell>
          <cell r="F6238">
            <v>890</v>
          </cell>
        </row>
        <row r="6239">
          <cell r="A6239" t="str">
            <v>SL1100-M</v>
          </cell>
          <cell r="B6239" t="str">
            <v>L1100</v>
          </cell>
          <cell r="C6239" t="str">
            <v>ซาติน แขนสั้นขาสี่ส่วน ศิลปะ พื้นขาว M (กปก)</v>
          </cell>
          <cell r="E6239">
            <v>0</v>
          </cell>
          <cell r="F6239">
            <v>590</v>
          </cell>
        </row>
        <row r="6240">
          <cell r="A6240" t="str">
            <v>SL1100-XL</v>
          </cell>
          <cell r="B6240" t="str">
            <v>L1100</v>
          </cell>
          <cell r="C6240" t="str">
            <v>ซาติน แขนสั้นขาสี่ส่วน ศิลปะ พื้นขาว XL (กปก)</v>
          </cell>
          <cell r="E6240">
            <v>0</v>
          </cell>
          <cell r="F6240">
            <v>890</v>
          </cell>
        </row>
        <row r="6241">
          <cell r="A6241" t="str">
            <v>SL1101-2XL</v>
          </cell>
          <cell r="B6241" t="str">
            <v>L1101</v>
          </cell>
          <cell r="C6241" t="str">
            <v>ซาติน แขนสั้นขาสี่ส่วน ดอกไม้หลากสี พื้นครีม 2XL (กปก)</v>
          </cell>
          <cell r="E6241">
            <v>0</v>
          </cell>
          <cell r="F6241">
            <v>890</v>
          </cell>
        </row>
        <row r="6242">
          <cell r="A6242" t="str">
            <v>SL1101-L</v>
          </cell>
          <cell r="B6242" t="str">
            <v>L1101</v>
          </cell>
          <cell r="C6242" t="str">
            <v>ซาติน แขนสั้นขาสี่ส่วน ดอกไม้หลากสี พื้นครีม L (กปก)</v>
          </cell>
          <cell r="E6242">
            <v>0</v>
          </cell>
          <cell r="F6242">
            <v>890</v>
          </cell>
        </row>
        <row r="6243">
          <cell r="A6243" t="str">
            <v>SL1101-M</v>
          </cell>
          <cell r="B6243" t="str">
            <v>L1101</v>
          </cell>
          <cell r="C6243" t="str">
            <v>ซาติน แขนสั้นขาสี่ส่วน ดอกไม้หลากสี พื้นครีม M (กปก)</v>
          </cell>
          <cell r="E6243">
            <v>0</v>
          </cell>
          <cell r="F6243">
            <v>890</v>
          </cell>
        </row>
        <row r="6244">
          <cell r="A6244" t="str">
            <v>SL1101-XL</v>
          </cell>
          <cell r="B6244" t="str">
            <v>L1101</v>
          </cell>
          <cell r="C6244" t="str">
            <v>ซาติน แขนสั้นขาสี่ส่วน ดอกไม้หลากสี พื้นครีม XL (กปก)</v>
          </cell>
          <cell r="E6244">
            <v>0</v>
          </cell>
          <cell r="F6244">
            <v>890</v>
          </cell>
        </row>
        <row r="6245">
          <cell r="A6245" t="str">
            <v>SL1111-2XL</v>
          </cell>
          <cell r="B6245" t="str">
            <v>L1111</v>
          </cell>
          <cell r="C6245" t="str">
            <v>ซาติน แขนสั้นขาสี่ส่วน แมวฟ้า กุ๊นขอบ 2XL (กปก)</v>
          </cell>
          <cell r="E6245">
            <v>0</v>
          </cell>
          <cell r="F6245">
            <v>890</v>
          </cell>
        </row>
        <row r="6246">
          <cell r="A6246" t="str">
            <v>SL1111-L</v>
          </cell>
          <cell r="B6246" t="str">
            <v>L1111</v>
          </cell>
          <cell r="C6246" t="str">
            <v>ซาติน แขนสั้นขาสี่ส่วน แมวฟ้า กุ๊นขอบ L (กปก)</v>
          </cell>
          <cell r="E6246">
            <v>0</v>
          </cell>
          <cell r="F6246">
            <v>890</v>
          </cell>
        </row>
        <row r="6247">
          <cell r="A6247" t="str">
            <v>SL1111-M</v>
          </cell>
          <cell r="B6247" t="str">
            <v>L1111</v>
          </cell>
          <cell r="C6247" t="str">
            <v>ซาติน แขนสั้นขาสี่ส่วน แมวฟ้า กุ๊นขอบ M (กปก)</v>
          </cell>
          <cell r="E6247">
            <v>0</v>
          </cell>
          <cell r="F6247">
            <v>890</v>
          </cell>
        </row>
        <row r="6248">
          <cell r="A6248" t="str">
            <v>SL1111-XL</v>
          </cell>
          <cell r="B6248" t="str">
            <v>L1111</v>
          </cell>
          <cell r="C6248" t="str">
            <v>ซาติน แขนสั้นขาสี่ส่วน แมวฟ้า กุ๊นขอบ XL (กปก)</v>
          </cell>
          <cell r="E6248">
            <v>0</v>
          </cell>
          <cell r="F6248">
            <v>890</v>
          </cell>
        </row>
        <row r="6249">
          <cell r="A6249" t="str">
            <v>SL1123-2XL</v>
          </cell>
          <cell r="B6249" t="str">
            <v>L1123</v>
          </cell>
          <cell r="C6249" t="str">
            <v>ซาติน แขนสั้นขาสี่ส่วน ดอกไม้หลากสี พื้นชมพู 2XL (กปก)</v>
          </cell>
          <cell r="E6249">
            <v>0</v>
          </cell>
          <cell r="F6249">
            <v>890</v>
          </cell>
        </row>
        <row r="6250">
          <cell r="A6250" t="str">
            <v>SL1123-L</v>
          </cell>
          <cell r="B6250" t="str">
            <v>L1123</v>
          </cell>
          <cell r="C6250" t="str">
            <v>ซาติน แขนสั้นขาสี่ส่วน ดอกไม้หลากสี พื้นชมพู L (กปก)</v>
          </cell>
          <cell r="E6250">
            <v>0</v>
          </cell>
          <cell r="F6250">
            <v>890</v>
          </cell>
        </row>
        <row r="6251">
          <cell r="A6251" t="str">
            <v>SL1123-M</v>
          </cell>
          <cell r="B6251" t="str">
            <v>L1123</v>
          </cell>
          <cell r="C6251" t="str">
            <v>ซาติน แขนสั้นขาสี่ส่วน ดอกไม้หลากสี พื้นชมพู M (กปก)</v>
          </cell>
          <cell r="E6251">
            <v>0</v>
          </cell>
          <cell r="F6251">
            <v>890</v>
          </cell>
        </row>
        <row r="6252">
          <cell r="A6252" t="str">
            <v>SL1123-XL</v>
          </cell>
          <cell r="B6252" t="str">
            <v>L1123</v>
          </cell>
          <cell r="C6252" t="str">
            <v>ซาติน แขนสั้นขาสี่ส่วน ดอกไม้หลากสี พื้นชมพู XL (กปก)</v>
          </cell>
          <cell r="E6252">
            <v>0</v>
          </cell>
          <cell r="F6252">
            <v>890</v>
          </cell>
        </row>
        <row r="6253">
          <cell r="A6253" t="str">
            <v>SL1127-2XL</v>
          </cell>
          <cell r="B6253" t="str">
            <v>L1127</v>
          </cell>
          <cell r="C6253" t="str">
            <v>ซาติน แขนสั้นขาสี่ส่วน สีรุ้ง พาสเทล 2XL (กปก)</v>
          </cell>
          <cell r="E6253">
            <v>0</v>
          </cell>
          <cell r="F6253">
            <v>890</v>
          </cell>
        </row>
        <row r="6254">
          <cell r="A6254" t="str">
            <v>SL1127-3XL</v>
          </cell>
          <cell r="B6254" t="str">
            <v>L1127</v>
          </cell>
          <cell r="C6254" t="str">
            <v>ซาติน แขนสั้นขาสี่ส่วน สีรุ้ง พาสเทล 3XL (กปก)</v>
          </cell>
          <cell r="E6254">
            <v>0</v>
          </cell>
          <cell r="F6254">
            <v>890</v>
          </cell>
        </row>
        <row r="6255">
          <cell r="A6255" t="str">
            <v>SL1127-L</v>
          </cell>
          <cell r="B6255" t="str">
            <v>L1127</v>
          </cell>
          <cell r="C6255" t="str">
            <v>ซาติน แขนสั้นขาสี่ส่วน สีรุ้ง พาสเทล L (กปก)</v>
          </cell>
          <cell r="E6255">
            <v>0</v>
          </cell>
          <cell r="F6255">
            <v>890</v>
          </cell>
        </row>
        <row r="6256">
          <cell r="A6256" t="str">
            <v>SL1127-M</v>
          </cell>
          <cell r="B6256" t="str">
            <v>L1127</v>
          </cell>
          <cell r="C6256" t="str">
            <v>ซาติน แขนสั้นขาสี่ส่วน สีรุ้ง พาสเทล M (กปก)</v>
          </cell>
          <cell r="E6256">
            <v>0</v>
          </cell>
          <cell r="F6256">
            <v>890</v>
          </cell>
        </row>
        <row r="6257">
          <cell r="A6257" t="str">
            <v>SL1127-XL</v>
          </cell>
          <cell r="B6257" t="str">
            <v>L1127</v>
          </cell>
          <cell r="C6257" t="str">
            <v>ซาติน แขนสั้นขาสี่ส่วน สีรุ้ง พาสเทล XL (กปก)</v>
          </cell>
          <cell r="E6257">
            <v>0</v>
          </cell>
          <cell r="F6257">
            <v>890</v>
          </cell>
        </row>
        <row r="6258">
          <cell r="A6258" t="str">
            <v>SL1129-2XL</v>
          </cell>
          <cell r="B6258" t="str">
            <v>L1129</v>
          </cell>
          <cell r="C6258" t="str">
            <v>ซาติน แขนสั้นขาสี่ส่วน ดอกไม้กาสะลอง พื้นดำ (กปก) 2XL</v>
          </cell>
          <cell r="E6258">
            <v>0</v>
          </cell>
          <cell r="F6258">
            <v>890</v>
          </cell>
        </row>
        <row r="6259">
          <cell r="A6259" t="str">
            <v>SL1129-L</v>
          </cell>
          <cell r="B6259" t="str">
            <v>L1129</v>
          </cell>
          <cell r="C6259" t="str">
            <v>ซาติน แขนสั้นขาสี่ส่วน ดอกไม้กาสะลอง พื้นดำ (กปก) L</v>
          </cell>
          <cell r="E6259">
            <v>0</v>
          </cell>
          <cell r="F6259">
            <v>890</v>
          </cell>
        </row>
        <row r="6260">
          <cell r="A6260" t="str">
            <v>SL1129-M</v>
          </cell>
          <cell r="B6260" t="str">
            <v>QL1129</v>
          </cell>
          <cell r="C6260" t="str">
            <v>ซาติน แขนสั้นขาสี่ส่วน ดอกไม้กาสะลอง พื้นดำ (กปก) M QC</v>
          </cell>
          <cell r="E6260">
            <v>0</v>
          </cell>
          <cell r="F6260">
            <v>890</v>
          </cell>
        </row>
        <row r="6261">
          <cell r="A6261" t="str">
            <v>SL1129-XL</v>
          </cell>
          <cell r="B6261" t="str">
            <v>L1129</v>
          </cell>
          <cell r="C6261" t="str">
            <v>ซาติน แขนสั้นขาสี่ส่วน ดอกไม้กาสะลอง พื้นดำ (กปก) XL</v>
          </cell>
          <cell r="E6261">
            <v>0</v>
          </cell>
          <cell r="F6261">
            <v>890</v>
          </cell>
        </row>
        <row r="6262">
          <cell r="A6262" t="str">
            <v>SL1130-2XL</v>
          </cell>
          <cell r="B6262" t="str">
            <v>L1130</v>
          </cell>
          <cell r="C6262" t="str">
            <v>ซาติน แขนสั้นขาสี่ส่วน นกกระยาง พื้นฟ้า (กปก) 2XL</v>
          </cell>
          <cell r="E6262">
            <v>0</v>
          </cell>
          <cell r="F6262">
            <v>890</v>
          </cell>
        </row>
        <row r="6263">
          <cell r="A6263" t="str">
            <v>SL1130-L</v>
          </cell>
          <cell r="B6263" t="str">
            <v>L1130</v>
          </cell>
          <cell r="C6263" t="str">
            <v>ซาติน แขนสั้นขาสี่ส่วน นกกระยาง พื้นฟ้า (กปก) L</v>
          </cell>
          <cell r="E6263">
            <v>0</v>
          </cell>
          <cell r="F6263">
            <v>890</v>
          </cell>
        </row>
        <row r="6264">
          <cell r="A6264" t="str">
            <v>SL1130-M</v>
          </cell>
          <cell r="B6264" t="str">
            <v>QL1130</v>
          </cell>
          <cell r="C6264" t="str">
            <v>ซาติน แขนสั้นขาสี่ส่วน นกกระยาง พื้นฟ้า (กปก) M QC</v>
          </cell>
          <cell r="E6264">
            <v>0</v>
          </cell>
          <cell r="F6264">
            <v>890</v>
          </cell>
        </row>
        <row r="6265">
          <cell r="A6265" t="str">
            <v>SL1130-XL</v>
          </cell>
          <cell r="B6265" t="str">
            <v>L1130</v>
          </cell>
          <cell r="C6265" t="str">
            <v>ซาติน แขนสั้นขาสี่ส่วน นกกระยาง พื้นฟ้า (กปก) XL</v>
          </cell>
          <cell r="E6265">
            <v>0</v>
          </cell>
          <cell r="F6265">
            <v>890</v>
          </cell>
        </row>
        <row r="6266">
          <cell r="A6266" t="str">
            <v>SL1133-2XL</v>
          </cell>
          <cell r="B6266" t="str">
            <v>L1133</v>
          </cell>
          <cell r="C6266" t="str">
            <v>ซาติน แขนสั้นขาสี่ส่วน แมว ชมพู กุ้นชอบขาว (กปก) 2XL</v>
          </cell>
          <cell r="E6266">
            <v>0</v>
          </cell>
          <cell r="F6266">
            <v>890</v>
          </cell>
        </row>
        <row r="6267">
          <cell r="A6267" t="str">
            <v>SL1133-L</v>
          </cell>
          <cell r="B6267" t="str">
            <v>L1133</v>
          </cell>
          <cell r="C6267" t="str">
            <v>ซาติน แขนสั้นขาสี่ส่วน แมว ชมพู กุ้นชอบขาว (กปก) L</v>
          </cell>
          <cell r="E6267">
            <v>0</v>
          </cell>
          <cell r="F6267">
            <v>890</v>
          </cell>
        </row>
        <row r="6268">
          <cell r="A6268" t="str">
            <v>SL1133-M</v>
          </cell>
          <cell r="B6268" t="str">
            <v>L1133</v>
          </cell>
          <cell r="C6268" t="str">
            <v>ซาติน แขนสั้นขาสี่ส่วน แมว ชมพู กุ้นชอบขาว (กปก) M</v>
          </cell>
          <cell r="E6268">
            <v>0</v>
          </cell>
          <cell r="F6268">
            <v>890</v>
          </cell>
        </row>
        <row r="6269">
          <cell r="A6269" t="str">
            <v>SL1133-XL</v>
          </cell>
          <cell r="B6269" t="str">
            <v>L1133</v>
          </cell>
          <cell r="C6269" t="str">
            <v>ซาติน แขนสั้นขาสี่ส่วน แมว ชมพู กุ้นชอบขาว (กปก) XL</v>
          </cell>
          <cell r="E6269">
            <v>0</v>
          </cell>
          <cell r="F6269">
            <v>890</v>
          </cell>
        </row>
        <row r="6270">
          <cell r="A6270" t="str">
            <v>SL1134-2XL</v>
          </cell>
          <cell r="B6270" t="str">
            <v>L1134</v>
          </cell>
          <cell r="C6270" t="str">
            <v>ซาติน แขนสั้นขาสี่ส่วน น้องแมว พื้นครีม (กปก) 2XL</v>
          </cell>
          <cell r="E6270">
            <v>0</v>
          </cell>
          <cell r="F6270">
            <v>890</v>
          </cell>
        </row>
        <row r="6271">
          <cell r="A6271" t="str">
            <v>SL1134-L</v>
          </cell>
          <cell r="B6271" t="str">
            <v>L1134</v>
          </cell>
          <cell r="C6271" t="str">
            <v>ซาติน แขนสั้นขาสี่ส่วน น้องแมว พื้นครีม (กปก) L</v>
          </cell>
          <cell r="E6271">
            <v>0</v>
          </cell>
          <cell r="F6271">
            <v>890</v>
          </cell>
        </row>
        <row r="6272">
          <cell r="A6272" t="str">
            <v>SL1134-M</v>
          </cell>
          <cell r="B6272" t="str">
            <v>L1134</v>
          </cell>
          <cell r="C6272" t="str">
            <v>ซาติน แขนสั้นขาสี่ส่วน น้องแมว พื้นครีม (กปก) M</v>
          </cell>
          <cell r="E6272">
            <v>0</v>
          </cell>
          <cell r="F6272">
            <v>890</v>
          </cell>
        </row>
        <row r="6273">
          <cell r="A6273" t="str">
            <v>SL1134-XL</v>
          </cell>
          <cell r="B6273" t="str">
            <v>L1134</v>
          </cell>
          <cell r="C6273" t="str">
            <v>ซาติน แขนสั้นขาสี่ส่วน น้องแมว พื้นครีม (กปก) XL</v>
          </cell>
          <cell r="E6273">
            <v>0</v>
          </cell>
          <cell r="F6273">
            <v>890</v>
          </cell>
        </row>
        <row r="6274">
          <cell r="A6274" t="str">
            <v>SL1149-2XL</v>
          </cell>
          <cell r="B6274" t="str">
            <v>L1149</v>
          </cell>
          <cell r="C6274" t="str">
            <v>ซาติน แขนสั้นขาสี่ส่วน 12 ราศี พื้นกรม 2XL</v>
          </cell>
          <cell r="E6274">
            <v>0</v>
          </cell>
          <cell r="F6274">
            <v>890</v>
          </cell>
        </row>
        <row r="6275">
          <cell r="A6275" t="str">
            <v>SL1149-3XL</v>
          </cell>
          <cell r="B6275" t="str">
            <v>L1149</v>
          </cell>
          <cell r="C6275" t="str">
            <v>ซาติน แขนสั้นขาสี่ส่วน 12 ราศี พื้นกรม 3XL</v>
          </cell>
          <cell r="E6275">
            <v>0</v>
          </cell>
          <cell r="F6275">
            <v>890</v>
          </cell>
        </row>
        <row r="6276">
          <cell r="A6276" t="str">
            <v>SL1149-L</v>
          </cell>
          <cell r="B6276" t="str">
            <v>L1149</v>
          </cell>
          <cell r="C6276" t="str">
            <v>ซาติน แขนสั้นขาสี่ส่วน 12 ราศี พื้นกรม L</v>
          </cell>
          <cell r="E6276">
            <v>0</v>
          </cell>
          <cell r="F6276">
            <v>890</v>
          </cell>
        </row>
        <row r="6277">
          <cell r="A6277" t="str">
            <v>SL1149-M</v>
          </cell>
          <cell r="B6277" t="str">
            <v>L1149</v>
          </cell>
          <cell r="C6277" t="str">
            <v>ซาติน แขนสั้นขาสี่ส่วน 12 ราศี พื้นกรม M</v>
          </cell>
          <cell r="E6277">
            <v>0</v>
          </cell>
          <cell r="F6277">
            <v>890</v>
          </cell>
        </row>
        <row r="6278">
          <cell r="A6278" t="str">
            <v>SL1149-XL</v>
          </cell>
          <cell r="B6278" t="str">
            <v>L1149</v>
          </cell>
          <cell r="C6278" t="str">
            <v>ซาติน แขนสั้นขาสี่ส่วน 12 ราศี พื้นกรม XL</v>
          </cell>
          <cell r="E6278">
            <v>0</v>
          </cell>
          <cell r="F6278">
            <v>890</v>
          </cell>
        </row>
        <row r="6279">
          <cell r="A6279" t="str">
            <v>SL1150-2XL</v>
          </cell>
          <cell r="B6279" t="str">
            <v>L1150</v>
          </cell>
          <cell r="C6279" t="str">
            <v>ซาติน แขนสั้นขาสี่ส่วน 12 ราศี พื้นเขียว 2XL</v>
          </cell>
          <cell r="E6279">
            <v>0</v>
          </cell>
          <cell r="F6279">
            <v>890</v>
          </cell>
        </row>
        <row r="6280">
          <cell r="A6280" t="str">
            <v>SL1150-3XL</v>
          </cell>
          <cell r="B6280" t="str">
            <v>L1150</v>
          </cell>
          <cell r="C6280" t="str">
            <v>ซาติน แขนสั้นขาสี่ส่วน 12 ราศี พื้นเขียว 3XL</v>
          </cell>
          <cell r="E6280">
            <v>0</v>
          </cell>
          <cell r="F6280">
            <v>890</v>
          </cell>
        </row>
        <row r="6281">
          <cell r="A6281" t="str">
            <v>SL1150-L</v>
          </cell>
          <cell r="B6281" t="str">
            <v>QL1150</v>
          </cell>
          <cell r="C6281" t="str">
            <v>ซาติน แขนสั้นขาสี่ส่วน 12 ราศี พื้นเขียว L QC</v>
          </cell>
          <cell r="E6281">
            <v>0</v>
          </cell>
          <cell r="F6281">
            <v>890</v>
          </cell>
        </row>
        <row r="6282">
          <cell r="A6282" t="str">
            <v>SL1150-M</v>
          </cell>
          <cell r="B6282" t="str">
            <v>QL1150</v>
          </cell>
          <cell r="C6282" t="str">
            <v>ซาติน แขนสั้นขาสี่ส่วน 12 ราศี พื้นเขียว M QC</v>
          </cell>
          <cell r="E6282">
            <v>0</v>
          </cell>
          <cell r="F6282">
            <v>890</v>
          </cell>
        </row>
        <row r="6283">
          <cell r="A6283" t="str">
            <v>SL1150-XL</v>
          </cell>
          <cell r="B6283" t="str">
            <v>L1150</v>
          </cell>
          <cell r="C6283" t="str">
            <v>ซาติน แขนสั้นขาสี่ส่วน 12 ราศี พื้นเขียว XL</v>
          </cell>
          <cell r="E6283">
            <v>0</v>
          </cell>
          <cell r="F6283">
            <v>890</v>
          </cell>
        </row>
        <row r="6284">
          <cell r="A6284" t="str">
            <v>SL1156-2XL</v>
          </cell>
          <cell r="B6284" t="str">
            <v>L1156</v>
          </cell>
          <cell r="C6284" t="str">
            <v>ซาติน แขนสั้นขาสี่ส่วน Beautiful Women White 2XL (กปก)</v>
          </cell>
          <cell r="E6284">
            <v>0</v>
          </cell>
          <cell r="F6284">
            <v>890</v>
          </cell>
        </row>
        <row r="6285">
          <cell r="A6285" t="str">
            <v>SL1156-L</v>
          </cell>
          <cell r="B6285" t="str">
            <v>L1156</v>
          </cell>
          <cell r="C6285" t="str">
            <v>ซาติน แขนสั้นขาสี่ส่วน Beautiful Women White L (กปก)</v>
          </cell>
          <cell r="E6285">
            <v>0</v>
          </cell>
          <cell r="F6285">
            <v>890</v>
          </cell>
        </row>
        <row r="6286">
          <cell r="A6286" t="str">
            <v>SL1156-M</v>
          </cell>
          <cell r="B6286" t="str">
            <v>QL1156</v>
          </cell>
          <cell r="C6286" t="str">
            <v>ซาติน แขนสั้นขาสี่ส่วน Beautiful Women White M (กปก) QC</v>
          </cell>
          <cell r="E6286">
            <v>0</v>
          </cell>
          <cell r="F6286">
            <v>890</v>
          </cell>
        </row>
        <row r="6287">
          <cell r="A6287" t="str">
            <v>SL1156-XL</v>
          </cell>
          <cell r="B6287" t="str">
            <v>L1156</v>
          </cell>
          <cell r="C6287" t="str">
            <v>ซาติน แขนสั้นขาสี่ส่วน Beautiful Women White XL (กปก)</v>
          </cell>
          <cell r="E6287">
            <v>0</v>
          </cell>
          <cell r="F6287">
            <v>890</v>
          </cell>
        </row>
        <row r="6288">
          <cell r="A6288" t="str">
            <v>SL1157-2XL</v>
          </cell>
          <cell r="B6288" t="str">
            <v>QL1157</v>
          </cell>
          <cell r="C6288" t="str">
            <v>ซาติน แขนสั้นขาสี่ส่วน ฟอนท์อังกฤษ พื้นขาว 2XL (กปก) QC</v>
          </cell>
          <cell r="E6288">
            <v>0</v>
          </cell>
          <cell r="F6288">
            <v>890</v>
          </cell>
        </row>
        <row r="6289">
          <cell r="A6289" t="str">
            <v>SL1157-L</v>
          </cell>
          <cell r="B6289" t="str">
            <v>L1157</v>
          </cell>
          <cell r="C6289" t="str">
            <v>ซาติน แขนสั้นขาสี่ส่วน ฟอนท์อังกฤษ พื้นขาว L (กปก)</v>
          </cell>
          <cell r="E6289">
            <v>0</v>
          </cell>
          <cell r="F6289">
            <v>890</v>
          </cell>
        </row>
        <row r="6290">
          <cell r="A6290" t="str">
            <v>SL1157-M</v>
          </cell>
          <cell r="B6290" t="str">
            <v>L1157</v>
          </cell>
          <cell r="C6290" t="str">
            <v>ซาติน แขนสั้นขาสี่ส่วน ฟอนท์อังกฤษ พื้นขาว M (กปก)</v>
          </cell>
          <cell r="E6290">
            <v>0</v>
          </cell>
          <cell r="F6290">
            <v>890</v>
          </cell>
        </row>
        <row r="6291">
          <cell r="A6291" t="str">
            <v>SL1157-XL</v>
          </cell>
          <cell r="B6291" t="str">
            <v>L1157</v>
          </cell>
          <cell r="C6291" t="str">
            <v>ซาติน แขนสั้นขาสี่ส่วน ฟอนท์อังกฤษ พื้นขาว XL (กปก)</v>
          </cell>
          <cell r="E6291">
            <v>0</v>
          </cell>
          <cell r="F6291">
            <v>890</v>
          </cell>
        </row>
        <row r="6292">
          <cell r="A6292" t="str">
            <v>SL1158-2XL</v>
          </cell>
          <cell r="B6292" t="str">
            <v>L1158</v>
          </cell>
          <cell r="C6292" t="str">
            <v>ซาติน แขนสั้นขาสี่ส่วน Beautiful Women Pink 2XL (กปก)</v>
          </cell>
          <cell r="E6292">
            <v>0</v>
          </cell>
          <cell r="F6292">
            <v>890</v>
          </cell>
        </row>
        <row r="6293">
          <cell r="A6293" t="str">
            <v>SL1158-L</v>
          </cell>
          <cell r="B6293" t="str">
            <v>L1158</v>
          </cell>
          <cell r="C6293" t="str">
            <v>ซาติน แขนสั้นขาสี่ส่วน Beautiful Women Pink L (กปก)</v>
          </cell>
          <cell r="E6293">
            <v>0</v>
          </cell>
          <cell r="F6293">
            <v>890</v>
          </cell>
        </row>
        <row r="6294">
          <cell r="A6294" t="str">
            <v>SL1158-M</v>
          </cell>
          <cell r="B6294" t="str">
            <v>QL1158</v>
          </cell>
          <cell r="C6294" t="str">
            <v>ซาติน แขนสั้นขาสี่ส่วน Beautiful Women Pink M (กปก) QC</v>
          </cell>
          <cell r="E6294">
            <v>0</v>
          </cell>
          <cell r="F6294">
            <v>890</v>
          </cell>
        </row>
        <row r="6295">
          <cell r="A6295" t="str">
            <v>SL1158-XL</v>
          </cell>
          <cell r="B6295" t="str">
            <v>QL1158</v>
          </cell>
          <cell r="C6295" t="str">
            <v>ซาติน แขนสั้นขาสี่ส่วน Beautiful Women Pink XL (กปก) QC</v>
          </cell>
          <cell r="E6295">
            <v>0</v>
          </cell>
          <cell r="F6295">
            <v>890</v>
          </cell>
        </row>
        <row r="6296">
          <cell r="A6296" t="str">
            <v>SL1159-2XL</v>
          </cell>
          <cell r="B6296" t="str">
            <v>L1159</v>
          </cell>
          <cell r="C6296" t="str">
            <v>ซาติน แขนสั้นขาสี่ส่วน Violet Rose พื้นเขียวมินท์ 2XL (กปก)</v>
          </cell>
          <cell r="E6296">
            <v>0</v>
          </cell>
          <cell r="F6296">
            <v>890</v>
          </cell>
        </row>
        <row r="6297">
          <cell r="A6297" t="str">
            <v>SL1159-L</v>
          </cell>
          <cell r="B6297" t="str">
            <v>L1159</v>
          </cell>
          <cell r="C6297" t="str">
            <v>ซาติน แขนสั้นขาสี่ส่วน Violet Rose พื้นเขียวมินท์ L (กปก)</v>
          </cell>
          <cell r="E6297">
            <v>0</v>
          </cell>
          <cell r="F6297">
            <v>890</v>
          </cell>
        </row>
        <row r="6298">
          <cell r="A6298" t="str">
            <v>SL1159-M</v>
          </cell>
          <cell r="B6298" t="str">
            <v>QL1159</v>
          </cell>
          <cell r="C6298" t="str">
            <v>ซาติน แขนสั้นขาสี่ส่วน Violet Rose พื้นเขียวมินท์ M (กปก) QC</v>
          </cell>
          <cell r="E6298">
            <v>0</v>
          </cell>
          <cell r="F6298">
            <v>890</v>
          </cell>
        </row>
        <row r="6299">
          <cell r="A6299" t="str">
            <v>SL1159-XL</v>
          </cell>
          <cell r="B6299" t="str">
            <v>L1159</v>
          </cell>
          <cell r="C6299" t="str">
            <v>ซาติน แขนสั้นขาสี่ส่วน Violet Rose พื้นเขียวมินท์ XL (กปก)</v>
          </cell>
          <cell r="E6299">
            <v>0</v>
          </cell>
          <cell r="F6299">
            <v>890</v>
          </cell>
        </row>
        <row r="6300">
          <cell r="A6300" t="str">
            <v>SL1160-2XL</v>
          </cell>
          <cell r="B6300" t="str">
            <v>L1160</v>
          </cell>
          <cell r="C6300" t="str">
            <v>ซาติน แขนสั้นขาสี่ส่วน Muslin Yellow (กปก) 2XL</v>
          </cell>
          <cell r="E6300">
            <v>2</v>
          </cell>
          <cell r="F6300">
            <v>890</v>
          </cell>
        </row>
        <row r="6301">
          <cell r="A6301" t="str">
            <v>SL1160-L</v>
          </cell>
          <cell r="B6301" t="str">
            <v>L1160</v>
          </cell>
          <cell r="C6301" t="str">
            <v>ซาติน แขนสั้นขาสี่ส่วน Muslin Yellow (กปก) L</v>
          </cell>
          <cell r="E6301">
            <v>0</v>
          </cell>
          <cell r="F6301">
            <v>890</v>
          </cell>
        </row>
        <row r="6302">
          <cell r="A6302" t="str">
            <v>SL1160-M</v>
          </cell>
          <cell r="B6302" t="str">
            <v>L1160</v>
          </cell>
          <cell r="C6302" t="str">
            <v>ซาติน แขนสั้นขาสี่ส่วน Muslin Yellow (กปก) M</v>
          </cell>
          <cell r="E6302">
            <v>0</v>
          </cell>
          <cell r="F6302">
            <v>890</v>
          </cell>
        </row>
        <row r="6303">
          <cell r="A6303" t="str">
            <v>SL1160-XL</v>
          </cell>
          <cell r="B6303" t="str">
            <v>L1160</v>
          </cell>
          <cell r="C6303" t="str">
            <v>ซาติน แขนสั้นขาสี่ส่วน Muslin Yellow (กปก) XL</v>
          </cell>
          <cell r="E6303">
            <v>0</v>
          </cell>
          <cell r="F6303">
            <v>890</v>
          </cell>
        </row>
        <row r="6304">
          <cell r="A6304" t="str">
            <v>SL1161-2XL</v>
          </cell>
          <cell r="B6304" t="str">
            <v>L1161</v>
          </cell>
          <cell r="C6304" t="str">
            <v>ซาติน แขนสั้นขาสี่ส่วน Muslin Light Blue (กปก) 2XL</v>
          </cell>
          <cell r="E6304">
            <v>0</v>
          </cell>
          <cell r="F6304">
            <v>890</v>
          </cell>
        </row>
        <row r="6305">
          <cell r="A6305" t="str">
            <v>SL1161-L</v>
          </cell>
          <cell r="B6305" t="str">
            <v>L1161</v>
          </cell>
          <cell r="C6305" t="str">
            <v>ซาติน แขนสั้นขาสี่ส่วน Muslin Light Blue (กปก) L</v>
          </cell>
          <cell r="E6305">
            <v>0</v>
          </cell>
          <cell r="F6305">
            <v>890</v>
          </cell>
        </row>
        <row r="6306">
          <cell r="A6306" t="str">
            <v>SL1161-M</v>
          </cell>
          <cell r="B6306" t="str">
            <v>L1161</v>
          </cell>
          <cell r="C6306" t="str">
            <v>ซาติน แขนสั้นขาสี่ส่วน Muslin Light Blue (กปก) M</v>
          </cell>
          <cell r="E6306">
            <v>0</v>
          </cell>
          <cell r="F6306">
            <v>890</v>
          </cell>
        </row>
        <row r="6307">
          <cell r="A6307" t="str">
            <v>SL1161-XL</v>
          </cell>
          <cell r="B6307" t="str">
            <v>QL1161</v>
          </cell>
          <cell r="C6307" t="str">
            <v>ซาติน แขนสั้นขาสี่ส่วน Muslin Light Blue (กปก) XL QC</v>
          </cell>
          <cell r="E6307">
            <v>0</v>
          </cell>
          <cell r="F6307">
            <v>890</v>
          </cell>
        </row>
        <row r="6308">
          <cell r="A6308" t="str">
            <v>SL1162-2XL</v>
          </cell>
          <cell r="B6308" t="str">
            <v>L1162</v>
          </cell>
          <cell r="C6308" t="str">
            <v>ซาติน แขนสั้นขาสี่ส่วน Muslin Green (กปก) 2XL</v>
          </cell>
          <cell r="E6308">
            <v>0</v>
          </cell>
          <cell r="F6308">
            <v>890</v>
          </cell>
        </row>
        <row r="6309">
          <cell r="A6309" t="str">
            <v>SL1162-L</v>
          </cell>
          <cell r="B6309" t="str">
            <v>L1162</v>
          </cell>
          <cell r="C6309" t="str">
            <v>ซาติน แขนสั้นขาสี่ส่วน Muslin Green (กปก) L</v>
          </cell>
          <cell r="E6309">
            <v>0</v>
          </cell>
          <cell r="F6309">
            <v>890</v>
          </cell>
        </row>
        <row r="6310">
          <cell r="A6310" t="str">
            <v>SL1162-M</v>
          </cell>
          <cell r="B6310" t="str">
            <v>L1162</v>
          </cell>
          <cell r="C6310" t="str">
            <v>ซาติน แขนสั้นขาสี่ส่วน Muslin Green (กปก) M</v>
          </cell>
          <cell r="E6310">
            <v>0</v>
          </cell>
          <cell r="F6310">
            <v>890</v>
          </cell>
        </row>
        <row r="6311">
          <cell r="A6311" t="str">
            <v>SL1162-XL</v>
          </cell>
          <cell r="B6311" t="str">
            <v>L1162</v>
          </cell>
          <cell r="C6311" t="str">
            <v>ซาติน แขนสั้นขาสี่ส่วน Muslin Green (กปก) XL</v>
          </cell>
          <cell r="E6311">
            <v>0</v>
          </cell>
          <cell r="F6311">
            <v>890</v>
          </cell>
        </row>
        <row r="6312">
          <cell r="A6312" t="str">
            <v>SL1163-2XL</v>
          </cell>
          <cell r="B6312" t="str">
            <v>L1163</v>
          </cell>
          <cell r="C6312" t="str">
            <v>ซาติน แขนสั้นขาสี่ส่วน Muslin Pinkky (กปก) 2XL</v>
          </cell>
          <cell r="E6312">
            <v>0</v>
          </cell>
          <cell r="F6312">
            <v>890</v>
          </cell>
        </row>
        <row r="6313">
          <cell r="A6313" t="str">
            <v>SL1163-L</v>
          </cell>
          <cell r="B6313" t="str">
            <v>L1163</v>
          </cell>
          <cell r="C6313" t="str">
            <v>ซาติน แขนสั้นขาสี่ส่วน Muslin Pinkky (กปก) L</v>
          </cell>
          <cell r="E6313">
            <v>0</v>
          </cell>
          <cell r="F6313">
            <v>890</v>
          </cell>
        </row>
        <row r="6314">
          <cell r="A6314" t="str">
            <v>SL1163-M</v>
          </cell>
          <cell r="B6314" t="str">
            <v>L1163</v>
          </cell>
          <cell r="C6314" t="str">
            <v>ซาติน แขนสั้นขาสี่ส่วน Muslin Pinkky (กปก) M</v>
          </cell>
          <cell r="E6314">
            <v>0</v>
          </cell>
          <cell r="F6314">
            <v>890</v>
          </cell>
        </row>
        <row r="6315">
          <cell r="A6315" t="str">
            <v>SL1163-XL</v>
          </cell>
          <cell r="B6315" t="str">
            <v>L1163</v>
          </cell>
          <cell r="C6315" t="str">
            <v>ซาติน แขนสั้นขาสี่ส่วน Muslin Pinkky (กปก) XL</v>
          </cell>
          <cell r="E6315">
            <v>0</v>
          </cell>
          <cell r="F6315">
            <v>890</v>
          </cell>
        </row>
        <row r="6316">
          <cell r="A6316" t="str">
            <v>SL1164-2XL</v>
          </cell>
          <cell r="B6316" t="str">
            <v>L1164</v>
          </cell>
          <cell r="C6316" t="str">
            <v>ซาติน แขนสั้นขาสี่ส่วน Muslin Dark Blue (กปก) 2XL</v>
          </cell>
          <cell r="E6316">
            <v>0</v>
          </cell>
          <cell r="F6316">
            <v>890</v>
          </cell>
        </row>
        <row r="6317">
          <cell r="A6317" t="str">
            <v>SL1164-L</v>
          </cell>
          <cell r="B6317" t="str">
            <v>L1164</v>
          </cell>
          <cell r="C6317" t="str">
            <v>ซาติน แขนสั้นขาสี่ส่วน Muslin Dark Blue (กปก) L</v>
          </cell>
          <cell r="E6317">
            <v>0</v>
          </cell>
          <cell r="F6317">
            <v>890</v>
          </cell>
        </row>
        <row r="6318">
          <cell r="A6318" t="str">
            <v>SL1164-M</v>
          </cell>
          <cell r="B6318" t="str">
            <v>QL1164</v>
          </cell>
          <cell r="C6318" t="str">
            <v>ซาติน แขนสั้นขาสี่ส่วน Muslin Dark Blue (กปก) M QC</v>
          </cell>
          <cell r="E6318">
            <v>0</v>
          </cell>
          <cell r="F6318">
            <v>890</v>
          </cell>
        </row>
        <row r="6319">
          <cell r="A6319" t="str">
            <v>SL1164-XL</v>
          </cell>
          <cell r="B6319" t="str">
            <v>L1164</v>
          </cell>
          <cell r="C6319" t="str">
            <v>ซาติน แขนสั้นขาสี่ส่วน Muslin Dark Blue (กปก) XL</v>
          </cell>
          <cell r="E6319">
            <v>0</v>
          </cell>
          <cell r="F6319">
            <v>890</v>
          </cell>
        </row>
        <row r="6320">
          <cell r="A6320" t="str">
            <v>SL1168-2XL</v>
          </cell>
          <cell r="B6320" t="str">
            <v>L1168</v>
          </cell>
          <cell r="C6320" t="str">
            <v>ซาติน แขนสั้นขาสี่ส่วน Mini Cute เขียวขาว 2XL (กปก)</v>
          </cell>
          <cell r="E6320">
            <v>0</v>
          </cell>
          <cell r="F6320">
            <v>890</v>
          </cell>
        </row>
        <row r="6321">
          <cell r="A6321" t="str">
            <v>SL1168-L</v>
          </cell>
          <cell r="B6321" t="str">
            <v>L1168</v>
          </cell>
          <cell r="C6321" t="str">
            <v>ซาติน แขนสั้นขาสี่ส่วน Mini Cute เขียวขาว L (กปก)</v>
          </cell>
          <cell r="E6321">
            <v>0</v>
          </cell>
          <cell r="F6321">
            <v>890</v>
          </cell>
        </row>
        <row r="6322">
          <cell r="A6322" t="str">
            <v>SL1168-M</v>
          </cell>
          <cell r="B6322" t="str">
            <v>L1168</v>
          </cell>
          <cell r="C6322" t="str">
            <v>ซาติน แขนสั้นขาสี่ส่วน Mini Cute เขียวขาว M (กปก)</v>
          </cell>
          <cell r="E6322">
            <v>0</v>
          </cell>
          <cell r="F6322">
            <v>890</v>
          </cell>
        </row>
        <row r="6323">
          <cell r="A6323" t="str">
            <v>SL1168-XL</v>
          </cell>
          <cell r="B6323" t="str">
            <v>L1168</v>
          </cell>
          <cell r="C6323" t="str">
            <v>ซาติน แขนสั้นขาสี่ส่วน Mini Cute เขียวขาว XL (กปก)</v>
          </cell>
          <cell r="E6323">
            <v>0</v>
          </cell>
          <cell r="F6323">
            <v>890</v>
          </cell>
        </row>
        <row r="6324">
          <cell r="A6324" t="str">
            <v>SL1169-2XL</v>
          </cell>
          <cell r="B6324" t="str">
            <v>L1169</v>
          </cell>
          <cell r="C6324" t="str">
            <v>ซาติน แขนสั้นขาสี่ส่วน Mini Cute เทาขาว 2XL (กปก)</v>
          </cell>
          <cell r="E6324">
            <v>0</v>
          </cell>
          <cell r="F6324">
            <v>890</v>
          </cell>
        </row>
        <row r="6325">
          <cell r="A6325" t="str">
            <v>SL1169-L</v>
          </cell>
          <cell r="B6325" t="str">
            <v>L1169</v>
          </cell>
          <cell r="C6325" t="str">
            <v>ซาติน แขนสั้นขาสี่ส่วน Mini Cute เทาขาว L (กปก)</v>
          </cell>
          <cell r="E6325">
            <v>0</v>
          </cell>
          <cell r="F6325">
            <v>890</v>
          </cell>
        </row>
        <row r="6326">
          <cell r="A6326" t="str">
            <v>SL1169-M</v>
          </cell>
          <cell r="B6326" t="str">
            <v>L1169</v>
          </cell>
          <cell r="C6326" t="str">
            <v>ซาติน แขนสั้นขาสี่ส่วน Mini Cute เทาขาว M (กปก)</v>
          </cell>
          <cell r="E6326">
            <v>0</v>
          </cell>
          <cell r="F6326">
            <v>890</v>
          </cell>
        </row>
        <row r="6327">
          <cell r="A6327" t="str">
            <v>SL1169-XL</v>
          </cell>
          <cell r="B6327" t="str">
            <v>L1169</v>
          </cell>
          <cell r="C6327" t="str">
            <v>ซาติน แขนสั้นขาสี่ส่วน Mini Cute เทาขาว XL (กปก)</v>
          </cell>
          <cell r="E6327">
            <v>0</v>
          </cell>
          <cell r="F6327">
            <v>890</v>
          </cell>
        </row>
        <row r="6328">
          <cell r="A6328" t="str">
            <v>SL1170-2XL</v>
          </cell>
          <cell r="B6328" t="str">
            <v>L1170</v>
          </cell>
          <cell r="C6328" t="str">
            <v>ซาติน แขนสั้นขาสี่ส่วน Mini Cute โอโรสขาว 2XL (กปก)</v>
          </cell>
          <cell r="E6328">
            <v>0</v>
          </cell>
          <cell r="F6328">
            <v>890</v>
          </cell>
        </row>
        <row r="6329">
          <cell r="A6329" t="str">
            <v>SL1170-L</v>
          </cell>
          <cell r="B6329" t="str">
            <v>L1170</v>
          </cell>
          <cell r="C6329" t="str">
            <v>ซาติน แขนสั้นขาสี่ส่วน Mini Cute โอโรสขาว L (กปก)</v>
          </cell>
          <cell r="E6329">
            <v>0</v>
          </cell>
          <cell r="F6329">
            <v>890</v>
          </cell>
        </row>
        <row r="6330">
          <cell r="A6330" t="str">
            <v>SL1170-M</v>
          </cell>
          <cell r="B6330" t="str">
            <v>L1170</v>
          </cell>
          <cell r="C6330" t="str">
            <v>ซาติน แขนสั้นขาสี่ส่วน Mini Cute โอโรสขาว M (กปก)</v>
          </cell>
          <cell r="E6330">
            <v>0</v>
          </cell>
          <cell r="F6330">
            <v>890</v>
          </cell>
        </row>
        <row r="6331">
          <cell r="A6331" t="str">
            <v>SL1170-XL</v>
          </cell>
          <cell r="B6331" t="str">
            <v>L1170</v>
          </cell>
          <cell r="C6331" t="str">
            <v>ซาติน แขนสั้นขาสี่ส่วน Mini Cute โอโรสขาว XL (กปก)</v>
          </cell>
          <cell r="E6331">
            <v>0</v>
          </cell>
          <cell r="F6331">
            <v>890</v>
          </cell>
        </row>
        <row r="6332">
          <cell r="A6332" t="str">
            <v>SL1175-2XL</v>
          </cell>
          <cell r="B6332" t="str">
            <v>L1175</v>
          </cell>
          <cell r="C6332" t="str">
            <v>ซาติน แขนสั้นขาสี่ส่วน กวางน้อย พื้นขาว ปกเทา 2XL  (กปก)</v>
          </cell>
          <cell r="E6332">
            <v>0</v>
          </cell>
          <cell r="F6332">
            <v>890</v>
          </cell>
        </row>
        <row r="6333">
          <cell r="A6333" t="str">
            <v>SL1175-L</v>
          </cell>
          <cell r="B6333" t="str">
            <v>QL1175</v>
          </cell>
          <cell r="C6333" t="str">
            <v>ซาติน แขนสั้นขาสี่ส่วน กวางน้อย พื้นขาว ปกเทา L (กปก) QC</v>
          </cell>
          <cell r="E6333">
            <v>0</v>
          </cell>
          <cell r="F6333">
            <v>890</v>
          </cell>
        </row>
        <row r="6334">
          <cell r="A6334" t="str">
            <v>SL1175-M</v>
          </cell>
          <cell r="B6334" t="str">
            <v>QL1175</v>
          </cell>
          <cell r="C6334" t="str">
            <v>ซาติน แขนสั้นขาสี่ส่วน กวางน้อย พื้นขาว ปกเทา M (กปก) QC</v>
          </cell>
          <cell r="E6334">
            <v>0</v>
          </cell>
          <cell r="F6334">
            <v>890</v>
          </cell>
        </row>
        <row r="6335">
          <cell r="A6335" t="str">
            <v>SL1175-XL</v>
          </cell>
          <cell r="B6335" t="str">
            <v>L1175</v>
          </cell>
          <cell r="C6335" t="str">
            <v>ซาติน แขนสั้นขาสี่ส่วน กวางน้อย พื้นขาว ปกเทา XL (กปก)</v>
          </cell>
          <cell r="E6335">
            <v>0</v>
          </cell>
          <cell r="F6335">
            <v>890</v>
          </cell>
        </row>
        <row r="6336">
          <cell r="A6336" t="str">
            <v>SL1177-2XL</v>
          </cell>
          <cell r="B6336" t="str">
            <v>L1177</v>
          </cell>
          <cell r="C6336" t="str">
            <v>ซาติน แขนสั้นขาสี่ส่วน กราฟฟิก พาสเทล ฟ้า เขียว 2XL (กปก)</v>
          </cell>
          <cell r="E6336">
            <v>0</v>
          </cell>
          <cell r="F6336">
            <v>890</v>
          </cell>
        </row>
        <row r="6337">
          <cell r="A6337" t="str">
            <v>SL1177-L</v>
          </cell>
          <cell r="B6337" t="str">
            <v>L1177</v>
          </cell>
          <cell r="C6337" t="str">
            <v>ซาติน แขนสั้นขาสี่ส่วน กราฟฟิก พาสเทล ฟ้า เขียว L (กปก)</v>
          </cell>
          <cell r="E6337">
            <v>0</v>
          </cell>
          <cell r="F6337">
            <v>890</v>
          </cell>
        </row>
        <row r="6338">
          <cell r="A6338" t="str">
            <v>SL1177-M</v>
          </cell>
          <cell r="B6338" t="str">
            <v>L1177</v>
          </cell>
          <cell r="C6338" t="str">
            <v>ซาติน แขนสั้นขาสี่ส่วน กราฟฟิก พาสเทล ฟ้า เขียว M (กปก)</v>
          </cell>
          <cell r="E6338">
            <v>0</v>
          </cell>
          <cell r="F6338">
            <v>890</v>
          </cell>
        </row>
        <row r="6339">
          <cell r="A6339" t="str">
            <v>SL1177-XL</v>
          </cell>
          <cell r="B6339" t="str">
            <v>L1177</v>
          </cell>
          <cell r="C6339" t="str">
            <v>ซาติน แขนสั้นขาสี่ส่วน กราฟฟิก พาสเทล ฟ้า เขียว XL (กปก)</v>
          </cell>
          <cell r="E6339">
            <v>0</v>
          </cell>
          <cell r="F6339">
            <v>890</v>
          </cell>
        </row>
        <row r="6340">
          <cell r="A6340" t="str">
            <v>SL1183-2XL</v>
          </cell>
          <cell r="B6340" t="str">
            <v>L1183</v>
          </cell>
          <cell r="C6340" t="str">
            <v>ซาติน แขนสั้นขาสี่ส่วน กระต่ายชมพู ปกเขียว 2XL (กปก)</v>
          </cell>
          <cell r="E6340">
            <v>0</v>
          </cell>
          <cell r="F6340">
            <v>890</v>
          </cell>
        </row>
        <row r="6341">
          <cell r="A6341" t="str">
            <v>SL1183-3XL</v>
          </cell>
          <cell r="B6341" t="str">
            <v>L1183</v>
          </cell>
          <cell r="C6341" t="str">
            <v>ซาติน แขนสั้นขาสี่ส่วน กระต่ายชมพู ปกเขียว 3XL (กปก)</v>
          </cell>
          <cell r="E6341">
            <v>0</v>
          </cell>
          <cell r="F6341">
            <v>890</v>
          </cell>
        </row>
        <row r="6342">
          <cell r="A6342" t="str">
            <v>SL1183-L</v>
          </cell>
          <cell r="B6342" t="str">
            <v>L1183</v>
          </cell>
          <cell r="C6342" t="str">
            <v>ซาติน แขนสั้นขาสี่ส่วน กระต่ายชมพู ปกเขียว L (กปก)</v>
          </cell>
          <cell r="E6342">
            <v>0</v>
          </cell>
          <cell r="F6342">
            <v>890</v>
          </cell>
        </row>
        <row r="6343">
          <cell r="A6343" t="str">
            <v>SL1183-M</v>
          </cell>
          <cell r="B6343" t="str">
            <v>QL1183</v>
          </cell>
          <cell r="C6343" t="str">
            <v>ซาติน แขนสั้นขาสี่ส่วน กระต่ายชมพู ปกเขียว M (กปก) QC</v>
          </cell>
          <cell r="E6343">
            <v>0</v>
          </cell>
          <cell r="F6343">
            <v>890</v>
          </cell>
        </row>
        <row r="6344">
          <cell r="A6344" t="str">
            <v>SL1183-XL</v>
          </cell>
          <cell r="B6344" t="str">
            <v>L1183</v>
          </cell>
          <cell r="C6344" t="str">
            <v>ซาติน แขนสั้นขาสี่ส่วน กระต่ายชมพู ปกเขียว XL (กปก)</v>
          </cell>
          <cell r="E6344">
            <v>0</v>
          </cell>
          <cell r="F6344">
            <v>890</v>
          </cell>
        </row>
        <row r="6345">
          <cell r="A6345" t="str">
            <v>SL1189-2XL</v>
          </cell>
          <cell r="B6345" t="str">
            <v>QL1189</v>
          </cell>
          <cell r="C6345" t="str">
            <v>ซาติน แขนสั้นขาสี่ส่วน เสือดาว พื้นน้ำเงิน (กปก) 2XL QC</v>
          </cell>
          <cell r="E6345">
            <v>0</v>
          </cell>
          <cell r="F6345">
            <v>890</v>
          </cell>
        </row>
        <row r="6346">
          <cell r="A6346" t="str">
            <v>SL1189-3XL</v>
          </cell>
          <cell r="B6346" t="str">
            <v>L1189</v>
          </cell>
          <cell r="C6346" t="str">
            <v>ซาติน แขนสั้นขาสี่ส่วน เสือดาว พื้นน้ำเงิน (กปก) 3XL</v>
          </cell>
          <cell r="E6346">
            <v>0</v>
          </cell>
          <cell r="F6346">
            <v>890</v>
          </cell>
        </row>
        <row r="6347">
          <cell r="A6347" t="str">
            <v>SL1189-L</v>
          </cell>
          <cell r="B6347" t="str">
            <v>QL1189</v>
          </cell>
          <cell r="C6347" t="str">
            <v>ซาติน แขนสั้นขาสี่ส่วน เสือดาว พื้นน้ำเงิน (กปก) L QC</v>
          </cell>
          <cell r="E6347">
            <v>0</v>
          </cell>
          <cell r="F6347">
            <v>890</v>
          </cell>
        </row>
        <row r="6348">
          <cell r="A6348" t="str">
            <v>SL1189-M</v>
          </cell>
          <cell r="B6348" t="str">
            <v>QL1189</v>
          </cell>
          <cell r="C6348" t="str">
            <v>ซาติน แขนสั้นขาสี่ส่วน เสือดาว พื้นน้ำเงิน (กปก) M QC</v>
          </cell>
          <cell r="E6348">
            <v>0</v>
          </cell>
          <cell r="F6348">
            <v>890</v>
          </cell>
        </row>
        <row r="6349">
          <cell r="A6349" t="str">
            <v>SL1189-XL</v>
          </cell>
          <cell r="B6349" t="str">
            <v>L1189</v>
          </cell>
          <cell r="C6349" t="str">
            <v>ซาติน แขนสั้นขาสี่ส่วน เสือดาว พื้นน้ำเงิน (กปก) XL</v>
          </cell>
          <cell r="E6349">
            <v>0</v>
          </cell>
          <cell r="F6349">
            <v>890</v>
          </cell>
        </row>
        <row r="6350">
          <cell r="A6350" t="str">
            <v>SL1206-2XL</v>
          </cell>
          <cell r="B6350" t="str">
            <v>QL1206</v>
          </cell>
          <cell r="C6350" t="str">
            <v>ซาติน แขนสั้นขาสี่ส่วน Charcoal timber 2XL QC</v>
          </cell>
          <cell r="E6350">
            <v>0</v>
          </cell>
          <cell r="F6350">
            <v>890</v>
          </cell>
        </row>
        <row r="6351">
          <cell r="A6351" t="str">
            <v>SL1206-L</v>
          </cell>
          <cell r="B6351" t="str">
            <v>L1206</v>
          </cell>
          <cell r="C6351" t="str">
            <v>ซาติน แขนสั้นขาสี่ส่วน Charcoal timber L</v>
          </cell>
          <cell r="E6351">
            <v>0</v>
          </cell>
          <cell r="F6351">
            <v>890</v>
          </cell>
        </row>
        <row r="6352">
          <cell r="A6352" t="str">
            <v>SL1206-M</v>
          </cell>
          <cell r="B6352" t="str">
            <v>QL1206</v>
          </cell>
          <cell r="C6352" t="str">
            <v>ซาติน แขนสั้นขาสี่ส่วน Charcoal timber M QC</v>
          </cell>
          <cell r="E6352">
            <v>0</v>
          </cell>
          <cell r="F6352">
            <v>890</v>
          </cell>
        </row>
        <row r="6353">
          <cell r="A6353" t="str">
            <v>SL1206-XL</v>
          </cell>
          <cell r="B6353" t="str">
            <v>L1206</v>
          </cell>
          <cell r="C6353" t="str">
            <v>ซาติน แขนสั้นขาสี่ส่วน Charcoal timber XL</v>
          </cell>
          <cell r="E6353">
            <v>0</v>
          </cell>
          <cell r="F6353">
            <v>890</v>
          </cell>
        </row>
        <row r="6354">
          <cell r="A6354" t="str">
            <v>SL1208-2XL</v>
          </cell>
          <cell r="B6354" t="str">
            <v>QL1208</v>
          </cell>
          <cell r="C6354" t="str">
            <v>ซาติน แขนสั้นขาสี่ส่วน Tiger flower พื้นดำ (กปก) 2XL QC</v>
          </cell>
          <cell r="E6354">
            <v>0</v>
          </cell>
          <cell r="F6354">
            <v>890</v>
          </cell>
        </row>
        <row r="6355">
          <cell r="A6355" t="str">
            <v>SL1208-3XL</v>
          </cell>
          <cell r="B6355" t="str">
            <v>L1208</v>
          </cell>
          <cell r="C6355" t="str">
            <v>ซาติน แขนสั้นขาสี่ส่วน Tiger flower พื้นดำ (กปก) 3XL</v>
          </cell>
          <cell r="E6355">
            <v>0</v>
          </cell>
          <cell r="F6355">
            <v>890</v>
          </cell>
        </row>
        <row r="6356">
          <cell r="A6356" t="str">
            <v>SL1208-L</v>
          </cell>
          <cell r="B6356" t="str">
            <v>L1208</v>
          </cell>
          <cell r="C6356" t="str">
            <v>ซาติน แขนสั้นขาสี่ส่วน Tiger flower พื้นดำ (กปก) L</v>
          </cell>
          <cell r="E6356">
            <v>0</v>
          </cell>
          <cell r="F6356">
            <v>890</v>
          </cell>
        </row>
        <row r="6357">
          <cell r="A6357" t="str">
            <v>SL1208-M</v>
          </cell>
          <cell r="B6357" t="str">
            <v>QL1208</v>
          </cell>
          <cell r="C6357" t="str">
            <v>ซาติน แขนสั้นขาสี่ส่วน Tiger flower พื้นดำ (กปก) M QC</v>
          </cell>
          <cell r="E6357">
            <v>0</v>
          </cell>
          <cell r="F6357">
            <v>890</v>
          </cell>
        </row>
        <row r="6358">
          <cell r="A6358" t="str">
            <v>SL1208-XL</v>
          </cell>
          <cell r="B6358" t="str">
            <v>L1208</v>
          </cell>
          <cell r="C6358" t="str">
            <v>ซาติน แขนสั้นขาสี่ส่วน Tiger flower พื้นดำ (กปก) XL</v>
          </cell>
          <cell r="E6358">
            <v>0</v>
          </cell>
          <cell r="F6358">
            <v>890</v>
          </cell>
        </row>
        <row r="6359">
          <cell r="A6359" t="str">
            <v>SL1209-2XL</v>
          </cell>
          <cell r="B6359" t="str">
            <v>L1209</v>
          </cell>
          <cell r="C6359" t="str">
            <v>ซาติน แขนสั้นขาสี่ส่วน Isla Floral (กปก) 2XL</v>
          </cell>
          <cell r="E6359">
            <v>0</v>
          </cell>
          <cell r="F6359">
            <v>890</v>
          </cell>
        </row>
        <row r="6360">
          <cell r="A6360" t="str">
            <v>SL1209-3XL</v>
          </cell>
          <cell r="B6360" t="str">
            <v>L1209</v>
          </cell>
          <cell r="C6360" t="str">
            <v>ซาติน แขนสั้นขาสี่ส่วน Garden flower ขอบแดง (กปก) 3XL</v>
          </cell>
          <cell r="E6360">
            <v>0</v>
          </cell>
          <cell r="F6360">
            <v>890</v>
          </cell>
        </row>
        <row r="6361">
          <cell r="A6361" t="str">
            <v>SL1209-L</v>
          </cell>
          <cell r="B6361" t="str">
            <v>L1209</v>
          </cell>
          <cell r="C6361" t="str">
            <v>ซาติน แขนสั้นขาสี่ส่วน Isla Floral (กปก) L</v>
          </cell>
          <cell r="E6361">
            <v>0</v>
          </cell>
          <cell r="F6361">
            <v>890</v>
          </cell>
        </row>
        <row r="6362">
          <cell r="A6362" t="str">
            <v>SL1209-M</v>
          </cell>
          <cell r="B6362" t="str">
            <v>L1209</v>
          </cell>
          <cell r="C6362" t="str">
            <v>ซาติน แขนสั้นขาสี่ส่วน Isla Floral (กปก) M</v>
          </cell>
          <cell r="E6362">
            <v>8</v>
          </cell>
          <cell r="F6362">
            <v>890</v>
          </cell>
        </row>
        <row r="6363">
          <cell r="A6363" t="str">
            <v>SL1209-XL</v>
          </cell>
          <cell r="B6363" t="str">
            <v>L1209</v>
          </cell>
          <cell r="C6363" t="str">
            <v>ซาติน แขนสั้นขาสี่ส่วน Isla Floral (กปก) XL</v>
          </cell>
          <cell r="E6363">
            <v>0</v>
          </cell>
          <cell r="F6363">
            <v>890</v>
          </cell>
        </row>
        <row r="6364">
          <cell r="A6364" t="str">
            <v>SL1217-2XL</v>
          </cell>
          <cell r="B6364" t="str">
            <v>L1217</v>
          </cell>
          <cell r="C6364" t="str">
            <v>ซาติน แขนสั้นขาสี่ส่วน ภาพวาดสวนสัตว์ 2XL (กปก)</v>
          </cell>
          <cell r="E6364">
            <v>0</v>
          </cell>
          <cell r="F6364">
            <v>890</v>
          </cell>
        </row>
        <row r="6365">
          <cell r="A6365" t="str">
            <v>SL1217-L</v>
          </cell>
          <cell r="B6365" t="str">
            <v>L1217</v>
          </cell>
          <cell r="C6365" t="str">
            <v>ซาติน แขนสั้นขาสี่ส่วน ภาพวาดสวนสัตว์ L (กปก)</v>
          </cell>
          <cell r="E6365">
            <v>0</v>
          </cell>
          <cell r="F6365">
            <v>890</v>
          </cell>
        </row>
        <row r="6366">
          <cell r="A6366" t="str">
            <v>SL1217-M</v>
          </cell>
          <cell r="B6366" t="str">
            <v>L1217</v>
          </cell>
          <cell r="C6366" t="str">
            <v>ซาติน แขนสั้นขาสี่ส่วน ภาพวาดสวนสัตว์ M (กปก)</v>
          </cell>
          <cell r="E6366">
            <v>0</v>
          </cell>
          <cell r="F6366">
            <v>890</v>
          </cell>
        </row>
        <row r="6367">
          <cell r="A6367" t="str">
            <v>SL1217-XL</v>
          </cell>
          <cell r="B6367" t="str">
            <v>L1217</v>
          </cell>
          <cell r="C6367" t="str">
            <v>ซาติน แขนสั้นขาสี่ส่วน ภาพวาดสวนสัตว์ XL (กปก)</v>
          </cell>
          <cell r="E6367">
            <v>0</v>
          </cell>
          <cell r="F6367">
            <v>890</v>
          </cell>
        </row>
        <row r="6368">
          <cell r="A6368" t="str">
            <v>SL1220-2XL</v>
          </cell>
          <cell r="B6368" t="str">
            <v>L1220</v>
          </cell>
          <cell r="C6368" t="str">
            <v>ซาติน แขนสั้นขาสี่ส่วน อิฐบ็อกเหลือง 2XL (กปก)</v>
          </cell>
          <cell r="E6368">
            <v>0</v>
          </cell>
          <cell r="F6368">
            <v>890</v>
          </cell>
        </row>
        <row r="6369">
          <cell r="A6369" t="str">
            <v>SL1220-L</v>
          </cell>
          <cell r="B6369" t="str">
            <v>L1220</v>
          </cell>
          <cell r="C6369" t="str">
            <v>ซาติน แขนสั้นขาสี่ส่วน อิฐบ็อกเหลือง L (กปก)</v>
          </cell>
          <cell r="E6369">
            <v>0</v>
          </cell>
          <cell r="F6369">
            <v>890</v>
          </cell>
        </row>
        <row r="6370">
          <cell r="A6370" t="str">
            <v>SL1220-M</v>
          </cell>
          <cell r="B6370" t="str">
            <v>L1220</v>
          </cell>
          <cell r="C6370" t="str">
            <v>ซาติน แขนสั้นขาสี่ส่วน อิฐบ็อกเหลือง M (กปก)</v>
          </cell>
          <cell r="E6370">
            <v>0</v>
          </cell>
          <cell r="F6370">
            <v>890</v>
          </cell>
        </row>
        <row r="6371">
          <cell r="A6371" t="str">
            <v>SL1220-XL</v>
          </cell>
          <cell r="B6371" t="str">
            <v>L1220</v>
          </cell>
          <cell r="C6371" t="str">
            <v>ซาติน แขนสั้นขาสี่ส่วน อิฐบ็อกเหลือง XL (กปก)</v>
          </cell>
          <cell r="E6371">
            <v>0</v>
          </cell>
          <cell r="F6371">
            <v>890</v>
          </cell>
        </row>
        <row r="6372">
          <cell r="A6372" t="str">
            <v>SL1221-2XL</v>
          </cell>
          <cell r="B6372" t="str">
            <v>L1221</v>
          </cell>
          <cell r="C6372" t="str">
            <v>ซาติน แขนสั้นขาสี่ส่วน เสือส้ม พื้นชมพู 2XL</v>
          </cell>
          <cell r="E6372">
            <v>0</v>
          </cell>
          <cell r="F6372">
            <v>890</v>
          </cell>
        </row>
        <row r="6373">
          <cell r="A6373" t="str">
            <v>SL1221-3XL</v>
          </cell>
          <cell r="B6373" t="str">
            <v>QL1221</v>
          </cell>
          <cell r="C6373" t="str">
            <v>ซาติน แขนสั้นขาสั้น เสือส้ม พื้นชมพู 3XL QC</v>
          </cell>
          <cell r="E6373">
            <v>0</v>
          </cell>
          <cell r="F6373">
            <v>890</v>
          </cell>
        </row>
        <row r="6374">
          <cell r="A6374" t="str">
            <v>SL1221-L</v>
          </cell>
          <cell r="B6374" t="str">
            <v>L1221</v>
          </cell>
          <cell r="C6374" t="str">
            <v>ซาติน แขนสั้นขาสี่ส่วน เสือส้ม พื้นชมพู L</v>
          </cell>
          <cell r="E6374">
            <v>0</v>
          </cell>
          <cell r="F6374">
            <v>890</v>
          </cell>
        </row>
        <row r="6375">
          <cell r="A6375" t="str">
            <v>SL1221-M</v>
          </cell>
          <cell r="B6375" t="str">
            <v>QL1221</v>
          </cell>
          <cell r="C6375" t="str">
            <v>ซาติน แขนสั้นขาสี่ส่วน เสือส้ม พื้นชมพู M QC</v>
          </cell>
          <cell r="E6375">
            <v>0</v>
          </cell>
          <cell r="F6375">
            <v>890</v>
          </cell>
        </row>
        <row r="6376">
          <cell r="A6376" t="str">
            <v>SL1221-XL</v>
          </cell>
          <cell r="B6376" t="str">
            <v>L1221</v>
          </cell>
          <cell r="C6376" t="str">
            <v>ซาติน แขนสั้นขาสี่ส่วน เสือส้ม พื้นชมพู XL</v>
          </cell>
          <cell r="E6376">
            <v>0</v>
          </cell>
          <cell r="F6376">
            <v>890</v>
          </cell>
        </row>
        <row r="6377">
          <cell r="A6377" t="str">
            <v>SL1235-L</v>
          </cell>
          <cell r="B6377" t="str">
            <v>L1235</v>
          </cell>
          <cell r="C6377" t="str">
            <v>ซาติน แขนสั้นขาสี่ส่วน พาสเทล โทนชมพู (กปก) L</v>
          </cell>
          <cell r="E6377">
            <v>0</v>
          </cell>
          <cell r="F6377">
            <v>890</v>
          </cell>
        </row>
        <row r="6378">
          <cell r="A6378" t="str">
            <v>SL1235-M</v>
          </cell>
          <cell r="B6378" t="str">
            <v>L1235</v>
          </cell>
          <cell r="C6378" t="str">
            <v>ซาติน แขนสั้นขาสี่ส่วน พาสเทล โทนชมพู (กปก) M</v>
          </cell>
          <cell r="E6378">
            <v>2</v>
          </cell>
          <cell r="F6378">
            <v>890</v>
          </cell>
        </row>
        <row r="6379">
          <cell r="A6379" t="str">
            <v>SL1235-XL</v>
          </cell>
          <cell r="B6379" t="str">
            <v>L1235</v>
          </cell>
          <cell r="C6379" t="str">
            <v>ซาติน แขนสั้นขาสี่ส่วน พาสเทล โทนชมพู (กปก) XL</v>
          </cell>
          <cell r="E6379">
            <v>0</v>
          </cell>
          <cell r="F6379">
            <v>890</v>
          </cell>
        </row>
        <row r="6380">
          <cell r="A6380" t="str">
            <v>SL2004-2XL</v>
          </cell>
          <cell r="B6380" t="str">
            <v>L2004</v>
          </cell>
          <cell r="C6380" t="str">
            <v>ซาติน แขนสั้นขาสี่ส่วน sun snd moon royal 2XL (กปก)</v>
          </cell>
          <cell r="E6380">
            <v>0</v>
          </cell>
          <cell r="F6380">
            <v>990</v>
          </cell>
        </row>
        <row r="6381">
          <cell r="A6381" t="str">
            <v>SL2004-3XL</v>
          </cell>
          <cell r="B6381" t="str">
            <v>L2004</v>
          </cell>
          <cell r="C6381" t="str">
            <v>ซาติน แขนสั้นขาสี่ส่วน sun snd moon royal 3XL (กปก)</v>
          </cell>
          <cell r="E6381">
            <v>0</v>
          </cell>
          <cell r="F6381">
            <v>890</v>
          </cell>
        </row>
        <row r="6382">
          <cell r="A6382" t="str">
            <v>SL2004-L</v>
          </cell>
          <cell r="B6382" t="str">
            <v>L2004</v>
          </cell>
          <cell r="C6382" t="str">
            <v>ซาติน แขนสั้นขาสี่ส่วน sun snd moon royal L (กปก)</v>
          </cell>
          <cell r="E6382">
            <v>0</v>
          </cell>
          <cell r="F6382">
            <v>890</v>
          </cell>
        </row>
        <row r="6383">
          <cell r="A6383" t="str">
            <v>SL2004-M</v>
          </cell>
          <cell r="B6383" t="str">
            <v>QL2004</v>
          </cell>
          <cell r="C6383" t="str">
            <v>ซาติน แขนสั้นขาสี่ส่วน sun snd moon royal M (กปก) QC</v>
          </cell>
          <cell r="E6383">
            <v>0</v>
          </cell>
          <cell r="F6383">
            <v>990</v>
          </cell>
        </row>
        <row r="6384">
          <cell r="A6384" t="str">
            <v>SL2004-XL</v>
          </cell>
          <cell r="B6384" t="str">
            <v>QL2004</v>
          </cell>
          <cell r="C6384" t="str">
            <v>ซาติน แขนสั้นขาสี่ส่วน Ivory Bohemian XL (กปก) QC</v>
          </cell>
          <cell r="E6384">
            <v>0</v>
          </cell>
          <cell r="F6384">
            <v>890</v>
          </cell>
        </row>
        <row r="6385">
          <cell r="A6385" t="str">
            <v>SL2007-2XL</v>
          </cell>
          <cell r="B6385" t="str">
            <v>QL2007</v>
          </cell>
          <cell r="C6385" t="str">
            <v>ซาติน แขนสั้นขาสี่ส่วน women flower forest (กปก) 2XL QC</v>
          </cell>
          <cell r="E6385">
            <v>0</v>
          </cell>
          <cell r="F6385">
            <v>990</v>
          </cell>
        </row>
        <row r="6386">
          <cell r="A6386" t="str">
            <v>SL2007-3XL</v>
          </cell>
          <cell r="B6386" t="str">
            <v>QL2007</v>
          </cell>
          <cell r="C6386" t="str">
            <v>ซาติน แขนสั้นขาสี่ส่วน women flower forest (กปก) 3XL QC</v>
          </cell>
          <cell r="E6386">
            <v>0</v>
          </cell>
          <cell r="F6386">
            <v>990</v>
          </cell>
        </row>
        <row r="6387">
          <cell r="A6387" t="str">
            <v>SL2007-L</v>
          </cell>
          <cell r="B6387" t="str">
            <v>L2007</v>
          </cell>
          <cell r="C6387" t="str">
            <v>ซาติน แขนสั้นขาสี่ส่วน women flower forest (กปก) L</v>
          </cell>
          <cell r="E6387">
            <v>0</v>
          </cell>
          <cell r="F6387">
            <v>990</v>
          </cell>
        </row>
        <row r="6388">
          <cell r="A6388" t="str">
            <v>SL2007-M</v>
          </cell>
          <cell r="B6388" t="str">
            <v>L2007</v>
          </cell>
          <cell r="C6388" t="str">
            <v>ซาติน แขนสั้นขาสี่ส่วน women flower forest (กปก) M</v>
          </cell>
          <cell r="E6388">
            <v>0</v>
          </cell>
          <cell r="F6388">
            <v>990</v>
          </cell>
        </row>
        <row r="6389">
          <cell r="A6389" t="str">
            <v>SL2007-XL</v>
          </cell>
          <cell r="B6389" t="str">
            <v>L2007</v>
          </cell>
          <cell r="C6389" t="str">
            <v>ซาติน แขนสั้นขาสี่ส่วน women flower forest (กปก) XL</v>
          </cell>
          <cell r="E6389">
            <v>0</v>
          </cell>
          <cell r="F6389">
            <v>990</v>
          </cell>
        </row>
        <row r="6390">
          <cell r="A6390" t="str">
            <v>SL2009-2XL</v>
          </cell>
          <cell r="B6390" t="str">
            <v>QL2009</v>
          </cell>
          <cell r="C6390" t="str">
            <v>ซาติน แขนสั้นขาสี่ส่วน Chimera Amber 2XL  (กปก) QC</v>
          </cell>
          <cell r="E6390">
            <v>0</v>
          </cell>
          <cell r="F6390">
            <v>890</v>
          </cell>
        </row>
        <row r="6391">
          <cell r="A6391" t="str">
            <v>SL2009-L</v>
          </cell>
          <cell r="B6391" t="str">
            <v>QL2009</v>
          </cell>
          <cell r="C6391" t="str">
            <v>ซาติน แขนสั้นขาสี่ส่วน Chimera Amber L (กปก) QC</v>
          </cell>
          <cell r="E6391">
            <v>0</v>
          </cell>
          <cell r="F6391">
            <v>890</v>
          </cell>
        </row>
        <row r="6392">
          <cell r="A6392" t="str">
            <v>SL2009-M</v>
          </cell>
          <cell r="B6392" t="str">
            <v>QL2009</v>
          </cell>
          <cell r="C6392" t="str">
            <v>ซาติน แขนสั้นขาสี่ส่วน Chimera Amber M (กปก) QC</v>
          </cell>
          <cell r="E6392">
            <v>0</v>
          </cell>
          <cell r="F6392">
            <v>890</v>
          </cell>
        </row>
        <row r="6393">
          <cell r="A6393" t="str">
            <v>SL2009-XL</v>
          </cell>
          <cell r="B6393" t="str">
            <v>L2009</v>
          </cell>
          <cell r="C6393" t="str">
            <v>ซาติน แขนสั้นขาสี่ส่วน Chimera Amber XL (กปก)</v>
          </cell>
          <cell r="E6393">
            <v>0</v>
          </cell>
          <cell r="F6393">
            <v>890</v>
          </cell>
        </row>
        <row r="6394">
          <cell r="A6394" t="str">
            <v>SL2010-2XL</v>
          </cell>
          <cell r="B6394" t="str">
            <v>QL2010</v>
          </cell>
          <cell r="C6394" t="str">
            <v>ซาติน แขนสั้นขาสี่ส่วน Liliana Bloom 2XL QC</v>
          </cell>
          <cell r="E6394">
            <v>0</v>
          </cell>
          <cell r="F6394">
            <v>890</v>
          </cell>
        </row>
        <row r="6395">
          <cell r="A6395" t="str">
            <v>SL2010-3XL</v>
          </cell>
          <cell r="B6395" t="str">
            <v>L2010</v>
          </cell>
          <cell r="C6395" t="str">
            <v>ซาติน แขนสั้นขาสี่ส่วน Liliana Bloom 3XL</v>
          </cell>
          <cell r="E6395">
            <v>0</v>
          </cell>
          <cell r="F6395">
            <v>890</v>
          </cell>
        </row>
        <row r="6396">
          <cell r="A6396" t="str">
            <v>SL2010-L</v>
          </cell>
          <cell r="B6396" t="str">
            <v>L2010</v>
          </cell>
          <cell r="C6396" t="str">
            <v>ซาติน แขนสั้นขาสี่ส่วน Liliana Bloom L</v>
          </cell>
          <cell r="E6396">
            <v>0</v>
          </cell>
          <cell r="F6396">
            <v>890</v>
          </cell>
        </row>
        <row r="6397">
          <cell r="A6397" t="str">
            <v>SL2010-M</v>
          </cell>
          <cell r="B6397" t="str">
            <v>L2010</v>
          </cell>
          <cell r="C6397" t="str">
            <v>ซาติน แขนสั้นขาสี่ส่วน Liliana Bloom M</v>
          </cell>
          <cell r="E6397">
            <v>0</v>
          </cell>
          <cell r="F6397">
            <v>890</v>
          </cell>
        </row>
        <row r="6398">
          <cell r="A6398" t="str">
            <v>SL2010-XL</v>
          </cell>
          <cell r="B6398" t="str">
            <v>QL2010</v>
          </cell>
          <cell r="C6398" t="str">
            <v>ซาติน แขนสั้นขาสี่ส่วน Liliana Bloom XL QC</v>
          </cell>
          <cell r="E6398">
            <v>0</v>
          </cell>
          <cell r="F6398">
            <v>890</v>
          </cell>
        </row>
        <row r="6399">
          <cell r="A6399" t="str">
            <v>SL2020-2XL</v>
          </cell>
          <cell r="B6399" t="str">
            <v>L2020</v>
          </cell>
          <cell r="C6399" t="str">
            <v>ซาติน แขนสั้นขาสี่ส่วน Bharata Elephant (มีกปก) 2XL</v>
          </cell>
          <cell r="E6399">
            <v>0</v>
          </cell>
          <cell r="F6399">
            <v>990</v>
          </cell>
        </row>
        <row r="6400">
          <cell r="A6400" t="str">
            <v>SL2020-L</v>
          </cell>
          <cell r="B6400" t="str">
            <v>L2020</v>
          </cell>
          <cell r="C6400" t="str">
            <v>ซาติน แขนสั้นขาสี่ส่วน Bharata Elephant (มีกปก) L</v>
          </cell>
          <cell r="E6400">
            <v>15</v>
          </cell>
          <cell r="F6400">
            <v>990</v>
          </cell>
        </row>
        <row r="6401">
          <cell r="A6401" t="str">
            <v>SL2020-M</v>
          </cell>
          <cell r="B6401" t="str">
            <v>L2020</v>
          </cell>
          <cell r="C6401" t="str">
            <v>ซาติน แขนสั้นขาสี่ส่วน Bharata Elephant (มีกปก) M</v>
          </cell>
          <cell r="E6401">
            <v>8</v>
          </cell>
          <cell r="F6401">
            <v>990</v>
          </cell>
        </row>
        <row r="6402">
          <cell r="A6402" t="str">
            <v>SL2020-XL</v>
          </cell>
          <cell r="B6402" t="str">
            <v>L2020</v>
          </cell>
          <cell r="C6402" t="str">
            <v>ซาติน แขนสั้นขาสี่ส่วน Bharata Elephant (มีกปก) XL</v>
          </cell>
          <cell r="E6402">
            <v>0</v>
          </cell>
          <cell r="F6402">
            <v>990</v>
          </cell>
        </row>
        <row r="6403">
          <cell r="A6403" t="str">
            <v>SL2021-2XL</v>
          </cell>
          <cell r="B6403" t="str">
            <v>L2021</v>
          </cell>
          <cell r="C6403" t="str">
            <v>ซาติน แขนสั้นขาสี่ส่วน Greenery Queen (มีกปก) 2XL</v>
          </cell>
          <cell r="E6403">
            <v>0</v>
          </cell>
          <cell r="F6403">
            <v>890</v>
          </cell>
        </row>
        <row r="6404">
          <cell r="A6404" t="str">
            <v>SL2021-L</v>
          </cell>
          <cell r="B6404" t="str">
            <v>L2021</v>
          </cell>
          <cell r="C6404" t="str">
            <v>ซาติน แขนสั้นขาสี่ส่วน Greenery Queen (มีกปก) L</v>
          </cell>
          <cell r="E6404">
            <v>16</v>
          </cell>
          <cell r="F6404">
            <v>890</v>
          </cell>
        </row>
        <row r="6405">
          <cell r="A6405" t="str">
            <v>SL2021-M</v>
          </cell>
          <cell r="B6405" t="str">
            <v>L2021</v>
          </cell>
          <cell r="C6405" t="str">
            <v>ซาติน แขนสั้นขาสี่ส่วน Greenery Queen (มีกปก) M</v>
          </cell>
          <cell r="E6405">
            <v>16</v>
          </cell>
          <cell r="F6405">
            <v>890</v>
          </cell>
        </row>
        <row r="6406">
          <cell r="A6406" t="str">
            <v>SL2021-XL</v>
          </cell>
          <cell r="B6406" t="str">
            <v>L2021</v>
          </cell>
          <cell r="C6406" t="str">
            <v>ซาติน แขนสั้นขาสี่ส่วน Greenery Queen (มีกปก) XL</v>
          </cell>
          <cell r="E6406">
            <v>0</v>
          </cell>
          <cell r="F6406">
            <v>890</v>
          </cell>
        </row>
        <row r="6407">
          <cell r="A6407" t="str">
            <v>SL2022-2XL</v>
          </cell>
          <cell r="B6407" t="str">
            <v>L2022</v>
          </cell>
          <cell r="C6407" t="str">
            <v>ซาติน แขนสั้นขาสี่ส่วน Crayon Pampas (กปก) 2XL</v>
          </cell>
          <cell r="E6407">
            <v>0</v>
          </cell>
          <cell r="F6407">
            <v>890</v>
          </cell>
        </row>
        <row r="6408">
          <cell r="A6408" t="str">
            <v>SL2022-L</v>
          </cell>
          <cell r="B6408" t="str">
            <v>L2022</v>
          </cell>
          <cell r="C6408" t="str">
            <v>ซาติน แขนสั้นขาสี่ส่วน Crayon Pampas (กปก) L</v>
          </cell>
          <cell r="E6408">
            <v>2</v>
          </cell>
          <cell r="F6408">
            <v>890</v>
          </cell>
        </row>
        <row r="6409">
          <cell r="A6409" t="str">
            <v>SL2022-M</v>
          </cell>
          <cell r="B6409" t="str">
            <v>L2022</v>
          </cell>
          <cell r="C6409" t="str">
            <v>ซาติน แขนสั้นขาสี่ส่วน Crayon Pampas (กปก) M</v>
          </cell>
          <cell r="E6409">
            <v>8</v>
          </cell>
          <cell r="F6409">
            <v>890</v>
          </cell>
        </row>
        <row r="6410">
          <cell r="A6410" t="str">
            <v>SL2022-XL</v>
          </cell>
          <cell r="B6410" t="str">
            <v>L2022</v>
          </cell>
          <cell r="C6410" t="str">
            <v>ซาติน แขนสั้นขาสี่ส่วน Crayon Pampas (กปก) XL</v>
          </cell>
          <cell r="E6410">
            <v>5</v>
          </cell>
          <cell r="F6410">
            <v>890</v>
          </cell>
        </row>
        <row r="6411">
          <cell r="A6411" t="str">
            <v>SL3018-2XL</v>
          </cell>
          <cell r="B6411" t="str">
            <v>L3018</v>
          </cell>
          <cell r="C6411" t="str">
            <v>ซาติน แขนสั้นขาสี่ส่วน cat lover พื้นดำ ขอบชมพู 2XL  (กปก)</v>
          </cell>
          <cell r="E6411">
            <v>0</v>
          </cell>
          <cell r="F6411">
            <v>890</v>
          </cell>
        </row>
        <row r="6412">
          <cell r="A6412" t="str">
            <v>SL3018-L</v>
          </cell>
          <cell r="B6412" t="str">
            <v>L3018</v>
          </cell>
          <cell r="C6412" t="str">
            <v>ซาติน แขนสั้นขาสี่ส่วน cat lover พื้นดำ ขอบชมพู L (กปก)</v>
          </cell>
          <cell r="E6412">
            <v>0</v>
          </cell>
          <cell r="F6412">
            <v>890</v>
          </cell>
        </row>
        <row r="6413">
          <cell r="A6413" t="str">
            <v>SL3018-M</v>
          </cell>
          <cell r="B6413" t="str">
            <v>L3018</v>
          </cell>
          <cell r="C6413" t="str">
            <v>ซาติน แขนสั้นขาสี่ส่วน cat lover พื้นดำ ขอบชมพู M (กปก)</v>
          </cell>
          <cell r="E6413">
            <v>0</v>
          </cell>
          <cell r="F6413">
            <v>890</v>
          </cell>
        </row>
        <row r="6414">
          <cell r="A6414" t="str">
            <v>SL3018-XL</v>
          </cell>
          <cell r="B6414" t="str">
            <v>L3018</v>
          </cell>
          <cell r="C6414" t="str">
            <v>ซาติน แขนสั้นขาสี่ส่วน cat lover พื้นดำ ขอบชมพู XL (กปก)</v>
          </cell>
          <cell r="E6414">
            <v>0</v>
          </cell>
          <cell r="F6414">
            <v>890</v>
          </cell>
        </row>
        <row r="6415">
          <cell r="A6415" t="str">
            <v>SL3021-2XL</v>
          </cell>
          <cell r="B6415" t="str">
            <v>L3021</v>
          </cell>
          <cell r="C6415" t="str">
            <v>ซาติน แขนสั้นขาสี่ส่วน โดนัท พื้นม่วง ขอบขาว 2XL  (กปก)</v>
          </cell>
          <cell r="E6415">
            <v>0</v>
          </cell>
          <cell r="F6415">
            <v>890</v>
          </cell>
        </row>
        <row r="6416">
          <cell r="A6416" t="str">
            <v>SL3021-L</v>
          </cell>
          <cell r="B6416" t="str">
            <v>L3021</v>
          </cell>
          <cell r="C6416" t="str">
            <v>ซาติน แขนสั้นขาสี่ส่วน โดนัท พื้นม่วง ขอบขาว L (กปก)</v>
          </cell>
          <cell r="E6416">
            <v>0</v>
          </cell>
          <cell r="F6416">
            <v>890</v>
          </cell>
        </row>
        <row r="6417">
          <cell r="A6417" t="str">
            <v>SL3021-M</v>
          </cell>
          <cell r="B6417" t="str">
            <v>L3021</v>
          </cell>
          <cell r="C6417" t="str">
            <v>ซาติน แขนสั้นขาสี่ส่วน โดนัท พื้นม่วง ขอบขาว M (กปก)</v>
          </cell>
          <cell r="E6417">
            <v>4</v>
          </cell>
          <cell r="F6417">
            <v>890</v>
          </cell>
        </row>
        <row r="6418">
          <cell r="A6418" t="str">
            <v>SL3021-XL</v>
          </cell>
          <cell r="B6418" t="str">
            <v>L3021</v>
          </cell>
          <cell r="C6418" t="str">
            <v>ซาติน แขนสั้นขาสี่ส่วน โดนัท พื้นม่วง ขอบขาว XL (กปก)</v>
          </cell>
          <cell r="E6418">
            <v>0</v>
          </cell>
          <cell r="F6418">
            <v>890</v>
          </cell>
        </row>
        <row r="6419">
          <cell r="A6419" t="str">
            <v>SL3023-2XL</v>
          </cell>
          <cell r="B6419" t="str">
            <v>L3023</v>
          </cell>
          <cell r="C6419" t="str">
            <v>ซาติน แขนสั้นขาสี่ส่วน monogram ff ส้มอิฐ (กปก) 2XL</v>
          </cell>
          <cell r="E6419">
            <v>0</v>
          </cell>
          <cell r="F6419">
            <v>890</v>
          </cell>
        </row>
        <row r="6420">
          <cell r="A6420" t="str">
            <v>SL3023-L</v>
          </cell>
          <cell r="B6420" t="str">
            <v>L3023</v>
          </cell>
          <cell r="C6420" t="str">
            <v>ซาติน แขนสั้นขาสี่ส่วน monogram ff ส้มอิฐ (กปก) L</v>
          </cell>
          <cell r="E6420">
            <v>0</v>
          </cell>
          <cell r="F6420">
            <v>890</v>
          </cell>
        </row>
        <row r="6421">
          <cell r="A6421" t="str">
            <v>SL3023-M</v>
          </cell>
          <cell r="B6421" t="str">
            <v>L3023</v>
          </cell>
          <cell r="C6421" t="str">
            <v>ซาติน แขนสั้นขาสี่ส่วน monogram ff ส้มอิฐ (กปก) M</v>
          </cell>
          <cell r="E6421">
            <v>5</v>
          </cell>
          <cell r="F6421">
            <v>890</v>
          </cell>
        </row>
        <row r="6422">
          <cell r="A6422" t="str">
            <v>SL3023-XL</v>
          </cell>
          <cell r="B6422" t="str">
            <v>L3023</v>
          </cell>
          <cell r="C6422" t="str">
            <v>ซาติน แขนสั้นขาสี่ส่วน monogram ff ส้มอิฐ (กปก) XL</v>
          </cell>
          <cell r="E6422">
            <v>0</v>
          </cell>
          <cell r="F6422">
            <v>890</v>
          </cell>
        </row>
        <row r="6423">
          <cell r="A6423" t="str">
            <v>SL3025-2XL</v>
          </cell>
          <cell r="B6423" t="str">
            <v>L3025</v>
          </cell>
          <cell r="C6423" t="str">
            <v>ซาติน แขนสั้นขาสี่ส่วน Geology Vibe (กปก) 2XL</v>
          </cell>
          <cell r="E6423">
            <v>0</v>
          </cell>
          <cell r="F6423">
            <v>890</v>
          </cell>
        </row>
        <row r="6424">
          <cell r="A6424" t="str">
            <v>SL3025-L</v>
          </cell>
          <cell r="B6424" t="str">
            <v>L3025</v>
          </cell>
          <cell r="C6424" t="str">
            <v>ซาติน แขนสั้นขาสี่ส่วน Geology Vibe (กปก) L</v>
          </cell>
          <cell r="E6424">
            <v>0</v>
          </cell>
          <cell r="F6424">
            <v>890</v>
          </cell>
        </row>
        <row r="6425">
          <cell r="A6425" t="str">
            <v>SL3025-M</v>
          </cell>
          <cell r="B6425" t="str">
            <v>QL3025</v>
          </cell>
          <cell r="C6425" t="str">
            <v>ซาติน แขนสั้นขาสี่ส่วน Geology Vibe (กปก) M QC</v>
          </cell>
          <cell r="E6425">
            <v>0</v>
          </cell>
          <cell r="F6425">
            <v>890</v>
          </cell>
        </row>
        <row r="6426">
          <cell r="A6426" t="str">
            <v>SL3025-XL</v>
          </cell>
          <cell r="B6426" t="str">
            <v>L3025</v>
          </cell>
          <cell r="C6426" t="str">
            <v>ซาติน แขนสั้นขาสี่ส่วน Geology Vibe (กปก) XL</v>
          </cell>
          <cell r="E6426">
            <v>0</v>
          </cell>
          <cell r="F6426">
            <v>890</v>
          </cell>
        </row>
        <row r="6427">
          <cell r="A6427" t="str">
            <v>SL3026-2XL</v>
          </cell>
          <cell r="B6427" t="str">
            <v>L3026</v>
          </cell>
          <cell r="C6427" t="str">
            <v>ซาติน แขนสั้นขาสี่ส่วน Marble Joy (กปก) 2XL</v>
          </cell>
          <cell r="E6427">
            <v>1</v>
          </cell>
          <cell r="F6427">
            <v>890</v>
          </cell>
        </row>
        <row r="6428">
          <cell r="A6428" t="str">
            <v>SL3026-L</v>
          </cell>
          <cell r="B6428" t="str">
            <v>L3026</v>
          </cell>
          <cell r="C6428" t="str">
            <v>ซาติน แขนสั้นขาสี่ส่วน Marble Joy (กปก) L</v>
          </cell>
          <cell r="E6428">
            <v>0</v>
          </cell>
          <cell r="F6428">
            <v>890</v>
          </cell>
        </row>
        <row r="6429">
          <cell r="A6429" t="str">
            <v>SL3026-M</v>
          </cell>
          <cell r="B6429" t="str">
            <v>L3026</v>
          </cell>
          <cell r="C6429" t="str">
            <v>ซาติน แขนสั้นขาสี่ส่วน Marble Joy (กปก) M</v>
          </cell>
          <cell r="E6429">
            <v>1</v>
          </cell>
          <cell r="F6429">
            <v>890</v>
          </cell>
        </row>
        <row r="6430">
          <cell r="A6430" t="str">
            <v>SL3026-XL</v>
          </cell>
          <cell r="B6430" t="str">
            <v>L3026</v>
          </cell>
          <cell r="C6430" t="str">
            <v>ซาติน แขนสั้นขาสี่ส่วน Marble Joy (กปก) XL</v>
          </cell>
          <cell r="E6430">
            <v>0</v>
          </cell>
          <cell r="F6430">
            <v>890</v>
          </cell>
        </row>
        <row r="6431">
          <cell r="A6431" t="str">
            <v>SL3027-2XL</v>
          </cell>
          <cell r="B6431" t="str">
            <v>L3027</v>
          </cell>
          <cell r="C6431" t="str">
            <v>ซาติน แขนสั้นขาสี่ส่วน Marble Magenta (กปก) 2XL</v>
          </cell>
          <cell r="E6431">
            <v>0</v>
          </cell>
          <cell r="F6431">
            <v>890</v>
          </cell>
        </row>
        <row r="6432">
          <cell r="A6432" t="str">
            <v>SL3027-L</v>
          </cell>
          <cell r="B6432" t="str">
            <v>L3027</v>
          </cell>
          <cell r="C6432" t="str">
            <v>ซาติน แขนสั้นขาสี่ส่วน Marble Magenta (กปก) L</v>
          </cell>
          <cell r="E6432">
            <v>3</v>
          </cell>
          <cell r="F6432">
            <v>890</v>
          </cell>
        </row>
        <row r="6433">
          <cell r="A6433" t="str">
            <v>SL3027-M</v>
          </cell>
          <cell r="B6433" t="str">
            <v>L3027</v>
          </cell>
          <cell r="C6433" t="str">
            <v>ซาติน แขนสั้นขาสี่ส่วน Marble Magenta (กปก) M</v>
          </cell>
          <cell r="E6433">
            <v>4</v>
          </cell>
          <cell r="F6433">
            <v>890</v>
          </cell>
        </row>
        <row r="6434">
          <cell r="A6434" t="str">
            <v>SL3027-XL</v>
          </cell>
          <cell r="B6434" t="str">
            <v>L3027</v>
          </cell>
          <cell r="C6434" t="str">
            <v>ซาติน แขนสั้นขาสี่ส่วน Marble Magenta (กปก) XL</v>
          </cell>
          <cell r="E6434">
            <v>0</v>
          </cell>
          <cell r="F6434">
            <v>890</v>
          </cell>
        </row>
        <row r="6435">
          <cell r="A6435" t="str">
            <v>SL3033-2XL</v>
          </cell>
          <cell r="B6435" t="str">
            <v>L3033</v>
          </cell>
          <cell r="C6435" t="str">
            <v>ซาติน แขนสั้นขาสี่ส่วน Hazelnut Bisque (กปก) 2XL</v>
          </cell>
          <cell r="E6435">
            <v>4</v>
          </cell>
          <cell r="F6435">
            <v>890</v>
          </cell>
        </row>
        <row r="6436">
          <cell r="A6436" t="str">
            <v>SL3033-L</v>
          </cell>
          <cell r="B6436" t="str">
            <v>L3033</v>
          </cell>
          <cell r="C6436" t="str">
            <v>ซาติน แขนสั้นขาสี่ส่วน Hazelnut Bisque (กปก) L</v>
          </cell>
          <cell r="E6436">
            <v>3</v>
          </cell>
          <cell r="F6436">
            <v>890</v>
          </cell>
        </row>
        <row r="6437">
          <cell r="A6437" t="str">
            <v>SL3033-M</v>
          </cell>
          <cell r="B6437" t="str">
            <v>L3033</v>
          </cell>
          <cell r="C6437" t="str">
            <v>ซาติน แขนสั้นขาสี่ส่วน Hazelnut Bisque (กปก) M</v>
          </cell>
          <cell r="E6437">
            <v>2</v>
          </cell>
          <cell r="F6437">
            <v>890</v>
          </cell>
        </row>
        <row r="6438">
          <cell r="A6438" t="str">
            <v>SL3033-XL</v>
          </cell>
          <cell r="B6438" t="str">
            <v>L3033</v>
          </cell>
          <cell r="C6438" t="str">
            <v>ซาติน แขนสั้นขาสี่ส่วน Hazelnut Bisque (กปก) XL</v>
          </cell>
          <cell r="E6438">
            <v>0</v>
          </cell>
          <cell r="F6438">
            <v>890</v>
          </cell>
        </row>
        <row r="6439">
          <cell r="A6439" t="str">
            <v>SL3034-2XL</v>
          </cell>
          <cell r="B6439" t="str">
            <v>L3034</v>
          </cell>
          <cell r="C6439" t="str">
            <v>ซาติน แขนสั้นขาสี่ส่วน Monogrey ff 2XL (กปก)</v>
          </cell>
          <cell r="E6439">
            <v>0</v>
          </cell>
          <cell r="F6439">
            <v>890</v>
          </cell>
        </row>
        <row r="6440">
          <cell r="A6440" t="str">
            <v>SL3034-L</v>
          </cell>
          <cell r="B6440" t="str">
            <v>L3034</v>
          </cell>
          <cell r="C6440" t="str">
            <v>ซาติน แขนสั้นขาสี่ส่วน Monogrey ff L (กปก)</v>
          </cell>
          <cell r="E6440">
            <v>0</v>
          </cell>
          <cell r="F6440">
            <v>890</v>
          </cell>
        </row>
        <row r="6441">
          <cell r="A6441" t="str">
            <v>SL3034-M</v>
          </cell>
          <cell r="B6441" t="str">
            <v>L3034</v>
          </cell>
          <cell r="C6441" t="str">
            <v>ซาติน แขนสั้นขาสี่ส่วน Monogrey ff M (กปก)</v>
          </cell>
          <cell r="E6441">
            <v>0</v>
          </cell>
          <cell r="F6441">
            <v>890</v>
          </cell>
        </row>
        <row r="6442">
          <cell r="A6442" t="str">
            <v>SL3034-XL</v>
          </cell>
          <cell r="B6442" t="str">
            <v>L3034</v>
          </cell>
          <cell r="C6442" t="str">
            <v>ซาติน แขนสั้นขาสี่ส่วน Monogrey ff XL (กปก)</v>
          </cell>
          <cell r="E6442">
            <v>0</v>
          </cell>
          <cell r="F6442">
            <v>890</v>
          </cell>
        </row>
        <row r="6443">
          <cell r="A6443" t="str">
            <v>SL3036-2XL</v>
          </cell>
          <cell r="B6443" t="str">
            <v>L3036</v>
          </cell>
          <cell r="C6443" t="str">
            <v>ซาติน แขนสั้นขาสี่ส่วน Golden Peacock (กปก) 2XL</v>
          </cell>
          <cell r="E6443">
            <v>13</v>
          </cell>
          <cell r="F6443">
            <v>890</v>
          </cell>
        </row>
        <row r="6444">
          <cell r="A6444" t="str">
            <v>SL3036-L</v>
          </cell>
          <cell r="B6444" t="str">
            <v>L3036</v>
          </cell>
          <cell r="C6444" t="str">
            <v>ซาติน แขนสั้นขาสี่ส่วน Golden Peacock (กปก) L</v>
          </cell>
          <cell r="E6444">
            <v>10</v>
          </cell>
          <cell r="F6444">
            <v>890</v>
          </cell>
        </row>
        <row r="6445">
          <cell r="A6445" t="str">
            <v>SL3036-M</v>
          </cell>
          <cell r="B6445" t="str">
            <v>L3036</v>
          </cell>
          <cell r="C6445" t="str">
            <v>ซาติน แขนสั้นขาสี่ส่วน Golden Peacock (กปก) M</v>
          </cell>
          <cell r="E6445">
            <v>10</v>
          </cell>
          <cell r="F6445">
            <v>890</v>
          </cell>
        </row>
        <row r="6446">
          <cell r="A6446" t="str">
            <v>SL3036-XL</v>
          </cell>
          <cell r="B6446" t="str">
            <v>L3036</v>
          </cell>
          <cell r="C6446" t="str">
            <v>ซาติน แขนสั้นขาสี่ส่วน Golden Peacock (กปก) XL</v>
          </cell>
          <cell r="E6446">
            <v>11</v>
          </cell>
          <cell r="F6446">
            <v>890</v>
          </cell>
        </row>
        <row r="6447">
          <cell r="A6447" t="str">
            <v>SL3038-2XL</v>
          </cell>
          <cell r="B6447" t="str">
            <v>L3038</v>
          </cell>
          <cell r="C6447" t="str">
            <v>ซาติน แขนสั้นขาสี่ส่วน Beauty Antique (มีกปก) 2XL</v>
          </cell>
          <cell r="E6447">
            <v>0</v>
          </cell>
          <cell r="F6447">
            <v>890</v>
          </cell>
        </row>
        <row r="6448">
          <cell r="A6448" t="str">
            <v>SL3038-L</v>
          </cell>
          <cell r="B6448" t="str">
            <v>L3038</v>
          </cell>
          <cell r="C6448" t="str">
            <v>ซาติน แขนสั้นขาสี่ส่วน Beauty Antique (มีกปก) L</v>
          </cell>
          <cell r="E6448">
            <v>6</v>
          </cell>
          <cell r="F6448">
            <v>890</v>
          </cell>
        </row>
        <row r="6449">
          <cell r="A6449" t="str">
            <v>SL3038-M</v>
          </cell>
          <cell r="B6449" t="str">
            <v>L3038</v>
          </cell>
          <cell r="C6449" t="str">
            <v>ซาติน แขนสั้นขาสี่ส่วน Beauty Antique (มีกปก) M</v>
          </cell>
          <cell r="E6449">
            <v>16</v>
          </cell>
          <cell r="F6449">
            <v>890</v>
          </cell>
        </row>
        <row r="6450">
          <cell r="A6450" t="str">
            <v>SL3038-XL</v>
          </cell>
          <cell r="B6450" t="str">
            <v>L3038</v>
          </cell>
          <cell r="C6450" t="str">
            <v>ซาติน แขนสั้นขาสี่ส่วน Beauty Antique (มีกปก) XL</v>
          </cell>
          <cell r="E6450">
            <v>0</v>
          </cell>
          <cell r="F6450">
            <v>890</v>
          </cell>
        </row>
        <row r="6451">
          <cell r="A6451" t="str">
            <v>SL3041-2XL</v>
          </cell>
          <cell r="B6451" t="str">
            <v>L3041</v>
          </cell>
          <cell r="C6451" t="str">
            <v>ซาติน แขนสั้นขาสี่ส่วน Primitive World (มีกปก) 2XL</v>
          </cell>
          <cell r="E6451">
            <v>0</v>
          </cell>
          <cell r="F6451">
            <v>890</v>
          </cell>
        </row>
        <row r="6452">
          <cell r="A6452" t="str">
            <v>SL3041-L</v>
          </cell>
          <cell r="B6452" t="str">
            <v>L3041</v>
          </cell>
          <cell r="C6452" t="str">
            <v>ซาติน แขนสั้นขาสี่ส่วน Primitive World (มีกปก) L</v>
          </cell>
          <cell r="E6452">
            <v>2</v>
          </cell>
          <cell r="F6452">
            <v>890</v>
          </cell>
        </row>
        <row r="6453">
          <cell r="A6453" t="str">
            <v>SL3041-M</v>
          </cell>
          <cell r="B6453" t="str">
            <v>L3041</v>
          </cell>
          <cell r="C6453" t="str">
            <v>ซาติน แขนสั้นขาสี่ส่วน Primitive World (มีกปก) M</v>
          </cell>
          <cell r="E6453">
            <v>1</v>
          </cell>
          <cell r="F6453">
            <v>890</v>
          </cell>
        </row>
        <row r="6454">
          <cell r="A6454" t="str">
            <v>SL3041-XL</v>
          </cell>
          <cell r="B6454" t="str">
            <v>L3041</v>
          </cell>
          <cell r="C6454" t="str">
            <v>ซาติน แขนสั้นขาสี่ส่วน Primitive World (มีกปก) XL</v>
          </cell>
          <cell r="E6454">
            <v>6</v>
          </cell>
          <cell r="F6454">
            <v>890</v>
          </cell>
        </row>
        <row r="6455">
          <cell r="A6455" t="str">
            <v>SL3042-2XL</v>
          </cell>
          <cell r="B6455" t="str">
            <v>L3042</v>
          </cell>
          <cell r="C6455" t="str">
            <v>ซาติน แขนสั้นขาสี่ส่วน Artnimal 2XL</v>
          </cell>
          <cell r="E6455">
            <v>10</v>
          </cell>
          <cell r="F6455">
            <v>890</v>
          </cell>
        </row>
        <row r="6456">
          <cell r="A6456" t="str">
            <v>SL3042-L</v>
          </cell>
          <cell r="B6456" t="str">
            <v>L3042</v>
          </cell>
          <cell r="C6456" t="str">
            <v>ซาติน แขนสั้นขาสี่ส่วน Artnimal L</v>
          </cell>
          <cell r="E6456">
            <v>12</v>
          </cell>
          <cell r="F6456">
            <v>890</v>
          </cell>
        </row>
        <row r="6457">
          <cell r="A6457" t="str">
            <v>SL3042-M</v>
          </cell>
          <cell r="B6457" t="str">
            <v>L3042</v>
          </cell>
          <cell r="C6457" t="str">
            <v>ซาติน แขนสั้นขาสี่ส่วน Artnimal M</v>
          </cell>
          <cell r="E6457">
            <v>12</v>
          </cell>
          <cell r="F6457">
            <v>890</v>
          </cell>
        </row>
        <row r="6458">
          <cell r="A6458" t="str">
            <v>SL3042-XL</v>
          </cell>
          <cell r="B6458" t="str">
            <v>L3042</v>
          </cell>
          <cell r="C6458" t="str">
            <v>ซาติน แขนสั้นขาสี่ส่วน Artnimal XL</v>
          </cell>
          <cell r="E6458">
            <v>6</v>
          </cell>
          <cell r="F6458">
            <v>890</v>
          </cell>
        </row>
        <row r="6459">
          <cell r="A6459" t="str">
            <v>SL3043-2XL</v>
          </cell>
          <cell r="B6459" t="str">
            <v>L3043</v>
          </cell>
          <cell r="C6459" t="str">
            <v>ซาติน แขนสั้นขาสี่ส่วน Istanblue City 2XL (กปก)</v>
          </cell>
          <cell r="E6459">
            <v>1</v>
          </cell>
          <cell r="F6459">
            <v>890</v>
          </cell>
        </row>
        <row r="6460">
          <cell r="A6460" t="str">
            <v>SL3043-L</v>
          </cell>
          <cell r="B6460" t="str">
            <v>L3043</v>
          </cell>
          <cell r="C6460" t="str">
            <v>ซาติน แขนสั้นขาสี่ส่วน Istanblue City L (กปก)</v>
          </cell>
          <cell r="E6460">
            <v>2</v>
          </cell>
          <cell r="F6460">
            <v>890</v>
          </cell>
        </row>
        <row r="6461">
          <cell r="A6461" t="str">
            <v>SL3043-M</v>
          </cell>
          <cell r="B6461" t="str">
            <v>L3043</v>
          </cell>
          <cell r="C6461" t="str">
            <v>ซาติน แขนสั้นขาสี่ส่วน Istanblue City M (กปก)</v>
          </cell>
          <cell r="E6461">
            <v>5</v>
          </cell>
          <cell r="F6461">
            <v>890</v>
          </cell>
        </row>
        <row r="6462">
          <cell r="A6462" t="str">
            <v>SL3043-XL</v>
          </cell>
          <cell r="B6462" t="str">
            <v>L3043</v>
          </cell>
          <cell r="C6462" t="str">
            <v>ซาติน แขนสั้นขาสี่ส่วน Istanblue City XL (กปก)</v>
          </cell>
          <cell r="E6462">
            <v>12</v>
          </cell>
          <cell r="F6462">
            <v>890</v>
          </cell>
        </row>
        <row r="6463">
          <cell r="A6463" t="str">
            <v>SM1201-2XL</v>
          </cell>
          <cell r="B6463" t="str">
            <v>M1201</v>
          </cell>
          <cell r="C6463" t="str">
            <v>ซาติน แขนยาวขายาว Christmas Buddy กปก (140) 2XL</v>
          </cell>
          <cell r="E6463">
            <v>1</v>
          </cell>
          <cell r="F6463">
            <v>790</v>
          </cell>
        </row>
        <row r="6464">
          <cell r="A6464" t="str">
            <v>SM1201-3XL</v>
          </cell>
          <cell r="B6464" t="str">
            <v>M1201</v>
          </cell>
          <cell r="C6464" t="str">
            <v>ซาติน แขนยาวขายาว Christmas Buddy กปก (150) 3XL</v>
          </cell>
          <cell r="E6464">
            <v>0</v>
          </cell>
          <cell r="F6464">
            <v>790</v>
          </cell>
        </row>
        <row r="6465">
          <cell r="A6465" t="str">
            <v>SM1201-4XL</v>
          </cell>
          <cell r="B6465" t="str">
            <v>M1201</v>
          </cell>
          <cell r="C6465" t="str">
            <v>ซาติน แขนยาวขายาว Christmas Buddy กปก (160) 4XL</v>
          </cell>
          <cell r="E6465">
            <v>1</v>
          </cell>
          <cell r="F6465">
            <v>790</v>
          </cell>
        </row>
        <row r="6466">
          <cell r="A6466" t="str">
            <v>SM1201-L</v>
          </cell>
          <cell r="B6466" t="str">
            <v>M1201</v>
          </cell>
          <cell r="C6466" t="str">
            <v>ซาติน แขนยาวขายาว Christmas Buddy กปก (120) L</v>
          </cell>
          <cell r="E6466">
            <v>2</v>
          </cell>
          <cell r="F6466">
            <v>790</v>
          </cell>
        </row>
        <row r="6467">
          <cell r="A6467" t="str">
            <v>SM1201-M</v>
          </cell>
          <cell r="B6467" t="str">
            <v>M1201</v>
          </cell>
          <cell r="C6467" t="str">
            <v>ซาติน แขนยาวขายาว Christmas Buddy กปก (110) M</v>
          </cell>
          <cell r="E6467">
            <v>0</v>
          </cell>
          <cell r="F6467">
            <v>790</v>
          </cell>
        </row>
        <row r="6468">
          <cell r="A6468" t="str">
            <v>SM1201-S</v>
          </cell>
          <cell r="B6468" t="str">
            <v>M1201</v>
          </cell>
          <cell r="C6468" t="str">
            <v>ซาติน แขนยาวขายาว Christmas Buddy กปก (100) S</v>
          </cell>
          <cell r="E6468">
            <v>0</v>
          </cell>
          <cell r="F6468">
            <v>790</v>
          </cell>
        </row>
        <row r="6469">
          <cell r="A6469" t="str">
            <v>SM1201-XL</v>
          </cell>
          <cell r="B6469" t="str">
            <v>M1201</v>
          </cell>
          <cell r="C6469" t="str">
            <v>ซาติน แขนยาวขายาว Christmas Buddy กปก (130) XL</v>
          </cell>
          <cell r="E6469">
            <v>0</v>
          </cell>
          <cell r="F6469">
            <v>790</v>
          </cell>
        </row>
        <row r="6470">
          <cell r="A6470" t="str">
            <v>SM1216-2XL</v>
          </cell>
          <cell r="B6470" t="str">
            <v>M1216</v>
          </cell>
          <cell r="C6470" t="str">
            <v>ซาติน แขนยาวขายาว สุนัขแฟชั่น พื้นเขียว (140) 2XL</v>
          </cell>
          <cell r="E6470">
            <v>0</v>
          </cell>
          <cell r="F6470">
            <v>790</v>
          </cell>
        </row>
        <row r="6471">
          <cell r="A6471" t="str">
            <v>SM1216-3XL</v>
          </cell>
          <cell r="B6471" t="str">
            <v>QM1216</v>
          </cell>
          <cell r="C6471" t="str">
            <v>ซาติน แขนยาวขายาว สุนัขแฟชั่น พื้นเขียว (150) 3XL QC</v>
          </cell>
          <cell r="E6471">
            <v>0</v>
          </cell>
          <cell r="F6471">
            <v>790</v>
          </cell>
        </row>
        <row r="6472">
          <cell r="A6472" t="str">
            <v>SM1216-4XL</v>
          </cell>
          <cell r="B6472" t="str">
            <v>QM1216</v>
          </cell>
          <cell r="C6472" t="str">
            <v>ซาติน แขนยาวขายาว สุนัขแฟชั่น พื้นเขียว (160) 4XL QC</v>
          </cell>
          <cell r="E6472">
            <v>0</v>
          </cell>
          <cell r="F6472">
            <v>790</v>
          </cell>
        </row>
        <row r="6473">
          <cell r="A6473" t="str">
            <v>SM1216-L</v>
          </cell>
          <cell r="B6473" t="str">
            <v>M1216</v>
          </cell>
          <cell r="C6473" t="str">
            <v>ซาติน แขนยาวขายาว สุนัขแฟชั่น พื้นเขียว (120) L</v>
          </cell>
          <cell r="E6473">
            <v>4</v>
          </cell>
          <cell r="F6473">
            <v>790</v>
          </cell>
        </row>
        <row r="6474">
          <cell r="A6474" t="str">
            <v>SM1216-M</v>
          </cell>
          <cell r="B6474" t="str">
            <v>M1216</v>
          </cell>
          <cell r="C6474" t="str">
            <v>ซาติน แขนยาวขายาว สุนัขแฟชั่น พื้นเขียว (110) M</v>
          </cell>
          <cell r="E6474">
            <v>0</v>
          </cell>
          <cell r="F6474">
            <v>790</v>
          </cell>
        </row>
        <row r="6475">
          <cell r="A6475" t="str">
            <v>SM1216-S</v>
          </cell>
          <cell r="B6475" t="str">
            <v>M1216</v>
          </cell>
          <cell r="C6475" t="str">
            <v>ซาติน แขนยาวขายาว สุนัขแฟชั่น พื้นเขียว (100) S</v>
          </cell>
          <cell r="E6475">
            <v>0</v>
          </cell>
          <cell r="F6475">
            <v>790</v>
          </cell>
        </row>
        <row r="6476">
          <cell r="A6476" t="str">
            <v>SM1216-XL</v>
          </cell>
          <cell r="B6476" t="str">
            <v>M1216</v>
          </cell>
          <cell r="C6476" t="str">
            <v>ซาติน แขนยาวขายาว สุนัขแฟชั่น พื้นเขียว (130) XL</v>
          </cell>
          <cell r="E6476">
            <v>0</v>
          </cell>
          <cell r="F6476">
            <v>790</v>
          </cell>
        </row>
        <row r="6477">
          <cell r="A6477" t="str">
            <v>SM3008-2XL</v>
          </cell>
          <cell r="B6477" t="str">
            <v>M3008</v>
          </cell>
          <cell r="C6477" t="str">
            <v>ซาติน แขนยาวขายาว สีไม้ doodle พื้นเขียว (140) 2XL</v>
          </cell>
          <cell r="E6477">
            <v>0</v>
          </cell>
          <cell r="F6477">
            <v>790</v>
          </cell>
        </row>
        <row r="6478">
          <cell r="A6478" t="str">
            <v>SM3008-3XL</v>
          </cell>
          <cell r="B6478" t="str">
            <v>M3008</v>
          </cell>
          <cell r="C6478" t="str">
            <v>ซาติน แขนยาวขายาว สีไม้ doodle พื้นเขียว (150) 3XL</v>
          </cell>
          <cell r="E6478">
            <v>0</v>
          </cell>
          <cell r="F6478">
            <v>790</v>
          </cell>
        </row>
        <row r="6479">
          <cell r="A6479" t="str">
            <v>SM3008-4XL</v>
          </cell>
          <cell r="B6479" t="str">
            <v>M3008</v>
          </cell>
          <cell r="C6479" t="str">
            <v>ซาติน แขนยาวขายาว สีไม้ doodle พื้นเขียว (160) 4XL</v>
          </cell>
          <cell r="E6479">
            <v>0</v>
          </cell>
          <cell r="F6479">
            <v>790</v>
          </cell>
        </row>
        <row r="6480">
          <cell r="A6480" t="str">
            <v>SM3008-L</v>
          </cell>
          <cell r="B6480" t="str">
            <v>M3008</v>
          </cell>
          <cell r="C6480" t="str">
            <v>ซาติน แขนยาวขายาว สีไม้ doodle พื้นเขียว (120) L</v>
          </cell>
          <cell r="E6480">
            <v>0</v>
          </cell>
          <cell r="F6480">
            <v>790</v>
          </cell>
        </row>
        <row r="6481">
          <cell r="A6481" t="str">
            <v>SM3008-M</v>
          </cell>
          <cell r="B6481" t="str">
            <v>QM3008</v>
          </cell>
          <cell r="C6481" t="str">
            <v>ซาติน แขนยาวขายาว สีไม้ doodle พื้นเขียว (110) M QC</v>
          </cell>
          <cell r="E6481">
            <v>0</v>
          </cell>
          <cell r="F6481">
            <v>790</v>
          </cell>
        </row>
        <row r="6482">
          <cell r="A6482" t="str">
            <v>SM3008-S</v>
          </cell>
          <cell r="B6482" t="str">
            <v>M3008</v>
          </cell>
          <cell r="C6482" t="str">
            <v>ซาติน แขนยาวขายาว สีไม้ doodle พื้นเขียว (100) S</v>
          </cell>
          <cell r="E6482">
            <v>0</v>
          </cell>
          <cell r="F6482">
            <v>790</v>
          </cell>
        </row>
        <row r="6483">
          <cell r="A6483" t="str">
            <v>SM3008-XL</v>
          </cell>
          <cell r="B6483" t="str">
            <v>M3008</v>
          </cell>
          <cell r="C6483" t="str">
            <v>ซาติน แขนยาวขายาว สีไม้ doodle พื้นเขียว (130) XL</v>
          </cell>
          <cell r="E6483">
            <v>0</v>
          </cell>
          <cell r="F6483">
            <v>790</v>
          </cell>
        </row>
        <row r="6484">
          <cell r="A6484" t="str">
            <v>SM3009-2XL</v>
          </cell>
          <cell r="B6484" t="str">
            <v>QM3009</v>
          </cell>
          <cell r="C6484" t="str">
            <v>ซาติน แขนยาวขายาว สีไม้ doodle พื้นชมพู (140) 2XL QC</v>
          </cell>
          <cell r="E6484">
            <v>0</v>
          </cell>
          <cell r="F6484">
            <v>790</v>
          </cell>
        </row>
        <row r="6485">
          <cell r="A6485" t="str">
            <v>SM3009-3XL</v>
          </cell>
          <cell r="B6485" t="str">
            <v>M3009</v>
          </cell>
          <cell r="C6485" t="str">
            <v>ซาติน แขนยาวขายาว สีไม้ doodle พื้นชมพู (150) 3XL</v>
          </cell>
          <cell r="E6485">
            <v>0</v>
          </cell>
          <cell r="F6485">
            <v>790</v>
          </cell>
        </row>
        <row r="6486">
          <cell r="A6486" t="str">
            <v>SM3009-4XL</v>
          </cell>
          <cell r="B6486" t="str">
            <v>QM3009</v>
          </cell>
          <cell r="C6486" t="str">
            <v>ซาติน แขนยาวขายาว สีไม้ doodle พื้นชมพู (160) 4XL QC</v>
          </cell>
          <cell r="E6486">
            <v>0</v>
          </cell>
          <cell r="F6486">
            <v>790</v>
          </cell>
        </row>
        <row r="6487">
          <cell r="A6487" t="str">
            <v>SM3009-L</v>
          </cell>
          <cell r="B6487" t="str">
            <v>M3009</v>
          </cell>
          <cell r="C6487" t="str">
            <v>ซาติน แขนยาวขายาว สีไม้ doodle พื้นชมพู (120) L</v>
          </cell>
          <cell r="E6487">
            <v>0</v>
          </cell>
          <cell r="F6487">
            <v>790</v>
          </cell>
        </row>
        <row r="6488">
          <cell r="A6488" t="str">
            <v>SM3009-M</v>
          </cell>
          <cell r="B6488" t="str">
            <v>M3009</v>
          </cell>
          <cell r="C6488" t="str">
            <v>ซาติน แขนยาวขายาว สีไม้ doodle พื้นชมพู (110) M</v>
          </cell>
          <cell r="E6488">
            <v>0</v>
          </cell>
          <cell r="F6488">
            <v>790</v>
          </cell>
        </row>
        <row r="6489">
          <cell r="A6489" t="str">
            <v>SM3009-S</v>
          </cell>
          <cell r="B6489" t="str">
            <v>QM3009</v>
          </cell>
          <cell r="C6489" t="str">
            <v>ซาติน แขนยาวขายาว สีไม้ doodle พื้นชมพู (100) S QC</v>
          </cell>
          <cell r="E6489">
            <v>0</v>
          </cell>
          <cell r="F6489">
            <v>790</v>
          </cell>
        </row>
        <row r="6490">
          <cell r="A6490" t="str">
            <v>SM3009-XL</v>
          </cell>
          <cell r="B6490" t="str">
            <v>M3009</v>
          </cell>
          <cell r="C6490" t="str">
            <v>ซาติน แขนยาวขายาว สีไม้ doodle พื้นชมพู (130) XL</v>
          </cell>
          <cell r="E6490">
            <v>0</v>
          </cell>
          <cell r="F6490">
            <v>790</v>
          </cell>
        </row>
        <row r="6491">
          <cell r="A6491" t="str">
            <v>SM3011-2XL</v>
          </cell>
          <cell r="B6491" t="str">
            <v>M3011</v>
          </cell>
          <cell r="C6491" t="str">
            <v>ซาติน แขนยาวขายาว รวมสุนัขเขียว พาสเทล กปก muslin pet (140) 2XL</v>
          </cell>
          <cell r="E6491">
            <v>0</v>
          </cell>
          <cell r="F6491">
            <v>790</v>
          </cell>
        </row>
        <row r="6492">
          <cell r="A6492" t="str">
            <v>SM3011-3XL</v>
          </cell>
          <cell r="B6492" t="str">
            <v>M3011</v>
          </cell>
          <cell r="C6492" t="str">
            <v>ซาติน แขนยาวขายาว รวมสุนัขเขียว พาสเทล กปก (150) 3XL</v>
          </cell>
          <cell r="E6492">
            <v>0</v>
          </cell>
          <cell r="F6492">
            <v>790</v>
          </cell>
        </row>
        <row r="6493">
          <cell r="A6493" t="str">
            <v>SM3011-4XL</v>
          </cell>
          <cell r="B6493" t="str">
            <v>M3011</v>
          </cell>
          <cell r="C6493" t="str">
            <v>ซาติน แขนยาวขายาว รวมสุนัขเขียว พาสเทล กปก (160) 4XL</v>
          </cell>
          <cell r="E6493">
            <v>0</v>
          </cell>
          <cell r="F6493">
            <v>790</v>
          </cell>
        </row>
        <row r="6494">
          <cell r="A6494" t="str">
            <v>SM3011-L</v>
          </cell>
          <cell r="B6494" t="str">
            <v>M3011</v>
          </cell>
          <cell r="C6494" t="str">
            <v>ซาติน แขนยาวขายาว รวมสุนัขเขียว พาสเทล กปก muslin pet (120) L</v>
          </cell>
          <cell r="E6494">
            <v>2</v>
          </cell>
          <cell r="F6494">
            <v>790</v>
          </cell>
        </row>
        <row r="6495">
          <cell r="A6495" t="str">
            <v>SM3011-M</v>
          </cell>
          <cell r="B6495" t="str">
            <v>M3011</v>
          </cell>
          <cell r="C6495" t="str">
            <v>ซาติน แขนยาวขายาว รวมสุนัขเขียว พาสเทล กปก muslin pet (110) M</v>
          </cell>
          <cell r="E6495">
            <v>0</v>
          </cell>
          <cell r="F6495">
            <v>790</v>
          </cell>
        </row>
        <row r="6496">
          <cell r="A6496" t="str">
            <v>SM3011-S</v>
          </cell>
          <cell r="B6496" t="str">
            <v>M3011</v>
          </cell>
          <cell r="C6496" t="str">
            <v>ซาติน แขนยาวขายาว รวมสุนัขเขียว พาสเทล กปก (100) S</v>
          </cell>
          <cell r="E6496">
            <v>0</v>
          </cell>
          <cell r="F6496">
            <v>790</v>
          </cell>
        </row>
        <row r="6497">
          <cell r="A6497" t="str">
            <v>SM3011-XL</v>
          </cell>
          <cell r="B6497" t="str">
            <v>M3011</v>
          </cell>
          <cell r="C6497" t="str">
            <v>ซาติน แขนยาวขายาว รวมสุนัขเขียว พาสเทล กปก muslin pet (130) XL</v>
          </cell>
          <cell r="E6497">
            <v>0</v>
          </cell>
          <cell r="F6497">
            <v>790</v>
          </cell>
        </row>
        <row r="6498">
          <cell r="A6498" t="str">
            <v>SM3015-2XL</v>
          </cell>
          <cell r="B6498" t="str">
            <v>M3015</v>
          </cell>
          <cell r="C6498" t="str">
            <v>ซาติน แขนยาวขายาว Grooming Dog พื้นเขียวอ่อน muslin pet (140) 2XL</v>
          </cell>
          <cell r="E6498">
            <v>0</v>
          </cell>
          <cell r="F6498">
            <v>790</v>
          </cell>
        </row>
        <row r="6499">
          <cell r="A6499" t="str">
            <v>SM3015-3XL</v>
          </cell>
          <cell r="B6499" t="str">
            <v>M3015</v>
          </cell>
          <cell r="C6499" t="str">
            <v>ซาติน แขนยาวขายาว Grooming Dog พื้นเขียวอ่อน muslin pet (150) 3XL</v>
          </cell>
          <cell r="E6499">
            <v>0</v>
          </cell>
          <cell r="F6499">
            <v>790</v>
          </cell>
        </row>
        <row r="6500">
          <cell r="A6500" t="str">
            <v>SM3015-4XL</v>
          </cell>
          <cell r="B6500" t="str">
            <v>M3015</v>
          </cell>
          <cell r="C6500" t="str">
            <v>ซาติน แขนยาวขายาว Grooming Dog พื้นเขียวอ่อน muslin pet (160) 4XL</v>
          </cell>
          <cell r="E6500">
            <v>0</v>
          </cell>
          <cell r="F6500">
            <v>790</v>
          </cell>
        </row>
        <row r="6501">
          <cell r="A6501" t="str">
            <v>SM3015-L</v>
          </cell>
          <cell r="B6501" t="str">
            <v>M3015</v>
          </cell>
          <cell r="C6501" t="str">
            <v>ซาติน แขนยาวขายาว Grooming Dog พื้นเขียวอ่อน muslin pet (120) L</v>
          </cell>
          <cell r="E6501">
            <v>0</v>
          </cell>
          <cell r="F6501">
            <v>790</v>
          </cell>
        </row>
        <row r="6502">
          <cell r="A6502" t="str">
            <v>SM3015-M</v>
          </cell>
          <cell r="B6502" t="str">
            <v>M3015</v>
          </cell>
          <cell r="C6502" t="str">
            <v>ซาติน แขนยาวขายาว Grooming Dog พื้นเขียวอ่อน muslin pet (110) M</v>
          </cell>
          <cell r="E6502">
            <v>0</v>
          </cell>
          <cell r="F6502">
            <v>790</v>
          </cell>
        </row>
        <row r="6503">
          <cell r="A6503" t="str">
            <v>SM3015-S</v>
          </cell>
          <cell r="B6503" t="str">
            <v>M3015</v>
          </cell>
          <cell r="C6503" t="str">
            <v>ซาติน แขนยาวขายาว Grooming Dog พื้นเขียวอ่อน muslin pet (100) S</v>
          </cell>
          <cell r="E6503">
            <v>0</v>
          </cell>
          <cell r="F6503">
            <v>790</v>
          </cell>
        </row>
        <row r="6504">
          <cell r="A6504" t="str">
            <v>SM3015-XL</v>
          </cell>
          <cell r="B6504" t="str">
            <v>M3015</v>
          </cell>
          <cell r="C6504" t="str">
            <v>ซาติน แขนยาวขายาว Grooming Dog พื้นเขียวอ่อน muslin pet (130) XL</v>
          </cell>
          <cell r="E6504">
            <v>0</v>
          </cell>
          <cell r="F6504">
            <v>790</v>
          </cell>
        </row>
        <row r="6505">
          <cell r="A6505" t="str">
            <v>SM3019-2XL</v>
          </cell>
          <cell r="B6505" t="str">
            <v>QM3019</v>
          </cell>
          <cell r="C6505" t="str">
            <v>ซาติน แขนยาวขายาว Jingle Mingle (140) 2XL QC</v>
          </cell>
          <cell r="E6505">
            <v>0</v>
          </cell>
          <cell r="F6505">
            <v>0</v>
          </cell>
        </row>
        <row r="6506">
          <cell r="A6506" t="str">
            <v>SM3019-3XL</v>
          </cell>
          <cell r="B6506" t="str">
            <v>QM3019</v>
          </cell>
          <cell r="C6506" t="str">
            <v>ซาติน แขนยาวขายาว Jingle Mingle (150) 3XL QC</v>
          </cell>
          <cell r="E6506">
            <v>0</v>
          </cell>
          <cell r="F6506">
            <v>0</v>
          </cell>
        </row>
        <row r="6507">
          <cell r="A6507" t="str">
            <v>SM3019-4XL</v>
          </cell>
          <cell r="B6507" t="str">
            <v>QM3019</v>
          </cell>
          <cell r="C6507" t="str">
            <v>ซาติน แขนยาวขายาว Jingle Mingle (160) 4XL QC</v>
          </cell>
          <cell r="E6507">
            <v>0</v>
          </cell>
          <cell r="F6507">
            <v>0</v>
          </cell>
        </row>
        <row r="6508">
          <cell r="A6508" t="str">
            <v>SM3019-L</v>
          </cell>
          <cell r="B6508" t="str">
            <v>M3019</v>
          </cell>
          <cell r="C6508" t="str">
            <v>ซาติน แขนยาวขายาว Jingle Mingle (120) L</v>
          </cell>
          <cell r="E6508">
            <v>3</v>
          </cell>
          <cell r="F6508">
            <v>790</v>
          </cell>
        </row>
        <row r="6509">
          <cell r="A6509" t="str">
            <v>SM3019-M</v>
          </cell>
          <cell r="B6509" t="str">
            <v>M3019</v>
          </cell>
          <cell r="C6509" t="str">
            <v>ซาติน แขนยาวขายาว Jingle Mingle (110) M</v>
          </cell>
          <cell r="E6509">
            <v>0</v>
          </cell>
          <cell r="F6509">
            <v>790</v>
          </cell>
        </row>
        <row r="6510">
          <cell r="A6510" t="str">
            <v>SM3019-S</v>
          </cell>
          <cell r="B6510" t="str">
            <v>M3019</v>
          </cell>
          <cell r="C6510" t="str">
            <v>ซาติน แขนยาวขายาว Jingle Mingle (100) S</v>
          </cell>
          <cell r="E6510">
            <v>0</v>
          </cell>
          <cell r="F6510">
            <v>0</v>
          </cell>
        </row>
        <row r="6511">
          <cell r="A6511" t="str">
            <v>SM3019-XL</v>
          </cell>
          <cell r="B6511" t="str">
            <v>M3019</v>
          </cell>
          <cell r="C6511" t="str">
            <v>ซาติน แขนยาวขายาว Jingle Mingle (130) XL</v>
          </cell>
          <cell r="E6511">
            <v>0</v>
          </cell>
          <cell r="F6511">
            <v>0</v>
          </cell>
        </row>
        <row r="6512">
          <cell r="A6512" t="str">
            <v>SM3020-2XL</v>
          </cell>
          <cell r="B6512" t="str">
            <v>M3020</v>
          </cell>
          <cell r="C6512" t="str">
            <v>ซาติน แขนยาวขายาว Spooky Pumpkin เด็ก 2XL</v>
          </cell>
          <cell r="E6512">
            <v>4</v>
          </cell>
          <cell r="F6512">
            <v>790</v>
          </cell>
        </row>
        <row r="6513">
          <cell r="A6513" t="str">
            <v>SM3020-3XL</v>
          </cell>
          <cell r="B6513" t="str">
            <v>M3020</v>
          </cell>
          <cell r="C6513" t="str">
            <v>ซาติน แขนยาวขายาว Spooky Pumpkin เด็ก 3XL</v>
          </cell>
          <cell r="E6513">
            <v>3</v>
          </cell>
          <cell r="F6513">
            <v>790</v>
          </cell>
        </row>
        <row r="6514">
          <cell r="A6514" t="str">
            <v>SM3020-4XL</v>
          </cell>
          <cell r="B6514" t="str">
            <v>M3020</v>
          </cell>
          <cell r="C6514" t="str">
            <v>ซาติน แขนยาวขายาว Spooky Pumpkin เด็ก 4XL</v>
          </cell>
          <cell r="E6514">
            <v>1</v>
          </cell>
          <cell r="F6514">
            <v>790</v>
          </cell>
        </row>
        <row r="6515">
          <cell r="A6515" t="str">
            <v>SM3020-L</v>
          </cell>
          <cell r="B6515" t="str">
            <v>QM3020</v>
          </cell>
          <cell r="C6515" t="str">
            <v>ซาติน  แขนยาวขายาว Spooky Pumpkin เด็ก L QC</v>
          </cell>
          <cell r="E6515">
            <v>0</v>
          </cell>
          <cell r="F6515">
            <v>790</v>
          </cell>
        </row>
        <row r="6516">
          <cell r="A6516" t="str">
            <v>SM3020-M</v>
          </cell>
          <cell r="B6516" t="str">
            <v>M3020</v>
          </cell>
          <cell r="C6516" t="str">
            <v>ซาติน  แขนยาวขายาว Spooky Pumpkin เด็ก M</v>
          </cell>
          <cell r="E6516">
            <v>2</v>
          </cell>
          <cell r="F6516">
            <v>790</v>
          </cell>
        </row>
        <row r="6517">
          <cell r="A6517" t="str">
            <v>SM3020-S</v>
          </cell>
          <cell r="B6517" t="str">
            <v>QM3020</v>
          </cell>
          <cell r="C6517" t="str">
            <v>ซาติน  แขนยาวขายาว Spooky Pumpkin เด็ก S QC</v>
          </cell>
          <cell r="E6517">
            <v>0</v>
          </cell>
          <cell r="F6517">
            <v>790</v>
          </cell>
        </row>
        <row r="6518">
          <cell r="A6518" t="str">
            <v>SM3020-XL</v>
          </cell>
          <cell r="B6518" t="str">
            <v>M3020</v>
          </cell>
          <cell r="C6518" t="str">
            <v>ซาติน แขนยาวขายาว Spooky Pumpkin เด็ก XL</v>
          </cell>
          <cell r="E6518">
            <v>0</v>
          </cell>
          <cell r="F6518">
            <v>790</v>
          </cell>
        </row>
        <row r="6519">
          <cell r="A6519" t="str">
            <v>SN0001-2XL</v>
          </cell>
          <cell r="B6519" t="str">
            <v>N1</v>
          </cell>
          <cell r="C6519" t="str">
            <v>ซาติน แขนสั้นขาสั้น ผีเสื้อ 2XL</v>
          </cell>
          <cell r="E6519">
            <v>0</v>
          </cell>
          <cell r="F6519">
            <v>790</v>
          </cell>
        </row>
        <row r="6520">
          <cell r="A6520" t="str">
            <v>SN0001-L</v>
          </cell>
          <cell r="B6520" t="str">
            <v>N1</v>
          </cell>
          <cell r="C6520" t="str">
            <v>ซาติน แขนสั้นขาสั้น ผีเสื้อ L</v>
          </cell>
          <cell r="E6520">
            <v>0</v>
          </cell>
          <cell r="F6520">
            <v>790</v>
          </cell>
        </row>
        <row r="6521">
          <cell r="A6521" t="str">
            <v>SN0001-M</v>
          </cell>
          <cell r="B6521" t="str">
            <v>N1</v>
          </cell>
          <cell r="C6521" t="str">
            <v>ซาติน แขนสั้นขาสั้น ผีเสื้อ M</v>
          </cell>
          <cell r="E6521">
            <v>0</v>
          </cell>
          <cell r="F6521">
            <v>790</v>
          </cell>
        </row>
        <row r="6522">
          <cell r="A6522" t="str">
            <v>SN0001-XL</v>
          </cell>
          <cell r="B6522" t="str">
            <v>N1</v>
          </cell>
          <cell r="C6522" t="str">
            <v>ซาติน แขนสั้นขาสั้น ผีเสื้อ XL</v>
          </cell>
          <cell r="E6522">
            <v>0</v>
          </cell>
          <cell r="F6522">
            <v>790</v>
          </cell>
        </row>
        <row r="6523">
          <cell r="A6523" t="str">
            <v>SN0002-L</v>
          </cell>
          <cell r="B6523" t="str">
            <v>N2</v>
          </cell>
          <cell r="C6523" t="str">
            <v>ซาติน แขนสั้นขาสั้นกระต่าย Smile ขาว L</v>
          </cell>
          <cell r="E6523">
            <v>0</v>
          </cell>
          <cell r="F6523">
            <v>790</v>
          </cell>
        </row>
        <row r="6524">
          <cell r="A6524" t="str">
            <v>SN0002-M</v>
          </cell>
          <cell r="B6524" t="str">
            <v>N2</v>
          </cell>
          <cell r="C6524" t="str">
            <v>ซาติน แขนสั้นขาสั้นกระต่าย Smile ขาว M</v>
          </cell>
          <cell r="E6524">
            <v>0</v>
          </cell>
          <cell r="F6524">
            <v>790</v>
          </cell>
        </row>
        <row r="6525">
          <cell r="A6525" t="str">
            <v>SN0003-L</v>
          </cell>
          <cell r="B6525" t="str">
            <v>N3</v>
          </cell>
          <cell r="C6525" t="str">
            <v>ซาติน แขนสั้นขาสั้น แมวดำ สีฟ้า L</v>
          </cell>
          <cell r="E6525">
            <v>0</v>
          </cell>
          <cell r="F6525">
            <v>790</v>
          </cell>
        </row>
        <row r="6526">
          <cell r="A6526" t="str">
            <v>SN0003-M</v>
          </cell>
          <cell r="B6526" t="str">
            <v>N3</v>
          </cell>
          <cell r="C6526" t="str">
            <v>ซาติน แขนสั้นขาสั้น แมวดำ สีฟ้า M</v>
          </cell>
          <cell r="E6526">
            <v>0</v>
          </cell>
          <cell r="F6526">
            <v>790</v>
          </cell>
        </row>
        <row r="6527">
          <cell r="A6527" t="str">
            <v>SN0004-L</v>
          </cell>
          <cell r="B6527" t="str">
            <v>N4</v>
          </cell>
          <cell r="C6527" t="str">
            <v>ซาติน แขนสั้นขาสั้น แมวดำ สีชมพู L</v>
          </cell>
          <cell r="E6527">
            <v>0</v>
          </cell>
          <cell r="F6527">
            <v>790</v>
          </cell>
        </row>
        <row r="6528">
          <cell r="A6528" t="str">
            <v>SN0004-M</v>
          </cell>
          <cell r="B6528" t="str">
            <v>N4</v>
          </cell>
          <cell r="C6528" t="str">
            <v>ซาติน แขนสั้นขาสั้น แมวดำ สีชมพู M</v>
          </cell>
          <cell r="E6528">
            <v>0</v>
          </cell>
          <cell r="F6528">
            <v>790</v>
          </cell>
        </row>
        <row r="6529">
          <cell r="A6529" t="str">
            <v>SN0005-L</v>
          </cell>
          <cell r="B6529" t="str">
            <v>N5</v>
          </cell>
          <cell r="C6529" t="str">
            <v>ซาติน แขนสั้นขาสั้น แมวฟ้า สีชมพู L</v>
          </cell>
          <cell r="E6529">
            <v>0</v>
          </cell>
          <cell r="F6529">
            <v>790</v>
          </cell>
        </row>
        <row r="6530">
          <cell r="A6530" t="str">
            <v>SN0005-M</v>
          </cell>
          <cell r="B6530" t="str">
            <v>N5</v>
          </cell>
          <cell r="C6530" t="str">
            <v>ซาติน แขนสั้นขาสั้น แมวฟ้า สีชมพู M</v>
          </cell>
          <cell r="E6530">
            <v>0</v>
          </cell>
          <cell r="F6530">
            <v>790</v>
          </cell>
        </row>
        <row r="6531">
          <cell r="A6531" t="str">
            <v>SN0006-L</v>
          </cell>
          <cell r="B6531" t="str">
            <v>N6</v>
          </cell>
          <cell r="C6531" t="str">
            <v>ซาติน แขนสั้นขาสั้น แมวขาว สีเทาฟ้า L</v>
          </cell>
          <cell r="E6531">
            <v>0</v>
          </cell>
          <cell r="F6531">
            <v>790</v>
          </cell>
        </row>
        <row r="6532">
          <cell r="A6532" t="str">
            <v>SN0006-M</v>
          </cell>
          <cell r="B6532" t="str">
            <v>N6</v>
          </cell>
          <cell r="C6532" t="str">
            <v>ซาติน แขนสั้นขาสั้น แมวขาว สีเทาฟ้า M</v>
          </cell>
          <cell r="E6532">
            <v>0</v>
          </cell>
          <cell r="F6532">
            <v>790</v>
          </cell>
        </row>
        <row r="6533">
          <cell r="A6533" t="str">
            <v>SN0007-L</v>
          </cell>
          <cell r="B6533" t="str">
            <v>N7</v>
          </cell>
          <cell r="C6533" t="str">
            <v>ซาติน แขนสั้นขาสั้น Old totoro ชมพู L</v>
          </cell>
          <cell r="E6533">
            <v>0</v>
          </cell>
          <cell r="F6533">
            <v>790</v>
          </cell>
        </row>
        <row r="6534">
          <cell r="A6534" t="str">
            <v>SN0007-M</v>
          </cell>
          <cell r="B6534" t="str">
            <v>N7</v>
          </cell>
          <cell r="C6534" t="str">
            <v>ซาติน แขนสั้นขาสั้น Old totoro ชมพู M</v>
          </cell>
          <cell r="E6534">
            <v>0</v>
          </cell>
          <cell r="F6534">
            <v>790</v>
          </cell>
        </row>
        <row r="6535">
          <cell r="A6535" t="str">
            <v>SN0008-M</v>
          </cell>
          <cell r="B6535" t="str">
            <v>N8</v>
          </cell>
          <cell r="C6535" t="str">
            <v>ซาติน แขนสั้นขาสั้น นุ้งแมวชมพู พาสเทล M</v>
          </cell>
          <cell r="E6535">
            <v>0</v>
          </cell>
          <cell r="F6535">
            <v>790</v>
          </cell>
        </row>
        <row r="6536">
          <cell r="A6536" t="str">
            <v>SN0008-S</v>
          </cell>
          <cell r="B6536" t="str">
            <v>N8</v>
          </cell>
          <cell r="C6536" t="str">
            <v>ซาติน แขนสั้นขาสั้น นุ้งแมวชมพู พาสเทล S</v>
          </cell>
          <cell r="E6536">
            <v>0</v>
          </cell>
          <cell r="F6536">
            <v>790</v>
          </cell>
        </row>
        <row r="6537">
          <cell r="A6537" t="str">
            <v>SN0009-M</v>
          </cell>
          <cell r="B6537" t="str">
            <v>N9</v>
          </cell>
          <cell r="C6537" t="str">
            <v>ซาติน แขนสั้นขาสั้น นุ้งแมวเขียว พาสเทล M</v>
          </cell>
          <cell r="E6537">
            <v>0</v>
          </cell>
          <cell r="F6537">
            <v>790</v>
          </cell>
        </row>
        <row r="6538">
          <cell r="A6538" t="str">
            <v>SN0009-S</v>
          </cell>
          <cell r="B6538" t="str">
            <v>N9</v>
          </cell>
          <cell r="C6538" t="str">
            <v>ซาติน แขนสั้นขาสั้น นุ้งแมวเขียว พาสเทล S</v>
          </cell>
          <cell r="E6538">
            <v>0</v>
          </cell>
          <cell r="F6538">
            <v>790</v>
          </cell>
        </row>
        <row r="6539">
          <cell r="A6539" t="str">
            <v>SN0010-2XL</v>
          </cell>
          <cell r="B6539" t="str">
            <v>N10</v>
          </cell>
          <cell r="C6539" t="str">
            <v>ซาติน แขนสั้นขาสั้น Totoro ฟ้า 2XL</v>
          </cell>
          <cell r="E6539">
            <v>0</v>
          </cell>
          <cell r="F6539">
            <v>790</v>
          </cell>
        </row>
        <row r="6540">
          <cell r="A6540" t="str">
            <v>SN0010-3XL</v>
          </cell>
          <cell r="B6540" t="str">
            <v>N10</v>
          </cell>
          <cell r="C6540" t="str">
            <v>ซาติน แขนสั้นขาสั้น Totoro ฟ้า 3XL</v>
          </cell>
          <cell r="E6540">
            <v>0</v>
          </cell>
          <cell r="F6540">
            <v>790</v>
          </cell>
        </row>
        <row r="6541">
          <cell r="A6541" t="str">
            <v>SN0010-L</v>
          </cell>
          <cell r="B6541" t="str">
            <v>N10</v>
          </cell>
          <cell r="C6541" t="str">
            <v>ซาติน แขนสั้นขาสั้น Totoro ฟ้า L</v>
          </cell>
          <cell r="E6541">
            <v>0</v>
          </cell>
          <cell r="F6541">
            <v>790</v>
          </cell>
        </row>
        <row r="6542">
          <cell r="A6542" t="str">
            <v>SN0010-M</v>
          </cell>
          <cell r="B6542" t="str">
            <v>N10</v>
          </cell>
          <cell r="C6542" t="str">
            <v>ซาติน แขนสั้นขาสั้น Totoro ฟ้า M</v>
          </cell>
          <cell r="E6542">
            <v>0</v>
          </cell>
          <cell r="F6542">
            <v>790</v>
          </cell>
        </row>
        <row r="6543">
          <cell r="A6543" t="str">
            <v>SN0010-XL</v>
          </cell>
          <cell r="B6543" t="str">
            <v>N10</v>
          </cell>
          <cell r="C6543" t="str">
            <v>ซาติน แขนสั้นขาสั้น Totoro ฟ้า XL</v>
          </cell>
          <cell r="E6543">
            <v>0</v>
          </cell>
          <cell r="F6543">
            <v>790</v>
          </cell>
        </row>
        <row r="6544">
          <cell r="A6544" t="str">
            <v>SN0011-2XL</v>
          </cell>
          <cell r="B6544" t="str">
            <v>N11</v>
          </cell>
          <cell r="C6544" t="str">
            <v>[AM]  ซาติน แขนสั้นขาสั้น Totoro ชมพู 2XL</v>
          </cell>
          <cell r="E6544">
            <v>0</v>
          </cell>
          <cell r="F6544">
            <v>790</v>
          </cell>
        </row>
        <row r="6545">
          <cell r="A6545" t="str">
            <v>SN0011-3XL</v>
          </cell>
          <cell r="B6545" t="str">
            <v>N11</v>
          </cell>
          <cell r="C6545" t="str">
            <v>ซาติน แขนสั้นขาสั้น Totoro ชมพู 3XL</v>
          </cell>
          <cell r="E6545">
            <v>0</v>
          </cell>
          <cell r="F6545">
            <v>790</v>
          </cell>
        </row>
        <row r="6546">
          <cell r="A6546" t="str">
            <v>SN0011-L</v>
          </cell>
          <cell r="B6546" t="str">
            <v>N11</v>
          </cell>
          <cell r="C6546" t="str">
            <v>ซาติน แขนสั้นขาสั้น Totoro ชมพู L</v>
          </cell>
          <cell r="E6546">
            <v>0</v>
          </cell>
          <cell r="F6546">
            <v>790</v>
          </cell>
        </row>
        <row r="6547">
          <cell r="A6547" t="str">
            <v>SN0011-M</v>
          </cell>
          <cell r="B6547" t="str">
            <v>N11</v>
          </cell>
          <cell r="C6547" t="str">
            <v>ซาติน แขนสั้นขาสั้น Totoro ชมพู M</v>
          </cell>
          <cell r="E6547">
            <v>0</v>
          </cell>
          <cell r="F6547">
            <v>790</v>
          </cell>
        </row>
        <row r="6548">
          <cell r="A6548" t="str">
            <v>SN0011-XL</v>
          </cell>
          <cell r="B6548" t="str">
            <v>N11</v>
          </cell>
          <cell r="C6548" t="str">
            <v>ซาติน แขนสั้นขาสั้น Totoro ชมพู XL</v>
          </cell>
          <cell r="E6548">
            <v>0</v>
          </cell>
          <cell r="F6548">
            <v>790</v>
          </cell>
        </row>
        <row r="6549">
          <cell r="A6549" t="str">
            <v>SN0025-M</v>
          </cell>
          <cell r="B6549" t="str">
            <v>JN25</v>
          </cell>
          <cell r="C6549" t="str">
            <v>ซาติน แขนสั้นขาสั้น ชมพูจุด ดอกไม้หัวใจ M ตัวโชว์</v>
          </cell>
          <cell r="E6549">
            <v>0</v>
          </cell>
          <cell r="F6549">
            <v>790</v>
          </cell>
        </row>
        <row r="6550">
          <cell r="A6550" t="str">
            <v>SN0025-S</v>
          </cell>
          <cell r="B6550" t="str">
            <v>JN25</v>
          </cell>
          <cell r="C6550" t="str">
            <v>ซาติน แขนสั้นขาสั้น ชมพูจุด ดอกไม้หัวใจ S ตัวโชว์</v>
          </cell>
          <cell r="E6550">
            <v>0</v>
          </cell>
          <cell r="F6550">
            <v>790</v>
          </cell>
        </row>
        <row r="6551">
          <cell r="A6551" t="str">
            <v>SN0026-M</v>
          </cell>
          <cell r="B6551" t="str">
            <v>N26</v>
          </cell>
          <cell r="C6551" t="str">
            <v>ซาติน แขนสั้นขาสั้น ดอกไม้แดง พื้นชมพู M</v>
          </cell>
          <cell r="E6551">
            <v>0</v>
          </cell>
          <cell r="F6551">
            <v>790</v>
          </cell>
        </row>
        <row r="6552">
          <cell r="A6552" t="str">
            <v>SN0026-S</v>
          </cell>
          <cell r="B6552" t="str">
            <v>N26</v>
          </cell>
          <cell r="C6552" t="str">
            <v>ซาติน แขนสั้นขาสั้น ดอกไม้แดง พื้นชมพู S</v>
          </cell>
          <cell r="E6552">
            <v>0</v>
          </cell>
          <cell r="F6552">
            <v>790</v>
          </cell>
        </row>
        <row r="6553">
          <cell r="A6553" t="str">
            <v>SN0035-L</v>
          </cell>
          <cell r="B6553" t="str">
            <v>N35</v>
          </cell>
          <cell r="C6553" t="str">
            <v>ซาติน แขนสั้นขาสั้น ฟรุตตี้ L</v>
          </cell>
          <cell r="E6553">
            <v>0</v>
          </cell>
          <cell r="F6553">
            <v>790</v>
          </cell>
        </row>
        <row r="6554">
          <cell r="A6554" t="str">
            <v>SN0035-M</v>
          </cell>
          <cell r="B6554" t="str">
            <v>N35</v>
          </cell>
          <cell r="C6554" t="str">
            <v>ซาติน แขนสั้นขาสั้น ฟรุตตี้ M</v>
          </cell>
          <cell r="E6554">
            <v>0</v>
          </cell>
          <cell r="F6554">
            <v>790</v>
          </cell>
        </row>
        <row r="6555">
          <cell r="A6555" t="str">
            <v>SN0035-S</v>
          </cell>
          <cell r="B6555" t="str">
            <v>N35</v>
          </cell>
          <cell r="C6555" t="str">
            <v>ซาติน แขนสั้นขาสั้น ฟรุตตี้ S</v>
          </cell>
          <cell r="E6555">
            <v>0</v>
          </cell>
          <cell r="F6555">
            <v>790</v>
          </cell>
        </row>
        <row r="6556">
          <cell r="A6556" t="str">
            <v>SN0035-XL</v>
          </cell>
          <cell r="B6556" t="str">
            <v>N35</v>
          </cell>
          <cell r="C6556" t="str">
            <v>ซาติน แขนสั้นขาสั้น ฟรุตตี้ XL</v>
          </cell>
          <cell r="E6556">
            <v>0</v>
          </cell>
          <cell r="F6556">
            <v>790</v>
          </cell>
        </row>
        <row r="6557">
          <cell r="A6557" t="str">
            <v>SN0036-L</v>
          </cell>
          <cell r="B6557" t="str">
            <v>N36</v>
          </cell>
          <cell r="C6557" t="str">
            <v>ซาติน แขนสั้นขาสั้น สตรอเบอรี่ ขอบชมพู L</v>
          </cell>
          <cell r="E6557">
            <v>0</v>
          </cell>
          <cell r="F6557">
            <v>790</v>
          </cell>
        </row>
        <row r="6558">
          <cell r="A6558" t="str">
            <v>SN0036-XL</v>
          </cell>
          <cell r="B6558" t="str">
            <v>N36</v>
          </cell>
          <cell r="C6558" t="str">
            <v>ซาติน แขนสั้นขาสั้น สตรอเบอรี่ ขอบชมพู XL</v>
          </cell>
          <cell r="E6558">
            <v>0</v>
          </cell>
          <cell r="F6558">
            <v>790</v>
          </cell>
        </row>
        <row r="6559">
          <cell r="A6559" t="str">
            <v>SN0039-L</v>
          </cell>
          <cell r="B6559" t="str">
            <v>N39</v>
          </cell>
          <cell r="C6559" t="str">
            <v>ซาติน แขนสั้นขาสั้น ขาว ขอบเหลือง L</v>
          </cell>
          <cell r="E6559">
            <v>0</v>
          </cell>
          <cell r="F6559">
            <v>790</v>
          </cell>
        </row>
        <row r="6560">
          <cell r="A6560" t="str">
            <v>SN0039-M</v>
          </cell>
          <cell r="B6560" t="str">
            <v>N39</v>
          </cell>
          <cell r="C6560" t="str">
            <v>ซาติน แขนสั้นขาสั้น ขาว ขอบเหลือง M</v>
          </cell>
          <cell r="E6560">
            <v>0</v>
          </cell>
          <cell r="F6560">
            <v>790</v>
          </cell>
        </row>
        <row r="6561">
          <cell r="A6561" t="str">
            <v>SN0040-L</v>
          </cell>
          <cell r="B6561" t="str">
            <v>N40</v>
          </cell>
          <cell r="C6561" t="str">
            <v>ซาติน แขนสั้นขาสั้น ขาว ขอบชมพู L</v>
          </cell>
          <cell r="E6561">
            <v>0</v>
          </cell>
          <cell r="F6561">
            <v>790</v>
          </cell>
        </row>
        <row r="6562">
          <cell r="A6562" t="str">
            <v>SN0040-M</v>
          </cell>
          <cell r="B6562" t="str">
            <v>N40</v>
          </cell>
          <cell r="C6562" t="str">
            <v>ซาติน แขนสั้นขาสั้น ขาว ขอบชมพู M</v>
          </cell>
          <cell r="E6562">
            <v>0</v>
          </cell>
          <cell r="F6562">
            <v>790</v>
          </cell>
        </row>
        <row r="6563">
          <cell r="A6563" t="str">
            <v>SN0042-L</v>
          </cell>
          <cell r="B6563" t="str">
            <v>N42</v>
          </cell>
          <cell r="C6563" t="str">
            <v>ซาติน แขนสั้นขาสั้น เขียวมิ้น ขอบขาว L</v>
          </cell>
          <cell r="E6563">
            <v>0</v>
          </cell>
          <cell r="F6563">
            <v>790</v>
          </cell>
        </row>
        <row r="6564">
          <cell r="A6564" t="str">
            <v>SN0042-M</v>
          </cell>
          <cell r="B6564" t="str">
            <v>N42</v>
          </cell>
          <cell r="C6564" t="str">
            <v>ซาติน แขนสั้นขาสั้น เขียวมิ้น ขอบขาว M</v>
          </cell>
          <cell r="E6564">
            <v>0</v>
          </cell>
          <cell r="F6564">
            <v>790</v>
          </cell>
        </row>
        <row r="6565">
          <cell r="A6565" t="str">
            <v>SN0043-L</v>
          </cell>
          <cell r="B6565" t="str">
            <v>N43</v>
          </cell>
          <cell r="C6565" t="str">
            <v>ซาติน แขนสั้นขาสั้น ชมพูอ่อน ขอบดำ L</v>
          </cell>
          <cell r="E6565">
            <v>0</v>
          </cell>
          <cell r="F6565">
            <v>790</v>
          </cell>
        </row>
        <row r="6566">
          <cell r="A6566" t="str">
            <v>SN0043-M</v>
          </cell>
          <cell r="B6566" t="str">
            <v>N43</v>
          </cell>
          <cell r="C6566" t="str">
            <v>ซาติน แขนสั้นขาสั้น ชมพูอ่อน ขอบดำ M</v>
          </cell>
          <cell r="E6566">
            <v>0</v>
          </cell>
          <cell r="F6566">
            <v>590</v>
          </cell>
        </row>
        <row r="6567">
          <cell r="A6567" t="str">
            <v>SN0045-L</v>
          </cell>
          <cell r="B6567" t="str">
            <v>N45</v>
          </cell>
          <cell r="C6567" t="str">
            <v>ซาติน แขนสั้นขาสั้นสีชมพู นู้ด ขอบเงิน L</v>
          </cell>
          <cell r="E6567">
            <v>0</v>
          </cell>
          <cell r="F6567">
            <v>790</v>
          </cell>
        </row>
        <row r="6568">
          <cell r="A6568" t="str">
            <v>SN0045-M</v>
          </cell>
          <cell r="B6568" t="str">
            <v>N45</v>
          </cell>
          <cell r="C6568" t="str">
            <v>ซาติน แขนสั้นขาสั้น  สีชมพู นู้ด ขอบเงิน M</v>
          </cell>
          <cell r="E6568">
            <v>0</v>
          </cell>
          <cell r="F6568">
            <v>790</v>
          </cell>
        </row>
        <row r="6569">
          <cell r="A6569" t="str">
            <v>SN0047-L</v>
          </cell>
          <cell r="B6569" t="str">
            <v>N47</v>
          </cell>
          <cell r="C6569" t="str">
            <v>ซาติน แขนสั้นขาสั้น สีกรม หัวใจ ขอบขาว L</v>
          </cell>
          <cell r="E6569">
            <v>0</v>
          </cell>
          <cell r="F6569">
            <v>790</v>
          </cell>
        </row>
        <row r="6570">
          <cell r="A6570" t="str">
            <v>SN0047-M</v>
          </cell>
          <cell r="B6570" t="str">
            <v>N47</v>
          </cell>
          <cell r="C6570" t="str">
            <v>ซาติน แขนสั้นขาสั้น สีกรม หัวใจ ขอบขาว M</v>
          </cell>
          <cell r="E6570">
            <v>0</v>
          </cell>
          <cell r="F6570">
            <v>790</v>
          </cell>
        </row>
        <row r="6571">
          <cell r="A6571" t="str">
            <v>SN0048-L</v>
          </cell>
          <cell r="B6571" t="str">
            <v>N48</v>
          </cell>
          <cell r="C6571" t="str">
            <v>ซาติน แขนสั้นขาสั้น สีกรม ขอบชมพู L</v>
          </cell>
          <cell r="E6571">
            <v>0</v>
          </cell>
          <cell r="F6571">
            <v>790</v>
          </cell>
        </row>
        <row r="6572">
          <cell r="A6572" t="str">
            <v>SN0048-M</v>
          </cell>
          <cell r="B6572" t="str">
            <v>N48</v>
          </cell>
          <cell r="C6572" t="str">
            <v>ซาติน แขนสั้นขาสั้น สีกรม ขอบชมพู M</v>
          </cell>
          <cell r="E6572">
            <v>0</v>
          </cell>
          <cell r="F6572">
            <v>790</v>
          </cell>
        </row>
        <row r="6573">
          <cell r="A6573" t="str">
            <v>SN0049-L</v>
          </cell>
          <cell r="B6573" t="str">
            <v>N49</v>
          </cell>
          <cell r="C6573" t="str">
            <v>ซาติน แขนสั้นขาสั้น เรนโบ L</v>
          </cell>
          <cell r="E6573">
            <v>0</v>
          </cell>
          <cell r="F6573">
            <v>790</v>
          </cell>
        </row>
        <row r="6574">
          <cell r="A6574" t="str">
            <v>SN0049-M</v>
          </cell>
          <cell r="B6574" t="str">
            <v>N49</v>
          </cell>
          <cell r="C6574" t="str">
            <v>ซาติน แขนสั้นขาสั้น เรนโบ M</v>
          </cell>
          <cell r="E6574">
            <v>0</v>
          </cell>
          <cell r="F6574">
            <v>790</v>
          </cell>
        </row>
        <row r="6575">
          <cell r="A6575" t="str">
            <v>SN0049-S</v>
          </cell>
          <cell r="B6575" t="str">
            <v>N49</v>
          </cell>
          <cell r="C6575" t="str">
            <v>ซาติน แขนสั้นขาสั้น เรนโบ S</v>
          </cell>
          <cell r="E6575">
            <v>0</v>
          </cell>
          <cell r="F6575">
            <v>790</v>
          </cell>
        </row>
        <row r="6576">
          <cell r="A6576" t="str">
            <v>SN0050-M</v>
          </cell>
          <cell r="B6576" t="str">
            <v>N50</v>
          </cell>
          <cell r="C6576" t="str">
            <v>ซาติน แขนสั้นขาสั้น ลายทางขาว M</v>
          </cell>
          <cell r="E6576">
            <v>0</v>
          </cell>
          <cell r="F6576">
            <v>790</v>
          </cell>
        </row>
        <row r="6577">
          <cell r="A6577" t="str">
            <v>SN0050-S</v>
          </cell>
          <cell r="B6577" t="str">
            <v>N50</v>
          </cell>
          <cell r="C6577" t="str">
            <v>ซาติน แขนสั้นขาสั้น ลายทางขาว S</v>
          </cell>
          <cell r="E6577">
            <v>0</v>
          </cell>
          <cell r="F6577">
            <v>790</v>
          </cell>
        </row>
        <row r="6578">
          <cell r="A6578" t="str">
            <v>SN0051-M</v>
          </cell>
          <cell r="B6578" t="str">
            <v>N51</v>
          </cell>
          <cell r="C6578" t="str">
            <v>ซาติน แขนสั้นขาสั้น ลายทาง ขาวดำ ขอบส้ม M</v>
          </cell>
          <cell r="E6578">
            <v>0</v>
          </cell>
          <cell r="F6578">
            <v>790</v>
          </cell>
        </row>
        <row r="6579">
          <cell r="A6579" t="str">
            <v>SN0051-S</v>
          </cell>
          <cell r="B6579" t="str">
            <v>N51</v>
          </cell>
          <cell r="C6579" t="str">
            <v>ซาติน แขนสั้นขาสั้น ลายทาง ขาวดำ ขอบส้ม S</v>
          </cell>
          <cell r="E6579">
            <v>0</v>
          </cell>
          <cell r="F6579">
            <v>790</v>
          </cell>
        </row>
        <row r="6580">
          <cell r="A6580" t="str">
            <v>SN0052-M</v>
          </cell>
          <cell r="B6580" t="str">
            <v>N52</v>
          </cell>
          <cell r="C6580" t="str">
            <v>ซาติน แขนสั้นขาสั้น ลายทาง เขียวครีม M</v>
          </cell>
          <cell r="E6580">
            <v>0</v>
          </cell>
          <cell r="F6580">
            <v>790</v>
          </cell>
        </row>
        <row r="6581">
          <cell r="A6581" t="str">
            <v>SN0052-S</v>
          </cell>
          <cell r="B6581" t="str">
            <v>N52</v>
          </cell>
          <cell r="C6581" t="str">
            <v>ซาติน แขนสั้นขาสั้น ลายทาง เขียวครีม S</v>
          </cell>
          <cell r="E6581">
            <v>0</v>
          </cell>
          <cell r="F6581">
            <v>790</v>
          </cell>
        </row>
        <row r="6582">
          <cell r="A6582" t="str">
            <v>SN0053-M</v>
          </cell>
          <cell r="B6582" t="str">
            <v>N53</v>
          </cell>
          <cell r="C6582" t="str">
            <v>ซาติน แขนสั้นขาสั้น ลายทาง น้ำเงินเขียว M</v>
          </cell>
          <cell r="E6582">
            <v>0</v>
          </cell>
          <cell r="F6582">
            <v>790</v>
          </cell>
        </row>
        <row r="6583">
          <cell r="A6583" t="str">
            <v>SN0053-S</v>
          </cell>
          <cell r="B6583" t="str">
            <v>N53</v>
          </cell>
          <cell r="C6583" t="str">
            <v>ซาติน แขนสั้นขาสั้น ลายทาง น้ำเงินเขียว S</v>
          </cell>
          <cell r="E6583">
            <v>0</v>
          </cell>
          <cell r="F6583">
            <v>790</v>
          </cell>
        </row>
        <row r="6584">
          <cell r="A6584" t="str">
            <v>SN0054-L</v>
          </cell>
          <cell r="B6584" t="str">
            <v>JN54</v>
          </cell>
          <cell r="C6584" t="str">
            <v>ซาติน แขนสั้นขาสั้น ส้มพาสเทล L ตัวโชว์</v>
          </cell>
          <cell r="E6584">
            <v>0</v>
          </cell>
          <cell r="F6584">
            <v>790</v>
          </cell>
        </row>
        <row r="6585">
          <cell r="A6585" t="str">
            <v>SN0054-M</v>
          </cell>
          <cell r="B6585" t="str">
            <v>N54</v>
          </cell>
          <cell r="C6585" t="str">
            <v>ซาติน แขนสั้นขาสั้น ส้มพาสเทล M</v>
          </cell>
          <cell r="E6585">
            <v>0</v>
          </cell>
          <cell r="F6585">
            <v>790</v>
          </cell>
        </row>
        <row r="6586">
          <cell r="A6586" t="str">
            <v>SN0055-L</v>
          </cell>
          <cell r="B6586" t="str">
            <v>N55</v>
          </cell>
          <cell r="C6586" t="str">
            <v>ซาติน แขนสั้นขาสั้น ชมพูพาสเทล L</v>
          </cell>
          <cell r="E6586">
            <v>0</v>
          </cell>
          <cell r="F6586">
            <v>790</v>
          </cell>
        </row>
        <row r="6587">
          <cell r="A6587" t="str">
            <v>SN0055-M</v>
          </cell>
          <cell r="B6587" t="str">
            <v>JN55</v>
          </cell>
          <cell r="C6587" t="str">
            <v>ซาติน แขนสั้นขาสั้น ชมพูพาสเทล M ตัวโชว์</v>
          </cell>
          <cell r="E6587">
            <v>0</v>
          </cell>
          <cell r="F6587">
            <v>790</v>
          </cell>
        </row>
        <row r="6588">
          <cell r="A6588" t="str">
            <v>SN0061-L</v>
          </cell>
          <cell r="B6588" t="str">
            <v>N61</v>
          </cell>
          <cell r="C6588" t="str">
            <v>ซาติน แขนสั้นขาสั้น ชมพู ส้ม L</v>
          </cell>
          <cell r="E6588">
            <v>0</v>
          </cell>
          <cell r="F6588">
            <v>790</v>
          </cell>
        </row>
        <row r="6589">
          <cell r="A6589" t="str">
            <v>SN0061-M</v>
          </cell>
          <cell r="B6589" t="str">
            <v>N61</v>
          </cell>
          <cell r="C6589" t="str">
            <v>ซาติน แขนสั้นขาสั้น ชมพู ส้ม M</v>
          </cell>
          <cell r="E6589">
            <v>0</v>
          </cell>
          <cell r="F6589">
            <v>790</v>
          </cell>
        </row>
        <row r="6590">
          <cell r="A6590" t="str">
            <v>SN0064-L</v>
          </cell>
          <cell r="B6590" t="str">
            <v>JN64</v>
          </cell>
          <cell r="C6590" t="str">
            <v>ซาติน แขนสั้นขาสั้น ขาว จุดโอรส ขอบเขียว L ตัวโชว์</v>
          </cell>
          <cell r="E6590">
            <v>0</v>
          </cell>
          <cell r="F6590">
            <v>790</v>
          </cell>
        </row>
        <row r="6591">
          <cell r="A6591" t="str">
            <v>SN0064-M</v>
          </cell>
          <cell r="B6591" t="str">
            <v>ป7</v>
          </cell>
          <cell r="C6591" t="str">
            <v>ซาติน แขนสั้นขาสั้น ขาว จุดโอรส ขอบเขียว M</v>
          </cell>
          <cell r="E6591">
            <v>0</v>
          </cell>
          <cell r="F6591">
            <v>790</v>
          </cell>
        </row>
        <row r="6592">
          <cell r="A6592" t="str">
            <v>SN0065-L</v>
          </cell>
          <cell r="B6592" t="str">
            <v>N65</v>
          </cell>
          <cell r="C6592" t="str">
            <v>ซาติน แขนสั้นขาสั้น สีชมพูจุดขาว ขอบฟ้า L</v>
          </cell>
          <cell r="E6592">
            <v>0</v>
          </cell>
          <cell r="F6592">
            <v>790</v>
          </cell>
        </row>
        <row r="6593">
          <cell r="A6593" t="str">
            <v>SN0065-M</v>
          </cell>
          <cell r="B6593" t="str">
            <v>N65</v>
          </cell>
          <cell r="C6593" t="str">
            <v>ซาติน แขนสั้นขาสั้น สีชมพูจุดขาว ขอบฟ้า M</v>
          </cell>
          <cell r="E6593">
            <v>0</v>
          </cell>
          <cell r="F6593">
            <v>790</v>
          </cell>
        </row>
        <row r="6594">
          <cell r="A6594" t="str">
            <v>SN0066-M</v>
          </cell>
          <cell r="B6594" t="str">
            <v>N66</v>
          </cell>
          <cell r="C6594" t="str">
            <v>ซาติน แขนสั้นขาสั้น ลายสก็อต แดงน้ำเงิน M</v>
          </cell>
          <cell r="E6594">
            <v>0</v>
          </cell>
          <cell r="F6594">
            <v>790</v>
          </cell>
        </row>
        <row r="6595">
          <cell r="A6595" t="str">
            <v>SN0066-S</v>
          </cell>
          <cell r="B6595" t="str">
            <v>N66</v>
          </cell>
          <cell r="C6595" t="str">
            <v>ซาติน แขนสั้นขาสั้น ลายสก็อต แดงน้ำเงิน S</v>
          </cell>
          <cell r="E6595">
            <v>0</v>
          </cell>
          <cell r="F6595">
            <v>790</v>
          </cell>
        </row>
        <row r="6596">
          <cell r="A6596" t="str">
            <v>SN0067-M</v>
          </cell>
          <cell r="B6596" t="str">
            <v>N67</v>
          </cell>
          <cell r="C6596" t="str">
            <v>ซาติน แขนสั้นขาสั้น ลายสก็อต เหลืองดำ M</v>
          </cell>
          <cell r="E6596">
            <v>0</v>
          </cell>
          <cell r="F6596">
            <v>790</v>
          </cell>
        </row>
        <row r="6597">
          <cell r="A6597" t="str">
            <v>SN0073-L</v>
          </cell>
          <cell r="B6597" t="str">
            <v>N73</v>
          </cell>
          <cell r="C6597" t="str">
            <v>ซาติน แขนสั้นขาสั้น ลายผู้หญิง L</v>
          </cell>
          <cell r="E6597">
            <v>0</v>
          </cell>
          <cell r="F6597">
            <v>790</v>
          </cell>
        </row>
        <row r="6598">
          <cell r="A6598" t="str">
            <v>SN0073-XL</v>
          </cell>
          <cell r="B6598" t="str">
            <v>N73</v>
          </cell>
          <cell r="C6598" t="str">
            <v>ซาติน แขนสั้นขาสั้น ลายผู้หญิง XL</v>
          </cell>
          <cell r="E6598">
            <v>0</v>
          </cell>
          <cell r="F6598">
            <v>790</v>
          </cell>
        </row>
        <row r="6599">
          <cell r="A6599" t="str">
            <v>SN0074-L</v>
          </cell>
          <cell r="B6599" t="str">
            <v>N74</v>
          </cell>
          <cell r="C6599" t="str">
            <v>ซาติน แขนสั้นขาสั้น ฮองเฮา ม่วง L</v>
          </cell>
          <cell r="E6599">
            <v>0</v>
          </cell>
          <cell r="F6599">
            <v>790</v>
          </cell>
        </row>
        <row r="6600">
          <cell r="A6600" t="str">
            <v>SN0074-M</v>
          </cell>
          <cell r="B6600" t="str">
            <v>N74</v>
          </cell>
          <cell r="C6600" t="str">
            <v>ซาติน แขนสั้นขาสั้น ฮองเฮา ม่วง M</v>
          </cell>
          <cell r="E6600">
            <v>0</v>
          </cell>
          <cell r="F6600">
            <v>790</v>
          </cell>
        </row>
        <row r="6601">
          <cell r="A6601" t="str">
            <v>SN0075-L</v>
          </cell>
          <cell r="B6601" t="str">
            <v>N75</v>
          </cell>
          <cell r="C6601" t="str">
            <v>ซาติน แขนสั้นขาสั้น ฮองเฮา ชมพู L</v>
          </cell>
          <cell r="E6601">
            <v>0</v>
          </cell>
          <cell r="F6601">
            <v>790</v>
          </cell>
        </row>
        <row r="6602">
          <cell r="A6602" t="str">
            <v>SN0075-M</v>
          </cell>
          <cell r="B6602" t="str">
            <v>N75</v>
          </cell>
          <cell r="C6602" t="str">
            <v>ซาติน แขนสั้นขาสั้น ฮองเฮา ชมพู M</v>
          </cell>
          <cell r="E6602">
            <v>0</v>
          </cell>
          <cell r="F6602">
            <v>790</v>
          </cell>
        </row>
        <row r="6603">
          <cell r="A6603" t="str">
            <v>SN0076-L</v>
          </cell>
          <cell r="B6603" t="str">
            <v>N76</v>
          </cell>
          <cell r="C6603" t="str">
            <v>ซาติน แขนสั้นขาสั้น ผู้หญิง เสื้อชมพู L</v>
          </cell>
          <cell r="E6603">
            <v>0</v>
          </cell>
          <cell r="F6603">
            <v>790</v>
          </cell>
        </row>
        <row r="6604">
          <cell r="A6604" t="str">
            <v>SN0076-M</v>
          </cell>
          <cell r="B6604" t="str">
            <v>N76</v>
          </cell>
          <cell r="C6604" t="str">
            <v>ซาติน แขนสั้นขาสั้น ผู้หญิง เสื้อชมพู M</v>
          </cell>
          <cell r="E6604">
            <v>0</v>
          </cell>
          <cell r="F6604">
            <v>790</v>
          </cell>
        </row>
        <row r="6605">
          <cell r="A6605" t="str">
            <v>SN0077-L</v>
          </cell>
          <cell r="B6605" t="str">
            <v>N77</v>
          </cell>
          <cell r="C6605" t="str">
            <v>ซาติน แขนสั้นขาสั้น ผู้หญิง เสื้อฟ้า L</v>
          </cell>
          <cell r="E6605">
            <v>0</v>
          </cell>
          <cell r="F6605">
            <v>790</v>
          </cell>
        </row>
        <row r="6606">
          <cell r="A6606" t="str">
            <v>SN0077-M</v>
          </cell>
          <cell r="B6606" t="str">
            <v>N77</v>
          </cell>
          <cell r="C6606" t="str">
            <v>ซาติน แขนสั้นขาสั้น ผู้หญิง เสื้อฟ้า M</v>
          </cell>
          <cell r="E6606">
            <v>0</v>
          </cell>
          <cell r="F6606">
            <v>790</v>
          </cell>
        </row>
        <row r="6607">
          <cell r="A6607" t="str">
            <v>SN0078-L</v>
          </cell>
          <cell r="B6607" t="str">
            <v>N78</v>
          </cell>
          <cell r="C6607" t="str">
            <v>ซาติน แขนสั้นขาสั้น ชมพูฟ้า ปิ๊กนิก L</v>
          </cell>
          <cell r="E6607">
            <v>0</v>
          </cell>
          <cell r="F6607">
            <v>790</v>
          </cell>
        </row>
        <row r="6608">
          <cell r="A6608" t="str">
            <v>SN0078-M</v>
          </cell>
          <cell r="B6608" t="str">
            <v>N78</v>
          </cell>
          <cell r="C6608" t="str">
            <v>ซาติน แขนสั้นขาสั้น ชมพูฟ้า ปิ๊กนิก M</v>
          </cell>
          <cell r="E6608">
            <v>0</v>
          </cell>
          <cell r="F6608">
            <v>790</v>
          </cell>
        </row>
        <row r="6609">
          <cell r="A6609" t="str">
            <v>SN0078-S</v>
          </cell>
          <cell r="B6609" t="str">
            <v>N78</v>
          </cell>
          <cell r="C6609" t="str">
            <v>ซาติน แขนสั้นขาสั้น ชมพูฟ้า ปิ๊กนิก S</v>
          </cell>
          <cell r="E6609">
            <v>0</v>
          </cell>
          <cell r="F6609">
            <v>790</v>
          </cell>
        </row>
        <row r="6610">
          <cell r="A6610" t="str">
            <v>SN0079-L</v>
          </cell>
          <cell r="B6610" t="str">
            <v>N79</v>
          </cell>
          <cell r="C6610" t="str">
            <v>ซาติน แขนสั้นขาสั้น หน้ายิ้ม พื้นเขียว L</v>
          </cell>
          <cell r="E6610">
            <v>0</v>
          </cell>
          <cell r="F6610">
            <v>790</v>
          </cell>
        </row>
        <row r="6611">
          <cell r="A6611" t="str">
            <v>SN0079-M</v>
          </cell>
          <cell r="B6611" t="str">
            <v>N79</v>
          </cell>
          <cell r="C6611" t="str">
            <v>ซาติน แขนสั้นขาสั้น หน้ายิ้ม พื้นเขียว M</v>
          </cell>
          <cell r="E6611">
            <v>0</v>
          </cell>
          <cell r="F6611">
            <v>790</v>
          </cell>
        </row>
        <row r="6612">
          <cell r="A6612" t="str">
            <v>SN0085-M</v>
          </cell>
          <cell r="B6612" t="str">
            <v>N85</v>
          </cell>
          <cell r="C6612" t="str">
            <v>ซาติน แขนสั้นขาสั้น ลายดาวเหลือง พื้นสีนู๊ด M</v>
          </cell>
          <cell r="E6612">
            <v>0</v>
          </cell>
          <cell r="F6612">
            <v>790</v>
          </cell>
        </row>
        <row r="6613">
          <cell r="A6613" t="str">
            <v>SN0085-S</v>
          </cell>
          <cell r="B6613" t="str">
            <v>N85</v>
          </cell>
          <cell r="C6613" t="str">
            <v>ซาติน แขนสั้นขาสั้น ลายดาวเหลือง พื้นสีนู๊ด S</v>
          </cell>
          <cell r="E6613">
            <v>0</v>
          </cell>
          <cell r="F6613">
            <v>790</v>
          </cell>
        </row>
        <row r="6614">
          <cell r="A6614" t="str">
            <v>SN0086-L</v>
          </cell>
          <cell r="B6614" t="str">
            <v>N86</v>
          </cell>
          <cell r="C6614" t="str">
            <v>ซาติน แขนสั้นขาสั้น สีโอรส ลายดาวเดือน L</v>
          </cell>
          <cell r="E6614">
            <v>0</v>
          </cell>
          <cell r="F6614">
            <v>790</v>
          </cell>
        </row>
        <row r="6615">
          <cell r="A6615" t="str">
            <v>SN0086-M</v>
          </cell>
          <cell r="B6615" t="str">
            <v>N86</v>
          </cell>
          <cell r="C6615" t="str">
            <v>ซาติน แขนสั้นขาสั้น สีโอรส ลายดาวเดือน M</v>
          </cell>
          <cell r="E6615">
            <v>0</v>
          </cell>
          <cell r="F6615">
            <v>790</v>
          </cell>
        </row>
        <row r="6616">
          <cell r="A6616" t="str">
            <v>SN0087-2XL</v>
          </cell>
          <cell r="B6616" t="str">
            <v>N87</v>
          </cell>
          <cell r="C6616" t="str">
            <v>ซาติน แขนสั้นขาสั้น ชมพูนู้ดเข้ม ลายดาวเดือน 2XL</v>
          </cell>
          <cell r="E6616">
            <v>0</v>
          </cell>
          <cell r="F6616">
            <v>790</v>
          </cell>
        </row>
        <row r="6617">
          <cell r="A6617" t="str">
            <v>SN0087-L</v>
          </cell>
          <cell r="B6617" t="str">
            <v>N87</v>
          </cell>
          <cell r="C6617" t="str">
            <v>ซาติน แขนสั้นขาสั้น ชมพูนู้ดเข้ม ลายดาวเดือน L</v>
          </cell>
          <cell r="E6617">
            <v>0</v>
          </cell>
          <cell r="F6617">
            <v>790</v>
          </cell>
        </row>
        <row r="6618">
          <cell r="A6618" t="str">
            <v>SN0087-M</v>
          </cell>
          <cell r="B6618" t="str">
            <v>N87</v>
          </cell>
          <cell r="C6618" t="str">
            <v>ซาติน แขนสั้นขาสั้น ชมพูนู้ดเข้ม ลายดาวเดือน M</v>
          </cell>
          <cell r="E6618">
            <v>0</v>
          </cell>
          <cell r="F6618">
            <v>790</v>
          </cell>
        </row>
        <row r="6619">
          <cell r="A6619" t="str">
            <v>SN0087-XL</v>
          </cell>
          <cell r="B6619" t="str">
            <v>N87</v>
          </cell>
          <cell r="C6619" t="str">
            <v>ซาติน แขนสั้นขาสั้น ชมพูนู๊ดเข้ม ลายดาวเดือน XL</v>
          </cell>
          <cell r="E6619">
            <v>0</v>
          </cell>
          <cell r="F6619">
            <v>790</v>
          </cell>
        </row>
        <row r="6620">
          <cell r="A6620" t="str">
            <v>SN0088-L</v>
          </cell>
          <cell r="B6620" t="str">
            <v>N88</v>
          </cell>
          <cell r="C6620" t="str">
            <v>ซาติน แขนสั้นขาสั้น สีทองขอบเขียว ลายดาวเดือน L</v>
          </cell>
          <cell r="E6620">
            <v>0</v>
          </cell>
          <cell r="F6620">
            <v>790</v>
          </cell>
        </row>
        <row r="6621">
          <cell r="A6621" t="str">
            <v>SN0088-M</v>
          </cell>
          <cell r="B6621" t="str">
            <v>N88</v>
          </cell>
          <cell r="C6621" t="str">
            <v>ซาติน แขนสั้นขาสั้น สีทองขอบเขียว ลายดาวเดือน M</v>
          </cell>
          <cell r="E6621">
            <v>0</v>
          </cell>
          <cell r="F6621">
            <v>790</v>
          </cell>
        </row>
        <row r="6622">
          <cell r="A6622" t="str">
            <v>SN0088-S</v>
          </cell>
          <cell r="B6622" t="str">
            <v>N88</v>
          </cell>
          <cell r="C6622" t="str">
            <v>ซาติน แขนสั้นขาสั้น สีทองขอบเขียว ลายดาวเดือน S</v>
          </cell>
          <cell r="E6622">
            <v>0</v>
          </cell>
          <cell r="F6622">
            <v>790</v>
          </cell>
        </row>
        <row r="6623">
          <cell r="A6623" t="str">
            <v>SN0089-L</v>
          </cell>
          <cell r="B6623" t="str">
            <v>N89</v>
          </cell>
          <cell r="C6623" t="str">
            <v>ซาติน แขนสั้นขาสั้น เสือดาว พื้นเหลืองอ่อน L</v>
          </cell>
          <cell r="E6623">
            <v>0</v>
          </cell>
          <cell r="F6623">
            <v>790</v>
          </cell>
        </row>
        <row r="6624">
          <cell r="A6624" t="str">
            <v>SN0089-M</v>
          </cell>
          <cell r="B6624" t="str">
            <v>N89</v>
          </cell>
          <cell r="C6624" t="str">
            <v>ซาติน แขนสั้นขาสั้น เสือดาว พื้นเหลืองอ่อน M</v>
          </cell>
          <cell r="E6624">
            <v>0</v>
          </cell>
          <cell r="F6624">
            <v>790</v>
          </cell>
        </row>
        <row r="6625">
          <cell r="A6625" t="str">
            <v>SN0089-S</v>
          </cell>
          <cell r="B6625" t="str">
            <v>N89</v>
          </cell>
          <cell r="C6625" t="str">
            <v>ซาติน แขนสั้นขาสั้น เสือดาว พื้นเหลืองอ่อน S</v>
          </cell>
          <cell r="E6625">
            <v>0</v>
          </cell>
          <cell r="F6625">
            <v>790</v>
          </cell>
        </row>
        <row r="6626">
          <cell r="A6626" t="str">
            <v>SN0090-M</v>
          </cell>
          <cell r="B6626" t="str">
            <v>N90</v>
          </cell>
          <cell r="C6626" t="str">
            <v>ซาติน แขนสั้นขาสั้น เสือดาว พื้นฟ้าอ่อน M</v>
          </cell>
          <cell r="E6626">
            <v>0</v>
          </cell>
          <cell r="F6626">
            <v>790</v>
          </cell>
        </row>
        <row r="6627">
          <cell r="A6627" t="str">
            <v>SN0090-S</v>
          </cell>
          <cell r="B6627" t="str">
            <v>N90</v>
          </cell>
          <cell r="C6627" t="str">
            <v>ซาติน แขนสั้นขาสั้น เสือดาว พื้นฟ้าอ่อน S</v>
          </cell>
          <cell r="E6627">
            <v>0</v>
          </cell>
          <cell r="F6627">
            <v>790</v>
          </cell>
        </row>
        <row r="6628">
          <cell r="A6628" t="str">
            <v>SN0091-M</v>
          </cell>
          <cell r="B6628" t="str">
            <v>N91</v>
          </cell>
          <cell r="C6628" t="str">
            <v>ซาติน แขนสั้นขาสั้น เสือดาว พื้นกรม M</v>
          </cell>
          <cell r="E6628">
            <v>0</v>
          </cell>
          <cell r="F6628">
            <v>790</v>
          </cell>
        </row>
        <row r="6629">
          <cell r="A6629" t="str">
            <v>SN0091-S</v>
          </cell>
          <cell r="B6629" t="str">
            <v>N91</v>
          </cell>
          <cell r="C6629" t="str">
            <v>ซาติน แขนสั้นขาสั้น เสือดาว พื้นกรม S</v>
          </cell>
          <cell r="E6629">
            <v>0</v>
          </cell>
          <cell r="F6629">
            <v>790</v>
          </cell>
        </row>
        <row r="6630">
          <cell r="A6630" t="str">
            <v>SN0093-L</v>
          </cell>
          <cell r="B6630" t="str">
            <v>N93</v>
          </cell>
          <cell r="C6630" t="str">
            <v>ซาติน แขนสั้นขาสั้น น้ำตาลชมพู HEERIOUE - L</v>
          </cell>
          <cell r="E6630">
            <v>0</v>
          </cell>
          <cell r="F6630">
            <v>790</v>
          </cell>
        </row>
        <row r="6631">
          <cell r="A6631" t="str">
            <v>SN0093-M</v>
          </cell>
          <cell r="B6631" t="str">
            <v>N93</v>
          </cell>
          <cell r="C6631" t="str">
            <v>ซาติน แขนสั้นขาสั้น น้ำตาลชมพู HEERIOUE - M</v>
          </cell>
          <cell r="E6631">
            <v>0</v>
          </cell>
          <cell r="F6631">
            <v>790</v>
          </cell>
        </row>
        <row r="6632">
          <cell r="A6632" t="str">
            <v>SN0094-M</v>
          </cell>
          <cell r="B6632" t="str">
            <v>N94</v>
          </cell>
          <cell r="C6632" t="str">
            <v>ซาติน แขนสั้นขาสั้น ดำ TWINKLING - M</v>
          </cell>
          <cell r="E6632">
            <v>0</v>
          </cell>
          <cell r="F6632">
            <v>790</v>
          </cell>
        </row>
        <row r="6633">
          <cell r="A6633" t="str">
            <v>SN0094-S</v>
          </cell>
          <cell r="B6633" t="str">
            <v>N94</v>
          </cell>
          <cell r="C6633" t="str">
            <v>ซาติน แขนสั้นขาสั้น ดำ TWINKLING - S</v>
          </cell>
          <cell r="E6633">
            <v>0</v>
          </cell>
          <cell r="F6633">
            <v>790</v>
          </cell>
        </row>
        <row r="6634">
          <cell r="A6634" t="str">
            <v>SN0095-M</v>
          </cell>
          <cell r="B6634" t="str">
            <v>N95</v>
          </cell>
          <cell r="C6634" t="str">
            <v>ซาติน แขนสั้นขาสั้นชมพู TWINKLING - M</v>
          </cell>
          <cell r="E6634">
            <v>0</v>
          </cell>
          <cell r="F6634">
            <v>790</v>
          </cell>
        </row>
        <row r="6635">
          <cell r="A6635" t="str">
            <v>SN0095-S</v>
          </cell>
          <cell r="B6635" t="str">
            <v>N95</v>
          </cell>
          <cell r="C6635" t="str">
            <v>ซาติน แขนสั้นขาสั้นชมพู TWINKLING - S</v>
          </cell>
          <cell r="E6635">
            <v>0</v>
          </cell>
          <cell r="F6635">
            <v>790</v>
          </cell>
        </row>
        <row r="6636">
          <cell r="A6636" t="str">
            <v>SN0096-M</v>
          </cell>
          <cell r="B6636" t="str">
            <v>N96</v>
          </cell>
          <cell r="C6636" t="str">
            <v>ซาติน แขนสั้นขาสั้น ลาย ABC พื้นดำ M</v>
          </cell>
          <cell r="E6636">
            <v>0</v>
          </cell>
          <cell r="F6636">
            <v>790</v>
          </cell>
        </row>
        <row r="6637">
          <cell r="A6637" t="str">
            <v>SN0096-S</v>
          </cell>
          <cell r="B6637" t="str">
            <v>N96</v>
          </cell>
          <cell r="C6637" t="str">
            <v>ซาติน แขนยาวขาสั้น ลายABC พื้นดำ S</v>
          </cell>
          <cell r="E6637">
            <v>0</v>
          </cell>
          <cell r="F6637">
            <v>790</v>
          </cell>
        </row>
        <row r="6638">
          <cell r="A6638" t="str">
            <v>SN0097-M</v>
          </cell>
          <cell r="B6638" t="str">
            <v>N97</v>
          </cell>
          <cell r="C6638" t="str">
            <v>ซาติน แขนสั้นขาสั้น ลาย SV พื้นม่วง M</v>
          </cell>
          <cell r="E6638">
            <v>0</v>
          </cell>
          <cell r="F6638">
            <v>790</v>
          </cell>
        </row>
        <row r="6639">
          <cell r="A6639" t="str">
            <v>SN0097-S</v>
          </cell>
          <cell r="B6639" t="str">
            <v>N97</v>
          </cell>
          <cell r="C6639" t="str">
            <v>ซาติน แขนสั้นขาสั้น ลาย SV พื้นม่วง S</v>
          </cell>
          <cell r="E6639">
            <v>0</v>
          </cell>
          <cell r="F6639">
            <v>790</v>
          </cell>
        </row>
        <row r="6640">
          <cell r="A6640" t="str">
            <v>SN0098-S</v>
          </cell>
          <cell r="B6640" t="str">
            <v>N98</v>
          </cell>
          <cell r="C6640" t="str">
            <v>ซาติน แขนสั้นขาสั้น ลาย FF - S</v>
          </cell>
          <cell r="E6640">
            <v>0</v>
          </cell>
          <cell r="F6640">
            <v>790</v>
          </cell>
        </row>
        <row r="6641">
          <cell r="A6641" t="str">
            <v>SN0099-L</v>
          </cell>
          <cell r="B6641" t="str">
            <v>N99</v>
          </cell>
          <cell r="C6641" t="str">
            <v>ซาติน แขนสั้นขาสั้น พื้นขาว ตัว V L</v>
          </cell>
          <cell r="E6641">
            <v>0</v>
          </cell>
          <cell r="F6641">
            <v>790</v>
          </cell>
        </row>
        <row r="6642">
          <cell r="A6642" t="str">
            <v>SN0099-M</v>
          </cell>
          <cell r="B6642" t="str">
            <v>N99</v>
          </cell>
          <cell r="C6642" t="str">
            <v>ซาติน แขนสั้นขาสั้น พื้นขาว ตัว V M</v>
          </cell>
          <cell r="E6642">
            <v>0</v>
          </cell>
          <cell r="F6642">
            <v>790</v>
          </cell>
        </row>
        <row r="6643">
          <cell r="A6643" t="str">
            <v>SN0100-L</v>
          </cell>
          <cell r="B6643" t="str">
            <v>N100</v>
          </cell>
          <cell r="C6643" t="str">
            <v>ซาติน แขนสั้นขาสั้น พื้นดำ ตัว V L</v>
          </cell>
          <cell r="E6643">
            <v>0</v>
          </cell>
          <cell r="F6643">
            <v>790</v>
          </cell>
        </row>
        <row r="6644">
          <cell r="A6644" t="str">
            <v>SN0100-M</v>
          </cell>
          <cell r="B6644" t="str">
            <v>N100</v>
          </cell>
          <cell r="C6644" t="str">
            <v>ซาติน แขนสั้นขาสั้น พื้นดำ ตัว V M</v>
          </cell>
          <cell r="E6644">
            <v>0</v>
          </cell>
          <cell r="F6644">
            <v>790</v>
          </cell>
        </row>
        <row r="6645">
          <cell r="A6645" t="str">
            <v>SN0103-M</v>
          </cell>
          <cell r="B6645" t="str">
            <v>N103</v>
          </cell>
          <cell r="C6645" t="str">
            <v>ซาติน แขนสั้นขาสั้น ลายโซ่ M</v>
          </cell>
          <cell r="E6645">
            <v>0</v>
          </cell>
          <cell r="F6645">
            <v>790</v>
          </cell>
        </row>
        <row r="6646">
          <cell r="A6646" t="str">
            <v>SN0103-S</v>
          </cell>
          <cell r="B6646" t="str">
            <v>N103</v>
          </cell>
          <cell r="C6646" t="str">
            <v>ซาติน แขนสั้นขาสั้น ลายโซ่ S</v>
          </cell>
          <cell r="E6646">
            <v>0</v>
          </cell>
          <cell r="F6646">
            <v>790</v>
          </cell>
        </row>
        <row r="6647">
          <cell r="A6647" t="str">
            <v>SN0109-L</v>
          </cell>
          <cell r="B6647" t="str">
            <v>N109</v>
          </cell>
          <cell r="C6647" t="str">
            <v>ซาติน แขนสั้นขาสั้น ขาวระบายครีม L</v>
          </cell>
          <cell r="E6647">
            <v>0</v>
          </cell>
          <cell r="F6647">
            <v>790</v>
          </cell>
        </row>
        <row r="6648">
          <cell r="A6648" t="str">
            <v>SN0109-M</v>
          </cell>
          <cell r="B6648" t="str">
            <v>N109</v>
          </cell>
          <cell r="C6648" t="str">
            <v>ซาติน แขนสั้นขาสั้น ขาวระบายครีม M</v>
          </cell>
          <cell r="E6648">
            <v>0</v>
          </cell>
          <cell r="F6648">
            <v>790</v>
          </cell>
        </row>
        <row r="6649">
          <cell r="A6649" t="str">
            <v>SN0109-XL</v>
          </cell>
          <cell r="B6649" t="str">
            <v>N109</v>
          </cell>
          <cell r="C6649" t="str">
            <v>ซาติน แขนสั้นขาสั้น ขาวระบายครีม XL</v>
          </cell>
          <cell r="E6649">
            <v>0</v>
          </cell>
          <cell r="F6649">
            <v>790</v>
          </cell>
        </row>
        <row r="6650">
          <cell r="A6650" t="str">
            <v>SN0110-L</v>
          </cell>
          <cell r="B6650" t="str">
            <v>N110</v>
          </cell>
          <cell r="C6650" t="str">
            <v>ซาติน แขนสั้นขาสั้น ครีม ระบายขาว L</v>
          </cell>
          <cell r="E6650">
            <v>0</v>
          </cell>
          <cell r="F6650">
            <v>790</v>
          </cell>
        </row>
        <row r="6651">
          <cell r="A6651" t="str">
            <v>SN0110-M</v>
          </cell>
          <cell r="B6651" t="str">
            <v>N110</v>
          </cell>
          <cell r="C6651" t="str">
            <v>ซาติน แขนสั้นขาสั้น ครีม ระบายขาว M</v>
          </cell>
          <cell r="E6651">
            <v>0</v>
          </cell>
          <cell r="F6651">
            <v>790</v>
          </cell>
        </row>
        <row r="6652">
          <cell r="A6652" t="str">
            <v>SN0110-XL</v>
          </cell>
          <cell r="B6652" t="str">
            <v>N110</v>
          </cell>
          <cell r="C6652" t="str">
            <v>ซาติน แขนสั้นขาสั้น ครีม ระบายขาว XL</v>
          </cell>
          <cell r="E6652">
            <v>0</v>
          </cell>
          <cell r="F6652">
            <v>790</v>
          </cell>
        </row>
        <row r="6653">
          <cell r="A6653" t="str">
            <v>SN0111-L</v>
          </cell>
          <cell r="B6653" t="str">
            <v>N111</v>
          </cell>
          <cell r="C6653" t="str">
            <v>ซาติน แขนสั้นขาสั้น ฟ้าเข้มระบายชมพู L</v>
          </cell>
          <cell r="E6653">
            <v>0</v>
          </cell>
          <cell r="F6653">
            <v>790</v>
          </cell>
        </row>
        <row r="6654">
          <cell r="A6654" t="str">
            <v>SN0111-M</v>
          </cell>
          <cell r="B6654" t="str">
            <v>N111</v>
          </cell>
          <cell r="C6654" t="str">
            <v>ซาติน แขนสั้นขาสั้น ฟ้าเข้มระบายชมพู M</v>
          </cell>
          <cell r="E6654">
            <v>0</v>
          </cell>
          <cell r="F6654">
            <v>790</v>
          </cell>
        </row>
        <row r="6655">
          <cell r="A6655" t="str">
            <v>SN0111-XL</v>
          </cell>
          <cell r="B6655" t="str">
            <v>N111</v>
          </cell>
          <cell r="C6655" t="str">
            <v>ซาติน แขนสั้นขาสั้น ฟ้าเข้มระบายชมพู XL</v>
          </cell>
          <cell r="E6655">
            <v>0</v>
          </cell>
          <cell r="F6655">
            <v>790</v>
          </cell>
        </row>
        <row r="6656">
          <cell r="A6656" t="str">
            <v>SN0112-L</v>
          </cell>
          <cell r="B6656" t="str">
            <v>N112</v>
          </cell>
          <cell r="C6656" t="str">
            <v>ซาติน แขนสั้นขาสั้น สีฟ้า ระบายชมพู L</v>
          </cell>
          <cell r="E6656">
            <v>0</v>
          </cell>
          <cell r="F6656">
            <v>790</v>
          </cell>
        </row>
        <row r="6657">
          <cell r="A6657" t="str">
            <v>SN0112-M</v>
          </cell>
          <cell r="B6657" t="str">
            <v>N112</v>
          </cell>
          <cell r="C6657" t="str">
            <v>ซาติน แขนสั้นขาสั้น สีฟ้า ระบายชมพู M</v>
          </cell>
          <cell r="E6657">
            <v>0</v>
          </cell>
          <cell r="F6657">
            <v>590</v>
          </cell>
        </row>
        <row r="6658">
          <cell r="A6658" t="str">
            <v>SN0112-XL</v>
          </cell>
          <cell r="B6658" t="str">
            <v>N112</v>
          </cell>
          <cell r="C6658" t="str">
            <v>ซาติน แขนสั้นขาสั้น สีฟ้า ระบายชมพู XL</v>
          </cell>
          <cell r="E6658">
            <v>0</v>
          </cell>
          <cell r="F6658">
            <v>790</v>
          </cell>
        </row>
        <row r="6659">
          <cell r="A6659" t="str">
            <v>SN0113-L</v>
          </cell>
          <cell r="B6659" t="str">
            <v>N113</v>
          </cell>
          <cell r="C6659" t="str">
            <v>ซาติน แขนสั้นขาสั้น สีกรม ระบายชมพู L</v>
          </cell>
          <cell r="E6659">
            <v>0</v>
          </cell>
          <cell r="F6659">
            <v>790</v>
          </cell>
        </row>
        <row r="6660">
          <cell r="A6660" t="str">
            <v>SN0113-M</v>
          </cell>
          <cell r="B6660" t="str">
            <v>N113</v>
          </cell>
          <cell r="C6660" t="str">
            <v>ซาติน แขนสั้นขาสั้น สีกรม ระบายชมพู M</v>
          </cell>
          <cell r="E6660">
            <v>0</v>
          </cell>
          <cell r="F6660">
            <v>790</v>
          </cell>
        </row>
        <row r="6661">
          <cell r="A6661" t="str">
            <v>SN01146-2XL</v>
          </cell>
          <cell r="B6661" t="str">
            <v>N1146</v>
          </cell>
          <cell r="C6661" t="str">
            <v>ซาติน แขนสั้นขาสั้น Pinky Flowers คอปกชมพูอ่อน 2XL</v>
          </cell>
          <cell r="E6661">
            <v>0</v>
          </cell>
          <cell r="F6661">
            <v>790</v>
          </cell>
        </row>
        <row r="6662">
          <cell r="A6662" t="str">
            <v>SN01146-L</v>
          </cell>
          <cell r="B6662" t="str">
            <v>N1146</v>
          </cell>
          <cell r="C6662" t="str">
            <v>ซาติน แขนสั้นขาสั้น Pinky Flowers คอปกชมพูอ่อน L</v>
          </cell>
          <cell r="E6662">
            <v>0</v>
          </cell>
          <cell r="F6662">
            <v>790</v>
          </cell>
        </row>
        <row r="6663">
          <cell r="A6663" t="str">
            <v>SN01146-M</v>
          </cell>
          <cell r="B6663" t="str">
            <v>N1146</v>
          </cell>
          <cell r="C6663" t="str">
            <v>ซาติน แขนสั้นขาสั้น Pinky Flowers คอปกชมพูอ่อน M</v>
          </cell>
          <cell r="E6663">
            <v>0</v>
          </cell>
          <cell r="F6663">
            <v>790</v>
          </cell>
        </row>
        <row r="6664">
          <cell r="A6664" t="str">
            <v>SN01146-XL</v>
          </cell>
          <cell r="B6664" t="str">
            <v>N1146</v>
          </cell>
          <cell r="C6664" t="str">
            <v>ซาติน แขนสั้นขาสั้น Pinky Flowers คอปกชมพูอ่อน XL</v>
          </cell>
          <cell r="E6664">
            <v>0</v>
          </cell>
          <cell r="F6664">
            <v>790</v>
          </cell>
        </row>
        <row r="6665">
          <cell r="A6665" t="str">
            <v>SN0117-2XL</v>
          </cell>
          <cell r="B6665" t="str">
            <v>N117</v>
          </cell>
          <cell r="C6665" t="str">
            <v>ซาติน แขนสั้นขาสั้น สีครีม คอบัว ม่วง 2XL</v>
          </cell>
          <cell r="E6665">
            <v>0</v>
          </cell>
          <cell r="F6665">
            <v>790</v>
          </cell>
        </row>
        <row r="6666">
          <cell r="A6666" t="str">
            <v>SN0117-L</v>
          </cell>
          <cell r="B6666" t="str">
            <v>N117</v>
          </cell>
          <cell r="C6666" t="str">
            <v>ซาติน แขนสั้นขาสั้น สีครีม คอบัว ม่วง L</v>
          </cell>
          <cell r="E6666">
            <v>0</v>
          </cell>
          <cell r="F6666">
            <v>790</v>
          </cell>
        </row>
        <row r="6667">
          <cell r="A6667" t="str">
            <v>SN0117-M</v>
          </cell>
          <cell r="B6667" t="str">
            <v>N117</v>
          </cell>
          <cell r="C6667" t="str">
            <v>ซาติน แขนสั้นขาสั้น สีครีม คอบัว ม่วง M</v>
          </cell>
          <cell r="E6667">
            <v>0</v>
          </cell>
          <cell r="F6667">
            <v>790</v>
          </cell>
        </row>
        <row r="6668">
          <cell r="A6668" t="str">
            <v>SN0117-XL</v>
          </cell>
          <cell r="B6668" t="str">
            <v>N117</v>
          </cell>
          <cell r="C6668" t="str">
            <v>ซาติน แขนสั้นขาสั้น สีครีม คอบัว ม่วง XL</v>
          </cell>
          <cell r="E6668">
            <v>0</v>
          </cell>
          <cell r="F6668">
            <v>790</v>
          </cell>
        </row>
        <row r="6669">
          <cell r="A6669" t="str">
            <v>SN0120-L</v>
          </cell>
          <cell r="B6669" t="str">
            <v>N120</v>
          </cell>
          <cell r="C6669" t="str">
            <v>ซาติน แขนสั้นขาสั้น คอบัว สีม่วง L</v>
          </cell>
          <cell r="E6669">
            <v>0</v>
          </cell>
          <cell r="F6669">
            <v>790</v>
          </cell>
        </row>
        <row r="6670">
          <cell r="A6670" t="str">
            <v>SN0120-M</v>
          </cell>
          <cell r="B6670" t="str">
            <v>N120</v>
          </cell>
          <cell r="C6670" t="str">
            <v>ซาติน แขนสั้นขาสั้น คอบัว สีม่วง M</v>
          </cell>
          <cell r="E6670">
            <v>0</v>
          </cell>
          <cell r="F6670">
            <v>790</v>
          </cell>
        </row>
        <row r="6671">
          <cell r="A6671" t="str">
            <v>SN0120-S</v>
          </cell>
          <cell r="B6671" t="str">
            <v>N120</v>
          </cell>
          <cell r="C6671" t="str">
            <v>ซาติน แขนสั้นขาสั้น คอบัว สีม่วง S</v>
          </cell>
          <cell r="E6671">
            <v>0</v>
          </cell>
          <cell r="F6671">
            <v>790</v>
          </cell>
        </row>
        <row r="6672">
          <cell r="A6672" t="str">
            <v>SN0120-XL</v>
          </cell>
          <cell r="B6672" t="str">
            <v>N120</v>
          </cell>
          <cell r="C6672" t="str">
            <v>ซาติน แขนสั้นขาสั้น คอบัว สีม่วง XL</v>
          </cell>
          <cell r="E6672">
            <v>0</v>
          </cell>
          <cell r="F6672">
            <v>790</v>
          </cell>
        </row>
        <row r="6673">
          <cell r="A6673" t="str">
            <v>SN0121-L</v>
          </cell>
          <cell r="B6673" t="str">
            <v>N121</v>
          </cell>
          <cell r="C6673" t="str">
            <v>ซาติน แขนสั้นขาสั้น คอบัว สีครีม L</v>
          </cell>
          <cell r="E6673">
            <v>0</v>
          </cell>
          <cell r="F6673">
            <v>790</v>
          </cell>
        </row>
        <row r="6674">
          <cell r="A6674" t="str">
            <v>SN0121-M</v>
          </cell>
          <cell r="B6674" t="str">
            <v>N121</v>
          </cell>
          <cell r="C6674" t="str">
            <v>ซาติน แขนสั้นขาสั้น คอบัว สีครีม M</v>
          </cell>
          <cell r="E6674">
            <v>0</v>
          </cell>
          <cell r="F6674">
            <v>790</v>
          </cell>
        </row>
        <row r="6675">
          <cell r="A6675" t="str">
            <v>SN0121-S</v>
          </cell>
          <cell r="B6675" t="str">
            <v>N121</v>
          </cell>
          <cell r="C6675" t="str">
            <v>ซาติน แขนสั้นขาสั้น คอบัว สีครีม S</v>
          </cell>
          <cell r="E6675">
            <v>0</v>
          </cell>
          <cell r="F6675">
            <v>790</v>
          </cell>
        </row>
        <row r="6676">
          <cell r="A6676" t="str">
            <v>SN0121-XL</v>
          </cell>
          <cell r="B6676" t="str">
            <v>N121</v>
          </cell>
          <cell r="C6676" t="str">
            <v>ซาติน แขนสั้นขาสั้น คอบัว สีครีม XL</v>
          </cell>
          <cell r="E6676">
            <v>0</v>
          </cell>
          <cell r="F6676">
            <v>790</v>
          </cell>
        </row>
        <row r="6677">
          <cell r="A6677" t="str">
            <v>SN0122-L</v>
          </cell>
          <cell r="B6677" t="str">
            <v>N122</v>
          </cell>
          <cell r="C6677" t="str">
            <v>ซาติน แขนสั้นขาสั้น คอบัว เขียวใบตอง L</v>
          </cell>
          <cell r="E6677">
            <v>0</v>
          </cell>
          <cell r="F6677">
            <v>790</v>
          </cell>
        </row>
        <row r="6678">
          <cell r="A6678" t="str">
            <v>SN0122-M</v>
          </cell>
          <cell r="B6678" t="str">
            <v>N122</v>
          </cell>
          <cell r="C6678" t="str">
            <v>ซาติน แขนสั้นขาสั้น คอบัว เขียวใบตอง M</v>
          </cell>
          <cell r="E6678">
            <v>0</v>
          </cell>
          <cell r="F6678">
            <v>790</v>
          </cell>
        </row>
        <row r="6679">
          <cell r="A6679" t="str">
            <v>SN0122-S</v>
          </cell>
          <cell r="B6679" t="str">
            <v>N122</v>
          </cell>
          <cell r="C6679" t="str">
            <v>ซาติน แขนสั้นขาสั้น คอบัว เขียวใบตอง S</v>
          </cell>
          <cell r="E6679">
            <v>0</v>
          </cell>
          <cell r="F6679">
            <v>790</v>
          </cell>
        </row>
        <row r="6680">
          <cell r="A6680" t="str">
            <v>SN0122-XL</v>
          </cell>
          <cell r="B6680" t="str">
            <v>N122</v>
          </cell>
          <cell r="C6680" t="str">
            <v>ซาติน แขนสั้นขาสั้น คอบัว เขียวใบตอง XL</v>
          </cell>
          <cell r="E6680">
            <v>0</v>
          </cell>
          <cell r="F6680">
            <v>790</v>
          </cell>
        </row>
        <row r="6681">
          <cell r="A6681" t="str">
            <v>SN0123-L</v>
          </cell>
          <cell r="B6681" t="str">
            <v>N123</v>
          </cell>
          <cell r="C6681" t="str">
            <v>ซาติน แขนสั้นขาสั้น เขียวอ่อน คอพริก L</v>
          </cell>
          <cell r="E6681">
            <v>0</v>
          </cell>
          <cell r="F6681">
            <v>790</v>
          </cell>
        </row>
        <row r="6682">
          <cell r="A6682" t="str">
            <v>SN0123-M</v>
          </cell>
          <cell r="B6682" t="str">
            <v>N123</v>
          </cell>
          <cell r="C6682" t="str">
            <v>ซาติน แขนสั้นขาสั้น เขียวอ่อน คอพริก M</v>
          </cell>
          <cell r="E6682">
            <v>0</v>
          </cell>
          <cell r="F6682">
            <v>790</v>
          </cell>
        </row>
        <row r="6683">
          <cell r="A6683" t="str">
            <v>SN0124-L</v>
          </cell>
          <cell r="B6683" t="str">
            <v>N124</v>
          </cell>
          <cell r="C6683" t="str">
            <v>ซาติน แขนสั้นขาสั้น ชมพูอ่อน คอพริก L</v>
          </cell>
          <cell r="E6683">
            <v>0</v>
          </cell>
          <cell r="F6683">
            <v>790</v>
          </cell>
        </row>
        <row r="6684">
          <cell r="A6684" t="str">
            <v>SN0124-M</v>
          </cell>
          <cell r="B6684" t="str">
            <v>N124</v>
          </cell>
          <cell r="C6684" t="str">
            <v>ซาติน แขนสั้นขาสั้น ชมพูอ่อน คอพริก M</v>
          </cell>
          <cell r="E6684">
            <v>0</v>
          </cell>
          <cell r="F6684">
            <v>790</v>
          </cell>
        </row>
        <row r="6685">
          <cell r="A6685" t="str">
            <v>SN0125-L</v>
          </cell>
          <cell r="B6685" t="str">
            <v>N125</v>
          </cell>
          <cell r="C6685" t="str">
            <v>ซาติน แขนสั้นขาสั้น ลายหัวใจ ชมพูอ่อน L</v>
          </cell>
          <cell r="E6685">
            <v>0</v>
          </cell>
          <cell r="F6685">
            <v>790</v>
          </cell>
        </row>
        <row r="6686">
          <cell r="A6686" t="str">
            <v>SN0125-M</v>
          </cell>
          <cell r="B6686" t="str">
            <v>N125</v>
          </cell>
          <cell r="C6686" t="str">
            <v>ซาติน แขนสั้นขาสั้น ลายหัวใจ ชมพูอ่อน M</v>
          </cell>
          <cell r="E6686">
            <v>0</v>
          </cell>
          <cell r="F6686">
            <v>790</v>
          </cell>
        </row>
        <row r="6687">
          <cell r="A6687" t="str">
            <v>SN0126-M</v>
          </cell>
          <cell r="B6687" t="str">
            <v>N126</v>
          </cell>
          <cell r="C6687" t="str">
            <v>ซาติน แขนสั้นขาสั้น แพนด้า M</v>
          </cell>
          <cell r="E6687">
            <v>0</v>
          </cell>
          <cell r="F6687">
            <v>790</v>
          </cell>
        </row>
        <row r="6688">
          <cell r="A6688" t="str">
            <v>SN0126-S</v>
          </cell>
          <cell r="B6688" t="str">
            <v>N126</v>
          </cell>
          <cell r="C6688" t="str">
            <v>ซาติน แขนสั้นขาสั้น แพนด้า S</v>
          </cell>
          <cell r="E6688">
            <v>0</v>
          </cell>
          <cell r="F6688">
            <v>790</v>
          </cell>
        </row>
        <row r="6689">
          <cell r="A6689" t="str">
            <v>SN0128-2XL</v>
          </cell>
          <cell r="B6689" t="str">
            <v>N128</v>
          </cell>
          <cell r="C6689" t="str">
            <v>ซาติน แขนสั้นขาสั้น ผีเสื้อดอกไม้ เขียว 2XL</v>
          </cell>
          <cell r="E6689">
            <v>0</v>
          </cell>
          <cell r="F6689">
            <v>790</v>
          </cell>
        </row>
        <row r="6690">
          <cell r="A6690" t="str">
            <v>SN0128-L</v>
          </cell>
          <cell r="B6690" t="str">
            <v>N128</v>
          </cell>
          <cell r="C6690" t="str">
            <v>ซาติน แขนสั้นขาสั้น ผีเสื้อดอกไม้ เขียว L</v>
          </cell>
          <cell r="E6690">
            <v>0</v>
          </cell>
          <cell r="F6690">
            <v>790</v>
          </cell>
        </row>
        <row r="6691">
          <cell r="A6691" t="str">
            <v>SN0128-M</v>
          </cell>
          <cell r="B6691" t="str">
            <v>N128</v>
          </cell>
          <cell r="C6691" t="str">
            <v>ซาติน แขนสั้นขาสั้น ผีเสื้อดอกไม้ เขียว M</v>
          </cell>
          <cell r="E6691">
            <v>0</v>
          </cell>
          <cell r="F6691">
            <v>790</v>
          </cell>
        </row>
        <row r="6692">
          <cell r="A6692" t="str">
            <v>SN0128-XL</v>
          </cell>
          <cell r="B6692" t="str">
            <v>N128</v>
          </cell>
          <cell r="C6692" t="str">
            <v>ซาติน แขนสั้นขาสั้น ผีเสื้อดอกไม้ เขียว XL</v>
          </cell>
          <cell r="E6692">
            <v>0</v>
          </cell>
          <cell r="F6692">
            <v>790</v>
          </cell>
        </row>
        <row r="6693">
          <cell r="A6693" t="str">
            <v>SN0129-L</v>
          </cell>
          <cell r="B6693" t="str">
            <v>N129</v>
          </cell>
          <cell r="C6693" t="str">
            <v>ซาติน แขนสั้นขาสั้น ลายหัวใจ ชมพูนู๊ด L</v>
          </cell>
          <cell r="E6693">
            <v>0</v>
          </cell>
          <cell r="F6693">
            <v>790</v>
          </cell>
        </row>
        <row r="6694">
          <cell r="A6694" t="str">
            <v>SN0129-M</v>
          </cell>
          <cell r="B6694" t="str">
            <v>N129</v>
          </cell>
          <cell r="C6694" t="str">
            <v>ซาติน แขนสั้นขาสั้น ลายหัวใจ ชมพูนู๊ด M</v>
          </cell>
          <cell r="E6694">
            <v>0</v>
          </cell>
          <cell r="F6694">
            <v>790</v>
          </cell>
        </row>
        <row r="6695">
          <cell r="A6695" t="str">
            <v>SN0130-M</v>
          </cell>
          <cell r="B6695" t="str">
            <v>N130</v>
          </cell>
          <cell r="C6695" t="str">
            <v>ซาติน แขนสี่ส่วน ขาสั้น ปิเตอร์แพน M</v>
          </cell>
          <cell r="E6695">
            <v>0</v>
          </cell>
          <cell r="F6695">
            <v>790</v>
          </cell>
        </row>
        <row r="6696">
          <cell r="A6696" t="str">
            <v>SN0130-S</v>
          </cell>
          <cell r="B6696" t="str">
            <v>N130</v>
          </cell>
          <cell r="C6696" t="str">
            <v>ซาติน แขนสี่ส่วน ขาสั้น ปิเตอร์แพน S</v>
          </cell>
          <cell r="E6696">
            <v>0</v>
          </cell>
          <cell r="F6696">
            <v>790</v>
          </cell>
        </row>
        <row r="6697">
          <cell r="A6697" t="str">
            <v>SN0133-L</v>
          </cell>
          <cell r="B6697" t="str">
            <v>N133</v>
          </cell>
          <cell r="C6697" t="str">
            <v>ซาติน แขนสั้นขาสั้น หมีกางเกงจุดน้ำตาล L</v>
          </cell>
          <cell r="E6697">
            <v>0</v>
          </cell>
          <cell r="F6697">
            <v>790</v>
          </cell>
        </row>
        <row r="6698">
          <cell r="A6698" t="str">
            <v>SN0133-M</v>
          </cell>
          <cell r="B6698" t="str">
            <v>N133</v>
          </cell>
          <cell r="C6698" t="str">
            <v>ซาติน แขนสั้นขาสั้น หมีกางเกงจุดน้ำตาล M</v>
          </cell>
          <cell r="E6698">
            <v>0</v>
          </cell>
          <cell r="F6698">
            <v>790</v>
          </cell>
        </row>
        <row r="6699">
          <cell r="A6699" t="str">
            <v>SN0134-L</v>
          </cell>
          <cell r="B6699" t="str">
            <v>N134</v>
          </cell>
          <cell r="C6699" t="str">
            <v>ซาติน แขนสั้นขาสั้น หมีกางเกงจุดเขียว L</v>
          </cell>
          <cell r="E6699">
            <v>0</v>
          </cell>
          <cell r="F6699">
            <v>790</v>
          </cell>
        </row>
        <row r="6700">
          <cell r="A6700" t="str">
            <v>SN0134-M</v>
          </cell>
          <cell r="B6700" t="str">
            <v>N134</v>
          </cell>
          <cell r="C6700" t="str">
            <v>ซาติน แขนสั้นขาสั้น หมีกางเกงจุดเขียว M</v>
          </cell>
          <cell r="E6700">
            <v>0</v>
          </cell>
          <cell r="F6700">
            <v>790</v>
          </cell>
        </row>
        <row r="6701">
          <cell r="A6701" t="str">
            <v>SN0137-L</v>
          </cell>
          <cell r="B6701" t="str">
            <v>N137</v>
          </cell>
          <cell r="C6701" t="str">
            <v>ซาติน แขนสั้นขาสั้น พื้นชมพู L</v>
          </cell>
          <cell r="E6701">
            <v>0</v>
          </cell>
          <cell r="F6701">
            <v>790</v>
          </cell>
        </row>
        <row r="6702">
          <cell r="A6702" t="str">
            <v>SN0137-M</v>
          </cell>
          <cell r="B6702" t="str">
            <v>N137</v>
          </cell>
          <cell r="C6702" t="str">
            <v>ซาติน แขนสั้นขาสั้น พื้นชมพู M</v>
          </cell>
          <cell r="E6702">
            <v>0</v>
          </cell>
          <cell r="F6702">
            <v>790</v>
          </cell>
        </row>
        <row r="6703">
          <cell r="A6703" t="str">
            <v>SN0138-L</v>
          </cell>
          <cell r="B6703" t="str">
            <v>N138</v>
          </cell>
          <cell r="C6703" t="str">
            <v>ซาติน แขนสั้นขาสั้น พื้นเขียว L</v>
          </cell>
          <cell r="E6703">
            <v>0</v>
          </cell>
          <cell r="F6703">
            <v>790</v>
          </cell>
        </row>
        <row r="6704">
          <cell r="A6704" t="str">
            <v>SN0138-M</v>
          </cell>
          <cell r="B6704" t="str">
            <v>N138</v>
          </cell>
          <cell r="C6704" t="str">
            <v>ซาติน แขนสั้นขาสั้น พื้นเขียว M</v>
          </cell>
          <cell r="E6704">
            <v>0</v>
          </cell>
          <cell r="F6704">
            <v>790</v>
          </cell>
        </row>
        <row r="6705">
          <cell r="A6705" t="str">
            <v>SN0142-L</v>
          </cell>
          <cell r="B6705" t="str">
            <v>JN142</v>
          </cell>
          <cell r="C6705" t="str">
            <v>ซาติน แขนสั้นขาสั้น เหลืองขอบเขียวลายหัวใจ L ตัวโชว์</v>
          </cell>
          <cell r="E6705">
            <v>0</v>
          </cell>
          <cell r="F6705">
            <v>790</v>
          </cell>
        </row>
        <row r="6706">
          <cell r="A6706" t="str">
            <v>SN0142-M</v>
          </cell>
          <cell r="B6706" t="str">
            <v>JN142</v>
          </cell>
          <cell r="C6706" t="str">
            <v>ซาติน แขนสั้นขาสั้น เหลืองขอบเขียวลายหัวใจ M ตัวโชว์</v>
          </cell>
          <cell r="E6706">
            <v>0</v>
          </cell>
          <cell r="F6706">
            <v>790</v>
          </cell>
        </row>
        <row r="6707">
          <cell r="A6707" t="str">
            <v>SN0181-L</v>
          </cell>
          <cell r="B6707" t="str">
            <v>N181</v>
          </cell>
          <cell r="C6707" t="str">
            <v>ซาติน แขนสั้นขาสั้น สีครีม ขอบเงิน L</v>
          </cell>
          <cell r="E6707">
            <v>0</v>
          </cell>
          <cell r="F6707">
            <v>790</v>
          </cell>
        </row>
        <row r="6708">
          <cell r="A6708" t="str">
            <v>SN0181-M</v>
          </cell>
          <cell r="B6708" t="str">
            <v>N181</v>
          </cell>
          <cell r="C6708" t="str">
            <v>ซาติน แขนสั้นขาสั้น สีครีม ขอบเงิน M</v>
          </cell>
          <cell r="E6708">
            <v>0</v>
          </cell>
          <cell r="F6708">
            <v>790</v>
          </cell>
        </row>
        <row r="6709">
          <cell r="A6709" t="str">
            <v>SN0183-L</v>
          </cell>
          <cell r="B6709" t="str">
            <v>N183</v>
          </cell>
          <cell r="C6709" t="str">
            <v>ซาติน แขนสั้นขาสั้น กระเป๋าหัวใจพื้นฟ้า L</v>
          </cell>
          <cell r="E6709">
            <v>0</v>
          </cell>
          <cell r="F6709">
            <v>790</v>
          </cell>
        </row>
        <row r="6710">
          <cell r="A6710" t="str">
            <v>SN0183-M</v>
          </cell>
          <cell r="B6710" t="str">
            <v>N183</v>
          </cell>
          <cell r="C6710" t="str">
            <v>ซาติน แขนสั้นขาสั้น กระเป๋าหัวใจพื้นฟ้า M</v>
          </cell>
          <cell r="E6710">
            <v>0</v>
          </cell>
          <cell r="F6710">
            <v>790</v>
          </cell>
        </row>
        <row r="6711">
          <cell r="A6711" t="str">
            <v>SN0184-L</v>
          </cell>
          <cell r="B6711" t="str">
            <v>N184</v>
          </cell>
          <cell r="C6711" t="str">
            <v>ซาติน แขนสั้นขาสั้น ลายทางชมพู โบว์ดำ L</v>
          </cell>
          <cell r="E6711">
            <v>0</v>
          </cell>
          <cell r="F6711">
            <v>790</v>
          </cell>
        </row>
        <row r="6712">
          <cell r="A6712" t="str">
            <v>SN0184-M</v>
          </cell>
          <cell r="B6712" t="str">
            <v>N184</v>
          </cell>
          <cell r="C6712" t="str">
            <v>ซาติน แขนสั้นขาสั้น ลายทางชมพู โบว์ดำ M</v>
          </cell>
          <cell r="E6712">
            <v>0</v>
          </cell>
          <cell r="F6712">
            <v>790</v>
          </cell>
        </row>
        <row r="6713">
          <cell r="A6713" t="str">
            <v>SN0185-M</v>
          </cell>
          <cell r="B6713" t="str">
            <v>N185</v>
          </cell>
          <cell r="C6713" t="str">
            <v>ซาติน แขนสั้นขาสั้น ชมพูหัวใจ ขอบดำ M</v>
          </cell>
          <cell r="E6713">
            <v>0</v>
          </cell>
          <cell r="F6713">
            <v>790</v>
          </cell>
        </row>
        <row r="6714">
          <cell r="A6714" t="str">
            <v>SN0187-L</v>
          </cell>
          <cell r="B6714" t="str">
            <v>N187</v>
          </cell>
          <cell r="C6714" t="str">
            <v>[AJ]  ซาติน แขนสั้นขาสั้น สีฟ้า ขอบชมพู L</v>
          </cell>
          <cell r="E6714">
            <v>0</v>
          </cell>
          <cell r="F6714">
            <v>790</v>
          </cell>
        </row>
        <row r="6715">
          <cell r="A6715" t="str">
            <v>SN0187-M</v>
          </cell>
          <cell r="B6715" t="str">
            <v>N187</v>
          </cell>
          <cell r="C6715" t="str">
            <v>ซาตินแขนสั้นขาสั้น สีฟ้า ขอบชมพู M</v>
          </cell>
          <cell r="E6715">
            <v>0</v>
          </cell>
          <cell r="F6715">
            <v>790</v>
          </cell>
        </row>
        <row r="6716">
          <cell r="A6716" t="str">
            <v>SN0191-F</v>
          </cell>
          <cell r="B6716" t="str">
            <v>N191</v>
          </cell>
          <cell r="C6716" t="str">
            <v>ซาติน แขนสั้นขาสั้น ดอกไม้น้ำเงิน ฟรีไซด์</v>
          </cell>
          <cell r="E6716">
            <v>0</v>
          </cell>
          <cell r="F6716">
            <v>790</v>
          </cell>
        </row>
        <row r="6717">
          <cell r="A6717" t="str">
            <v>SN0192-L</v>
          </cell>
          <cell r="B6717" t="str">
            <v>N192</v>
          </cell>
          <cell r="C6717" t="str">
            <v>ซาติน แขนสั้นขาสั้น พื้นชมพู ตัว V L</v>
          </cell>
          <cell r="E6717">
            <v>0</v>
          </cell>
          <cell r="F6717">
            <v>790</v>
          </cell>
        </row>
        <row r="6718">
          <cell r="A6718" t="str">
            <v>SN0192-M</v>
          </cell>
          <cell r="B6718" t="str">
            <v>N192</v>
          </cell>
          <cell r="C6718" t="str">
            <v>ซาติน แขนสั้นขาสั้น พื้นชมพู ตัว V M</v>
          </cell>
          <cell r="E6718">
            <v>0</v>
          </cell>
          <cell r="F6718">
            <v>790</v>
          </cell>
        </row>
        <row r="6719">
          <cell r="A6719" t="str">
            <v>SN0193-F</v>
          </cell>
          <cell r="B6719" t="str">
            <v>N193</v>
          </cell>
          <cell r="C6719" t="str">
            <v>ซาติน แขนสั้นขาสั้น ไข่ดาว สีฟ้า ฟรีไซส์</v>
          </cell>
          <cell r="E6719">
            <v>0</v>
          </cell>
          <cell r="F6719">
            <v>790</v>
          </cell>
        </row>
        <row r="6720">
          <cell r="A6720" t="str">
            <v>SN0193-L</v>
          </cell>
          <cell r="B6720" t="str">
            <v>N193</v>
          </cell>
          <cell r="C6720" t="str">
            <v>ซาติน แขนสั้นขาสั้น ไข่ดาว สีฟ้า L</v>
          </cell>
          <cell r="E6720">
            <v>0</v>
          </cell>
          <cell r="F6720">
            <v>790</v>
          </cell>
        </row>
        <row r="6721">
          <cell r="A6721" t="str">
            <v>SN0193-M</v>
          </cell>
          <cell r="B6721" t="str">
            <v>N193</v>
          </cell>
          <cell r="C6721" t="str">
            <v>ซาติน แขนสั้นขาสั้น ไข่ดาว สีฟ้า M</v>
          </cell>
          <cell r="E6721">
            <v>0</v>
          </cell>
          <cell r="F6721">
            <v>790</v>
          </cell>
        </row>
        <row r="6722">
          <cell r="A6722" t="str">
            <v>SN0196-L</v>
          </cell>
          <cell r="B6722" t="str">
            <v>N196</v>
          </cell>
          <cell r="C6722" t="str">
            <v>ซาติน แขนสั้นขาสั้น เหลือง ระบายขาว L</v>
          </cell>
          <cell r="E6722">
            <v>0</v>
          </cell>
          <cell r="F6722">
            <v>790</v>
          </cell>
        </row>
        <row r="6723">
          <cell r="A6723" t="str">
            <v>SN0196-M</v>
          </cell>
          <cell r="B6723" t="str">
            <v>N196</v>
          </cell>
          <cell r="C6723" t="str">
            <v>ซาติน แขนสั้นขาสั้น เหลือง ระบายขาว M</v>
          </cell>
          <cell r="E6723">
            <v>0</v>
          </cell>
          <cell r="F6723">
            <v>790</v>
          </cell>
        </row>
        <row r="6724">
          <cell r="A6724" t="str">
            <v>SN0197-L</v>
          </cell>
          <cell r="B6724" t="str">
            <v>N197</v>
          </cell>
          <cell r="C6724" t="str">
            <v>ซาติน แขนสั้นขาสั้น ฟ้าทะเล ระบายครีม L</v>
          </cell>
          <cell r="E6724">
            <v>0</v>
          </cell>
          <cell r="F6724">
            <v>790</v>
          </cell>
        </row>
        <row r="6725">
          <cell r="A6725" t="str">
            <v>SN0197-M</v>
          </cell>
          <cell r="B6725" t="str">
            <v>N197</v>
          </cell>
          <cell r="C6725" t="str">
            <v>ซาติน แขนสั้นขาสั้น ฟ้าทะเล ระบายครีม M</v>
          </cell>
          <cell r="E6725">
            <v>0</v>
          </cell>
          <cell r="F6725">
            <v>790</v>
          </cell>
        </row>
        <row r="6726">
          <cell r="A6726" t="str">
            <v>SN0198-L</v>
          </cell>
          <cell r="B6726" t="str">
            <v>N198</v>
          </cell>
          <cell r="C6726" t="str">
            <v>ซาติน แขนสั้นขาสั้น แมวฟ้าส้ม พื้นขาว กางเกงฟ้า L</v>
          </cell>
          <cell r="E6726">
            <v>0</v>
          </cell>
          <cell r="F6726">
            <v>790</v>
          </cell>
        </row>
        <row r="6727">
          <cell r="A6727" t="str">
            <v>SN0198-M</v>
          </cell>
          <cell r="B6727" t="str">
            <v>JN198</v>
          </cell>
          <cell r="C6727" t="str">
            <v>ซาติน แขนสั้นขาสั้น แมวฟ้าส้ม พื้นขาวกางเกงฟ้า M ตัวโชว์</v>
          </cell>
          <cell r="E6727">
            <v>0</v>
          </cell>
          <cell r="F6727">
            <v>790</v>
          </cell>
        </row>
        <row r="6728">
          <cell r="A6728" t="str">
            <v>SN0199-L</v>
          </cell>
          <cell r="B6728" t="str">
            <v>N199</v>
          </cell>
          <cell r="C6728" t="str">
            <v>ซาติน แขนสั้นขาสั้น สตรอเบอร์รี่ ดอกไม้ พื้นชมพู L</v>
          </cell>
          <cell r="E6728">
            <v>0</v>
          </cell>
          <cell r="F6728">
            <v>790</v>
          </cell>
        </row>
        <row r="6729">
          <cell r="A6729" t="str">
            <v>SN0199-M</v>
          </cell>
          <cell r="B6729" t="str">
            <v>N199</v>
          </cell>
          <cell r="C6729" t="str">
            <v>ซาติน แขนสั้นขาสั้น สตรอเบอร์รี่ ดอกไม้ พื้นชมพู M</v>
          </cell>
          <cell r="E6729">
            <v>0</v>
          </cell>
          <cell r="F6729">
            <v>790</v>
          </cell>
        </row>
        <row r="6730">
          <cell r="A6730" t="str">
            <v>SN0200-L</v>
          </cell>
          <cell r="B6730" t="str">
            <v>N200</v>
          </cell>
          <cell r="C6730" t="str">
            <v>ซาติน แขนสั้นขาสั้น สตรอเบอร์รี่ ดอกไม้ พื้นขาว L</v>
          </cell>
          <cell r="E6730">
            <v>0</v>
          </cell>
          <cell r="F6730">
            <v>790</v>
          </cell>
        </row>
        <row r="6731">
          <cell r="A6731" t="str">
            <v>SN0200-M</v>
          </cell>
          <cell r="B6731" t="str">
            <v>N200</v>
          </cell>
          <cell r="C6731" t="str">
            <v>ซาติน แขนสั้นขาสั้น สตรอเบอร์รี่ ดอกไม้ พื้นขาว M</v>
          </cell>
          <cell r="E6731">
            <v>0</v>
          </cell>
          <cell r="F6731">
            <v>790</v>
          </cell>
        </row>
        <row r="6732">
          <cell r="A6732" t="str">
            <v>SN0201-L</v>
          </cell>
          <cell r="B6732" t="str">
            <v>N201</v>
          </cell>
          <cell r="C6732" t="str">
            <v>ซาติน แขนสั้นขาสั้น คอแขนระบายขาว พื้นเขียว L</v>
          </cell>
          <cell r="E6732">
            <v>0</v>
          </cell>
          <cell r="F6732">
            <v>790</v>
          </cell>
        </row>
        <row r="6733">
          <cell r="A6733" t="str">
            <v>SN0201-M</v>
          </cell>
          <cell r="B6733" t="str">
            <v>N201</v>
          </cell>
          <cell r="C6733" t="str">
            <v>ซาติน แขนสั้นขาสั้น คอแขนระบายขาว พื้นเขียว M</v>
          </cell>
          <cell r="E6733">
            <v>0</v>
          </cell>
          <cell r="F6733">
            <v>790</v>
          </cell>
        </row>
        <row r="6734">
          <cell r="A6734" t="str">
            <v>SN0202-L</v>
          </cell>
          <cell r="B6734" t="str">
            <v>N202</v>
          </cell>
          <cell r="C6734" t="str">
            <v>ซาติน แขนสั้นขาสั้น คอแขนระบายเขียว พื้นชมพู L</v>
          </cell>
          <cell r="E6734">
            <v>0</v>
          </cell>
          <cell r="F6734">
            <v>790</v>
          </cell>
        </row>
        <row r="6735">
          <cell r="A6735" t="str">
            <v>SN0202-M</v>
          </cell>
          <cell r="B6735" t="str">
            <v>N202</v>
          </cell>
          <cell r="C6735" t="str">
            <v>ซาติน แขนสั้นขาสั้น คอแขนระบายเขียว พื้นชมพู M</v>
          </cell>
          <cell r="E6735">
            <v>0</v>
          </cell>
          <cell r="F6735">
            <v>790</v>
          </cell>
        </row>
        <row r="6736">
          <cell r="A6736" t="str">
            <v>SN0203-L</v>
          </cell>
          <cell r="B6736" t="str">
            <v>N203</v>
          </cell>
          <cell r="C6736" t="str">
            <v>ซาติน แขนสั้นขาสั้น คอแขนระบายชมพู พื้นขาว L</v>
          </cell>
          <cell r="E6736">
            <v>0</v>
          </cell>
          <cell r="F6736">
            <v>790</v>
          </cell>
        </row>
        <row r="6737">
          <cell r="A6737" t="str">
            <v>SN0203-M</v>
          </cell>
          <cell r="B6737" t="str">
            <v>N203</v>
          </cell>
          <cell r="C6737" t="str">
            <v>ซาติน แขนสั้นขาสั้น คอแขนระบายชมพู พื้นขาว M</v>
          </cell>
          <cell r="E6737">
            <v>0</v>
          </cell>
          <cell r="F6737">
            <v>790</v>
          </cell>
        </row>
        <row r="6738">
          <cell r="A6738" t="str">
            <v>SN0204-F</v>
          </cell>
          <cell r="B6738" t="str">
            <v>N204</v>
          </cell>
          <cell r="C6738" t="str">
            <v>ซาตินแขนสั้นขาสั้น พื้นกรม หัวใจ แขนขาลูกไม้ ฟรีไซส์</v>
          </cell>
          <cell r="E6738">
            <v>0</v>
          </cell>
          <cell r="F6738">
            <v>790</v>
          </cell>
        </row>
        <row r="6739">
          <cell r="A6739" t="str">
            <v>SN0205-F</v>
          </cell>
          <cell r="B6739" t="str">
            <v>N205</v>
          </cell>
          <cell r="C6739" t="str">
            <v>ซาตินแขนสั้นขาสั้น พื้นชมพู หัวใจ แขนขาลูกไม้ ฟรีไซส์</v>
          </cell>
          <cell r="E6739">
            <v>0</v>
          </cell>
          <cell r="F6739">
            <v>790</v>
          </cell>
        </row>
        <row r="6740">
          <cell r="A6740" t="str">
            <v>SN0209-F</v>
          </cell>
          <cell r="B6740" t="str">
            <v>N209</v>
          </cell>
          <cell r="C6740" t="str">
            <v>ซาตินแขนสั้นขาสั้น พื้นดำ หัวใจ แขนขาลูกไม้ ฟรีไซส์</v>
          </cell>
          <cell r="E6740">
            <v>0</v>
          </cell>
          <cell r="F6740">
            <v>790</v>
          </cell>
        </row>
        <row r="6741">
          <cell r="A6741" t="str">
            <v>SN0212-L</v>
          </cell>
          <cell r="B6741" t="str">
            <v>N212</v>
          </cell>
          <cell r="C6741" t="str">
            <v>ซาติน แขนสั้นขาสั้น ลายทางชมพู L</v>
          </cell>
          <cell r="E6741">
            <v>0</v>
          </cell>
          <cell r="F6741">
            <v>790</v>
          </cell>
        </row>
        <row r="6742">
          <cell r="A6742" t="str">
            <v>SN0212-M</v>
          </cell>
          <cell r="B6742" t="str">
            <v>N212</v>
          </cell>
          <cell r="C6742" t="str">
            <v>ซาติน แขนสั้นขาสั้น ลายทางชมพู M</v>
          </cell>
          <cell r="E6742">
            <v>0</v>
          </cell>
          <cell r="F6742">
            <v>790</v>
          </cell>
        </row>
        <row r="6743">
          <cell r="A6743" t="str">
            <v>SN0213-L</v>
          </cell>
          <cell r="B6743" t="str">
            <v>N213</v>
          </cell>
          <cell r="C6743" t="str">
            <v>ซาติน แขนสั้นขาสั้น สีโอรสขอบเงินลายหัวใจ L</v>
          </cell>
          <cell r="E6743">
            <v>0</v>
          </cell>
          <cell r="F6743">
            <v>790</v>
          </cell>
        </row>
        <row r="6744">
          <cell r="A6744" t="str">
            <v>SN0213-M</v>
          </cell>
          <cell r="B6744" t="str">
            <v>N213</v>
          </cell>
          <cell r="C6744" t="str">
            <v>ซาติน แขนสั้นขาสั้น สีโอรสขอบเงินลายหัวใจ M</v>
          </cell>
          <cell r="E6744">
            <v>0</v>
          </cell>
          <cell r="F6744">
            <v>790</v>
          </cell>
        </row>
        <row r="6745">
          <cell r="A6745" t="str">
            <v>SN0214-L</v>
          </cell>
          <cell r="B6745" t="str">
            <v>N214</v>
          </cell>
          <cell r="C6745" t="str">
            <v>ซาติน แขนสั้นขาสั้น สีชมพูนู๊ดขอบเงินลายหัวใจ L</v>
          </cell>
          <cell r="E6745">
            <v>0</v>
          </cell>
          <cell r="F6745">
            <v>790</v>
          </cell>
        </row>
        <row r="6746">
          <cell r="A6746" t="str">
            <v>SN0214-M</v>
          </cell>
          <cell r="B6746" t="str">
            <v>N214</v>
          </cell>
          <cell r="C6746" t="str">
            <v>ซาติน แขนสั้นขาสั้น สีชมพูนู๊ดขอบเงินลายหัวใจ M</v>
          </cell>
          <cell r="E6746">
            <v>0</v>
          </cell>
          <cell r="F6746">
            <v>790</v>
          </cell>
        </row>
        <row r="6747">
          <cell r="A6747" t="str">
            <v>SN0215-2XL</v>
          </cell>
          <cell r="B6747" t="str">
            <v>N215</v>
          </cell>
          <cell r="C6747" t="str">
            <v>ซาติน แขนสั้นขาสั้น ตารางม่วง คอม่วง 2XL</v>
          </cell>
          <cell r="E6747">
            <v>0</v>
          </cell>
          <cell r="F6747">
            <v>790</v>
          </cell>
        </row>
        <row r="6748">
          <cell r="A6748" t="str">
            <v>SN0215-L</v>
          </cell>
          <cell r="B6748" t="str">
            <v>N215</v>
          </cell>
          <cell r="C6748" t="str">
            <v>ซาติน แขนสั้นขาสั้น ตารางม่วง คอม่วง L</v>
          </cell>
          <cell r="E6748">
            <v>0</v>
          </cell>
          <cell r="F6748">
            <v>790</v>
          </cell>
        </row>
        <row r="6749">
          <cell r="A6749" t="str">
            <v>SN0215-M</v>
          </cell>
          <cell r="B6749" t="str">
            <v>N215</v>
          </cell>
          <cell r="C6749" t="str">
            <v>ซาติน แขนสั้นขาสั้น ตารางม่วง คอม่วง M</v>
          </cell>
          <cell r="E6749">
            <v>0</v>
          </cell>
          <cell r="F6749">
            <v>790</v>
          </cell>
        </row>
        <row r="6750">
          <cell r="A6750" t="str">
            <v>SN0215-XL</v>
          </cell>
          <cell r="B6750" t="str">
            <v>N215</v>
          </cell>
          <cell r="C6750" t="str">
            <v>ซาติน แขนสั้นขาสั้น ตารางม่วง คอม่วง XL</v>
          </cell>
          <cell r="E6750">
            <v>0</v>
          </cell>
          <cell r="F6750">
            <v>790</v>
          </cell>
        </row>
        <row r="6751">
          <cell r="A6751" t="str">
            <v>SN0217-L</v>
          </cell>
          <cell r="B6751" t="str">
            <v>N217</v>
          </cell>
          <cell r="C6751" t="str">
            <v>ซาติน สั้นสั้น เทาอ่อนลายดาวเดือน คอบัว L</v>
          </cell>
          <cell r="E6751">
            <v>0</v>
          </cell>
          <cell r="F6751">
            <v>790</v>
          </cell>
        </row>
        <row r="6752">
          <cell r="A6752" t="str">
            <v>SN0217-M</v>
          </cell>
          <cell r="B6752" t="str">
            <v>N217</v>
          </cell>
          <cell r="C6752" t="str">
            <v>ซาติน สั้นสั้น เทาอ่อนลายดาวเดือน คอบัว M</v>
          </cell>
          <cell r="E6752">
            <v>0</v>
          </cell>
          <cell r="F6752">
            <v>790</v>
          </cell>
        </row>
        <row r="6753">
          <cell r="A6753" t="str">
            <v>SN0218-L</v>
          </cell>
          <cell r="B6753" t="str">
            <v>N218</v>
          </cell>
          <cell r="C6753" t="str">
            <v>ซาติน สั้นสั้น โอรสลายดาวเดือน คอบัว L</v>
          </cell>
          <cell r="E6753">
            <v>0</v>
          </cell>
          <cell r="F6753">
            <v>790</v>
          </cell>
        </row>
        <row r="6754">
          <cell r="A6754" t="str">
            <v>SN0218-M</v>
          </cell>
          <cell r="B6754" t="str">
            <v>N218</v>
          </cell>
          <cell r="C6754" t="str">
            <v>ซาติน สั้นสั้น โอรสลายดาวเดือน คอบัว M</v>
          </cell>
          <cell r="E6754">
            <v>0</v>
          </cell>
          <cell r="F6754">
            <v>790</v>
          </cell>
        </row>
        <row r="6755">
          <cell r="A6755" t="str">
            <v>SN0230-L</v>
          </cell>
          <cell r="B6755" t="str">
            <v>N230</v>
          </cell>
          <cell r="C6755" t="str">
            <v>ซาติน แขนสั้นขาสั้น แมวฟ้าส้ม พื้นขาว กางเกงชมพู L</v>
          </cell>
          <cell r="E6755">
            <v>0</v>
          </cell>
          <cell r="F6755">
            <v>790</v>
          </cell>
        </row>
        <row r="6756">
          <cell r="A6756" t="str">
            <v>SN0230-M</v>
          </cell>
          <cell r="B6756" t="str">
            <v>JN230</v>
          </cell>
          <cell r="C6756" t="str">
            <v>ซาติน แขนสั้นขาสั้น แมวฟ้าส้ม พื้นขาว กางเกงชมพู M ตัวโชว์</v>
          </cell>
          <cell r="E6756">
            <v>0</v>
          </cell>
          <cell r="F6756">
            <v>790</v>
          </cell>
        </row>
        <row r="6757">
          <cell r="A6757" t="str">
            <v>SN0231-L</v>
          </cell>
          <cell r="B6757" t="str">
            <v>N231</v>
          </cell>
          <cell r="C6757" t="str">
            <v>ซาติน แขนสั้นขาสั้น หัวใจดวงใหญ่ พื้นชมพู L</v>
          </cell>
          <cell r="E6757">
            <v>0</v>
          </cell>
          <cell r="F6757">
            <v>790</v>
          </cell>
        </row>
        <row r="6758">
          <cell r="A6758" t="str">
            <v>SN0231-M</v>
          </cell>
          <cell r="B6758" t="str">
            <v>N231</v>
          </cell>
          <cell r="C6758" t="str">
            <v>ซาติน แขนสั้นขาสั้น หัวใจดวงใหญ่ พื้นชมพู M</v>
          </cell>
          <cell r="E6758">
            <v>0</v>
          </cell>
          <cell r="F6758">
            <v>790</v>
          </cell>
        </row>
        <row r="6759">
          <cell r="A6759" t="str">
            <v>SN0232-L</v>
          </cell>
          <cell r="B6759" t="str">
            <v>N232</v>
          </cell>
          <cell r="C6759" t="str">
            <v>ซาติน แขนสั้นขาสั้น หัวใจดวงใหญ่ พื้นขาว L</v>
          </cell>
          <cell r="E6759">
            <v>0</v>
          </cell>
          <cell r="F6759">
            <v>790</v>
          </cell>
        </row>
        <row r="6760">
          <cell r="A6760" t="str">
            <v>SN0232-M</v>
          </cell>
          <cell r="B6760" t="str">
            <v>N232</v>
          </cell>
          <cell r="C6760" t="str">
            <v>ซาติน แขนสั้นขาสั้น หัวใจดวงใหญ่ พื้นขาว M</v>
          </cell>
          <cell r="E6760">
            <v>0</v>
          </cell>
          <cell r="F6760">
            <v>790</v>
          </cell>
        </row>
        <row r="6761">
          <cell r="A6761" t="str">
            <v>SN0233-M</v>
          </cell>
          <cell r="B6761" t="str">
            <v>N233</v>
          </cell>
          <cell r="C6761" t="str">
            <v>ซาติน แขนสั้นขาสั้น ตารางชมพู ปกเขียว M</v>
          </cell>
          <cell r="E6761">
            <v>0</v>
          </cell>
          <cell r="F6761">
            <v>790</v>
          </cell>
        </row>
        <row r="6762">
          <cell r="A6762" t="str">
            <v>SN0234-M</v>
          </cell>
          <cell r="B6762" t="str">
            <v>N234</v>
          </cell>
          <cell r="C6762" t="str">
            <v>ซาติน แขนสี่ส่วนกางเกงสั้น ตารางเขียว ปกชมพู M</v>
          </cell>
          <cell r="E6762">
            <v>0</v>
          </cell>
          <cell r="F6762">
            <v>790</v>
          </cell>
        </row>
        <row r="6763">
          <cell r="A6763" t="str">
            <v>SN0234-S</v>
          </cell>
          <cell r="B6763" t="str">
            <v>N234</v>
          </cell>
          <cell r="C6763" t="str">
            <v>ซาติน แขนสี่ส่วนกางเกงสั้น ตารางเขียว ปกชมพู S</v>
          </cell>
          <cell r="E6763">
            <v>0</v>
          </cell>
          <cell r="F6763">
            <v>790</v>
          </cell>
        </row>
        <row r="6764">
          <cell r="A6764" t="str">
            <v>SN0235-L</v>
          </cell>
          <cell r="B6764" t="str">
            <v>N235</v>
          </cell>
          <cell r="C6764" t="str">
            <v>ซาติน สั้นสั้น ยูนิคอร์น พื้นฟ้า L</v>
          </cell>
          <cell r="E6764">
            <v>0</v>
          </cell>
          <cell r="F6764">
            <v>790</v>
          </cell>
        </row>
        <row r="6765">
          <cell r="A6765" t="str">
            <v>SN0235-M</v>
          </cell>
          <cell r="B6765" t="str">
            <v>N235</v>
          </cell>
          <cell r="C6765" t="str">
            <v>ซาติน สั้นสั้น ยูนิคอร์น พื้นฟ้า M</v>
          </cell>
          <cell r="E6765">
            <v>0</v>
          </cell>
          <cell r="F6765">
            <v>790</v>
          </cell>
        </row>
        <row r="6766">
          <cell r="A6766" t="str">
            <v>SN0236-L</v>
          </cell>
          <cell r="B6766" t="str">
            <v>N236</v>
          </cell>
          <cell r="C6766" t="str">
            <v>ซาติน สั้นสั้น ยูนิคอร์น พื้นชมพู ม่วง L</v>
          </cell>
          <cell r="E6766">
            <v>0</v>
          </cell>
          <cell r="F6766">
            <v>790</v>
          </cell>
        </row>
        <row r="6767">
          <cell r="A6767" t="str">
            <v>SN0236-M</v>
          </cell>
          <cell r="B6767" t="str">
            <v>N236</v>
          </cell>
          <cell r="C6767" t="str">
            <v>ซาติน สั้นสั้น ยูนิคอร์น พื้นชมพู ม่วง M</v>
          </cell>
          <cell r="E6767">
            <v>0</v>
          </cell>
          <cell r="F6767">
            <v>790</v>
          </cell>
        </row>
        <row r="6768">
          <cell r="A6768" t="str">
            <v>SN0237-2XL</v>
          </cell>
          <cell r="B6768" t="str">
            <v>N237</v>
          </cell>
          <cell r="C6768" t="str">
            <v>ซาติน แขนสั้นขาสั้น ภาพวาด 2XL</v>
          </cell>
          <cell r="E6768">
            <v>0</v>
          </cell>
          <cell r="F6768">
            <v>790</v>
          </cell>
        </row>
        <row r="6769">
          <cell r="A6769" t="str">
            <v>SN0237-L</v>
          </cell>
          <cell r="B6769" t="str">
            <v>N237</v>
          </cell>
          <cell r="C6769" t="str">
            <v>ซาติน แขนสั้นขาสั้น ภาพวาด L</v>
          </cell>
          <cell r="E6769">
            <v>0</v>
          </cell>
          <cell r="F6769">
            <v>790</v>
          </cell>
        </row>
        <row r="6770">
          <cell r="A6770" t="str">
            <v>SN0237-M</v>
          </cell>
          <cell r="B6770" t="str">
            <v>N237</v>
          </cell>
          <cell r="C6770" t="str">
            <v>ซาติน แขนสั้นขาสั้น ภาพวาด M</v>
          </cell>
          <cell r="E6770">
            <v>0</v>
          </cell>
          <cell r="F6770">
            <v>790</v>
          </cell>
        </row>
        <row r="6771">
          <cell r="A6771" t="str">
            <v>SN0237-XL</v>
          </cell>
          <cell r="B6771" t="str">
            <v>N237</v>
          </cell>
          <cell r="C6771" t="str">
            <v>ซาติน แขนสั้นขาสั้น ภาพวาด XL</v>
          </cell>
          <cell r="E6771">
            <v>0</v>
          </cell>
          <cell r="F6771">
            <v>790</v>
          </cell>
        </row>
        <row r="6772">
          <cell r="A6772" t="str">
            <v>SN0240-L</v>
          </cell>
          <cell r="B6772" t="str">
            <v>N240</v>
          </cell>
          <cell r="C6772" t="str">
            <v>ซาติน  แขนสั้นขาสั้น จุดดำ พื้นครีม L</v>
          </cell>
          <cell r="E6772">
            <v>0</v>
          </cell>
          <cell r="F6772">
            <v>790</v>
          </cell>
        </row>
        <row r="6773">
          <cell r="A6773" t="str">
            <v>SN0242-L</v>
          </cell>
          <cell r="B6773" t="str">
            <v>N242</v>
          </cell>
          <cell r="C6773" t="str">
            <v>ซาติน แขนสั้นขาสั้น หมีพื้นเขียว คอปกครีม L</v>
          </cell>
          <cell r="E6773">
            <v>0</v>
          </cell>
          <cell r="F6773">
            <v>790</v>
          </cell>
        </row>
        <row r="6774">
          <cell r="A6774" t="str">
            <v>SN0242-M</v>
          </cell>
          <cell r="B6774" t="str">
            <v>N242</v>
          </cell>
          <cell r="C6774" t="str">
            <v>ซาติน แขนสั้นขาสั้น หมีพื้นเขียว คอปกครีม M</v>
          </cell>
          <cell r="E6774">
            <v>0</v>
          </cell>
          <cell r="F6774">
            <v>790</v>
          </cell>
        </row>
        <row r="6775">
          <cell r="A6775" t="str">
            <v>SN0246-2XL</v>
          </cell>
          <cell r="B6775" t="str">
            <v>N246</v>
          </cell>
          <cell r="C6775" t="str">
            <v>ซาติน แขนสั้นขาสั้น เสือ ชมพู 2XL</v>
          </cell>
          <cell r="E6775">
            <v>0</v>
          </cell>
          <cell r="F6775">
            <v>790</v>
          </cell>
        </row>
        <row r="6776">
          <cell r="A6776" t="str">
            <v>SN0246-L</v>
          </cell>
          <cell r="B6776" t="str">
            <v>N246</v>
          </cell>
          <cell r="C6776" t="str">
            <v>ซาติน แขนสั้นขาสั้น เสือ ชมพู L</v>
          </cell>
          <cell r="E6776">
            <v>0</v>
          </cell>
          <cell r="F6776">
            <v>790</v>
          </cell>
        </row>
        <row r="6777">
          <cell r="A6777" t="str">
            <v>SN0246-M</v>
          </cell>
          <cell r="B6777" t="str">
            <v>N246</v>
          </cell>
          <cell r="C6777" t="str">
            <v>ซาติน แขนสั้นขาสั้น เสือ ชมพู M</v>
          </cell>
          <cell r="E6777">
            <v>0</v>
          </cell>
          <cell r="F6777">
            <v>790</v>
          </cell>
        </row>
        <row r="6778">
          <cell r="A6778" t="str">
            <v>SN0246-XL</v>
          </cell>
          <cell r="B6778" t="str">
            <v>N246</v>
          </cell>
          <cell r="C6778" t="str">
            <v>ซาติน แขนสั้นขาสั้น เสือ ชมพู XL</v>
          </cell>
          <cell r="E6778">
            <v>0</v>
          </cell>
          <cell r="F6778">
            <v>790</v>
          </cell>
        </row>
        <row r="6779">
          <cell r="A6779" t="str">
            <v>SN0251-L</v>
          </cell>
          <cell r="B6779" t="str">
            <v>JN251</v>
          </cell>
          <cell r="C6779" t="str">
            <v>ซาติน แขนสั้นขาสั้น กระต่ายฟ้า L ตัวโชว์</v>
          </cell>
          <cell r="E6779">
            <v>0</v>
          </cell>
          <cell r="F6779">
            <v>790</v>
          </cell>
        </row>
        <row r="6780">
          <cell r="A6780" t="str">
            <v>SN0251-M</v>
          </cell>
          <cell r="B6780" t="str">
            <v>JN251</v>
          </cell>
          <cell r="C6780" t="str">
            <v>ซาติน แขนสั้นขาสั้น กระต่ายฟ้า M ตัวโชว์</v>
          </cell>
          <cell r="E6780">
            <v>0</v>
          </cell>
          <cell r="F6780">
            <v>790</v>
          </cell>
        </row>
        <row r="6781">
          <cell r="A6781" t="str">
            <v>SN0252-L</v>
          </cell>
          <cell r="B6781" t="str">
            <v>N252</v>
          </cell>
          <cell r="C6781" t="str">
            <v>ซาติน แขนสั้นขาสั้น กระต่ายชมพู L</v>
          </cell>
          <cell r="E6781">
            <v>0</v>
          </cell>
          <cell r="F6781">
            <v>790</v>
          </cell>
        </row>
        <row r="6782">
          <cell r="A6782" t="str">
            <v>SN0252-M</v>
          </cell>
          <cell r="B6782" t="str">
            <v>N252</v>
          </cell>
          <cell r="C6782" t="str">
            <v>ซาติน แขนสั้นขาสั้น กระต่ายชมพู M</v>
          </cell>
          <cell r="E6782">
            <v>0</v>
          </cell>
          <cell r="F6782">
            <v>790</v>
          </cell>
        </row>
        <row r="6783">
          <cell r="A6783" t="str">
            <v>SN0255-L</v>
          </cell>
          <cell r="B6783" t="str">
            <v>N255</v>
          </cell>
          <cell r="C6783" t="str">
            <v>ซาติน แขนสั้นขาสั้น ซากูระขาว พื้นเขียว&amp;nbsp;L</v>
          </cell>
          <cell r="E6783">
            <v>0</v>
          </cell>
          <cell r="F6783">
            <v>790</v>
          </cell>
        </row>
        <row r="6784">
          <cell r="A6784" t="str">
            <v>SN0255-M</v>
          </cell>
          <cell r="B6784" t="str">
            <v>N255</v>
          </cell>
          <cell r="C6784" t="str">
            <v>ซาติน แขนสั้นขาสั้น ซากูระขาว พื้นเขียว&amp;nbsp;M</v>
          </cell>
          <cell r="E6784">
            <v>0</v>
          </cell>
          <cell r="F6784">
            <v>790</v>
          </cell>
        </row>
        <row r="6785">
          <cell r="A6785" t="str">
            <v>SN0256-L</v>
          </cell>
          <cell r="B6785" t="str">
            <v>N256</v>
          </cell>
          <cell r="C6785" t="str">
            <v>ซาติน แขนสั้นขาสั้น ซากูระชมพู  L</v>
          </cell>
          <cell r="E6785">
            <v>0</v>
          </cell>
          <cell r="F6785">
            <v>790</v>
          </cell>
        </row>
        <row r="6786">
          <cell r="A6786" t="str">
            <v>SN0256-M</v>
          </cell>
          <cell r="B6786" t="str">
            <v>N256</v>
          </cell>
          <cell r="C6786" t="str">
            <v>ซาติน แขนสั้นขาสั้น ซากูระชมพู  M</v>
          </cell>
          <cell r="E6786">
            <v>0</v>
          </cell>
          <cell r="F6786">
            <v>790</v>
          </cell>
        </row>
        <row r="6787">
          <cell r="A6787" t="str">
            <v>SN0257-L</v>
          </cell>
          <cell r="B6787" t="str">
            <v>N257</v>
          </cell>
          <cell r="C6787" t="str">
            <v>ซาติน แขนสั้นขาสั้น หัวใจดำ พื้นครีม L (กปก)</v>
          </cell>
          <cell r="E6787">
            <v>0</v>
          </cell>
          <cell r="F6787">
            <v>790</v>
          </cell>
        </row>
        <row r="6788">
          <cell r="A6788" t="str">
            <v>SN0257-M</v>
          </cell>
          <cell r="B6788" t="str">
            <v>N257</v>
          </cell>
          <cell r="C6788" t="str">
            <v>ซาติน แขนสั้นขาสั้น หัวใจดำ พื้นครีม M (กปก)</v>
          </cell>
          <cell r="E6788">
            <v>0</v>
          </cell>
          <cell r="F6788">
            <v>790</v>
          </cell>
        </row>
        <row r="6789">
          <cell r="A6789" t="str">
            <v>SN0259-L</v>
          </cell>
          <cell r="B6789" t="str">
            <v>N259</v>
          </cell>
          <cell r="C6789" t="str">
            <v>ซาติน แขนสั้นขาสั้น แรคคูน ปกเหลือง L</v>
          </cell>
          <cell r="E6789">
            <v>0</v>
          </cell>
          <cell r="F6789">
            <v>790</v>
          </cell>
        </row>
        <row r="6790">
          <cell r="A6790" t="str">
            <v>SN0260-L</v>
          </cell>
          <cell r="B6790" t="str">
            <v>N260</v>
          </cell>
          <cell r="C6790" t="str">
            <v>ซาติน แขนสั้นขาสั้น แรคคูน ปกแดง L</v>
          </cell>
          <cell r="E6790">
            <v>0</v>
          </cell>
          <cell r="F6790">
            <v>790</v>
          </cell>
        </row>
        <row r="6791">
          <cell r="A6791" t="str">
            <v>SN0260-M</v>
          </cell>
          <cell r="B6791" t="str">
            <v>N260</v>
          </cell>
          <cell r="C6791" t="str">
            <v>ซาติน แขนสั้นขาสั้น แรคคูน ปกแดง M</v>
          </cell>
          <cell r="E6791">
            <v>0</v>
          </cell>
          <cell r="F6791">
            <v>790</v>
          </cell>
        </row>
        <row r="6792">
          <cell r="A6792" t="str">
            <v>SN0261-L</v>
          </cell>
          <cell r="B6792" t="str">
            <v>N261</v>
          </cell>
          <cell r="C6792" t="str">
            <v>ซาติน แขนสั้นขาสั้น เสือ ขาว L</v>
          </cell>
          <cell r="E6792">
            <v>0</v>
          </cell>
          <cell r="F6792">
            <v>790</v>
          </cell>
        </row>
        <row r="6793">
          <cell r="A6793" t="str">
            <v>SN0269-2XL</v>
          </cell>
          <cell r="B6793" t="str">
            <v>N269</v>
          </cell>
          <cell r="C6793" t="str">
            <v>ซาติน แขนสั้นขาสั้น เสือดำ 2XL</v>
          </cell>
          <cell r="E6793">
            <v>0</v>
          </cell>
          <cell r="F6793">
            <v>790</v>
          </cell>
        </row>
        <row r="6794">
          <cell r="A6794" t="str">
            <v>SN0269-L</v>
          </cell>
          <cell r="B6794" t="str">
            <v>N269</v>
          </cell>
          <cell r="C6794" t="str">
            <v>ซาติน แขนสั้นขาสั้น เสือดำ L</v>
          </cell>
          <cell r="E6794">
            <v>0</v>
          </cell>
          <cell r="F6794">
            <v>790</v>
          </cell>
        </row>
        <row r="6795">
          <cell r="A6795" t="str">
            <v>SN0269-M</v>
          </cell>
          <cell r="B6795" t="str">
            <v>N269</v>
          </cell>
          <cell r="C6795" t="str">
            <v>ซาติน แขนสั้นขาสั้น เสือดำ M</v>
          </cell>
          <cell r="E6795">
            <v>0</v>
          </cell>
          <cell r="F6795">
            <v>790</v>
          </cell>
        </row>
        <row r="6796">
          <cell r="A6796" t="str">
            <v>SN0269-XL</v>
          </cell>
          <cell r="B6796" t="str">
            <v>N269</v>
          </cell>
          <cell r="C6796" t="str">
            <v>ซาติน แขนสั้นขาสั้น เสือดำ XL</v>
          </cell>
          <cell r="E6796">
            <v>0</v>
          </cell>
          <cell r="F6796">
            <v>790</v>
          </cell>
        </row>
        <row r="6797">
          <cell r="A6797" t="str">
            <v>SN0270-L</v>
          </cell>
          <cell r="B6797" t="str">
            <v>N270</v>
          </cell>
          <cell r="C6797" t="str">
            <v>ซาติน แขนสั้นขาสั้น จุดขาวใหญ่ พื้นชมพู L</v>
          </cell>
          <cell r="E6797">
            <v>0</v>
          </cell>
          <cell r="F6797">
            <v>790</v>
          </cell>
        </row>
        <row r="6798">
          <cell r="A6798" t="str">
            <v>SN0270-M</v>
          </cell>
          <cell r="B6798" t="str">
            <v>N270</v>
          </cell>
          <cell r="C6798" t="str">
            <v>ซาติน แขนสั้นขาสั้น จุดขาวใหญ่ พื้นชมพู M</v>
          </cell>
          <cell r="E6798">
            <v>0</v>
          </cell>
          <cell r="F6798">
            <v>790</v>
          </cell>
        </row>
        <row r="6799">
          <cell r="A6799" t="str">
            <v>SN0270-XL</v>
          </cell>
          <cell r="B6799" t="str">
            <v>N270</v>
          </cell>
          <cell r="C6799" t="str">
            <v>ซาติน แขนสั้นขาสั้น จุดขาวใหญ่ พื้นชมพู XL</v>
          </cell>
          <cell r="E6799">
            <v>0</v>
          </cell>
          <cell r="F6799">
            <v>790</v>
          </cell>
        </row>
        <row r="6800">
          <cell r="A6800" t="str">
            <v>SN0271-L</v>
          </cell>
          <cell r="B6800" t="str">
            <v>BN271</v>
          </cell>
          <cell r="C6800" t="str">
            <v>ซาติน แขนสั้นขาสั้น จุดกรมใหญ่ พื้นม่วง L</v>
          </cell>
          <cell r="E6800">
            <v>0</v>
          </cell>
          <cell r="F6800">
            <v>790</v>
          </cell>
        </row>
        <row r="6801">
          <cell r="A6801" t="str">
            <v>SN0271-M</v>
          </cell>
          <cell r="B6801" t="str">
            <v>BN271</v>
          </cell>
          <cell r="C6801" t="str">
            <v>ซาติน แขนสั้นขาสั้น จุดกรมใหญ่ พื้นม่วง M</v>
          </cell>
          <cell r="E6801">
            <v>0</v>
          </cell>
          <cell r="F6801">
            <v>790</v>
          </cell>
        </row>
        <row r="6802">
          <cell r="A6802" t="str">
            <v>SN0271-XL</v>
          </cell>
          <cell r="B6802" t="str">
            <v>N271</v>
          </cell>
          <cell r="C6802" t="str">
            <v>ซาติน แขนสั้นขาสั้น จุดกรมใหญ่ พื้นม่วง XL</v>
          </cell>
          <cell r="E6802">
            <v>0</v>
          </cell>
          <cell r="F6802">
            <v>790</v>
          </cell>
        </row>
        <row r="6803">
          <cell r="A6803" t="str">
            <v>SN0284-L</v>
          </cell>
          <cell r="B6803" t="str">
            <v>N284</v>
          </cell>
          <cell r="C6803" t="str">
            <v>ซาติน แขนสั้นขาสั้น แมว Funny พื้นฟ้า L</v>
          </cell>
          <cell r="E6803">
            <v>0</v>
          </cell>
          <cell r="F6803">
            <v>790</v>
          </cell>
        </row>
        <row r="6804">
          <cell r="A6804" t="str">
            <v>SN0284-M</v>
          </cell>
          <cell r="B6804" t="str">
            <v>N284</v>
          </cell>
          <cell r="C6804" t="str">
            <v>ซาติน แขนสั้นขาสั้น แมว Funny พื้นฟ้า M</v>
          </cell>
          <cell r="E6804">
            <v>0</v>
          </cell>
          <cell r="F6804">
            <v>790</v>
          </cell>
        </row>
        <row r="6805">
          <cell r="A6805" t="str">
            <v>SN0285-L</v>
          </cell>
          <cell r="B6805" t="str">
            <v>N285</v>
          </cell>
          <cell r="C6805" t="str">
            <v>ซาติน แขนสั้นขาสั้น แมว Funny พื้นชมพู L</v>
          </cell>
          <cell r="E6805">
            <v>0</v>
          </cell>
          <cell r="F6805">
            <v>790</v>
          </cell>
        </row>
        <row r="6806">
          <cell r="A6806" t="str">
            <v>SN0285-M</v>
          </cell>
          <cell r="B6806" t="str">
            <v>N285</v>
          </cell>
          <cell r="C6806" t="str">
            <v>ซาติน แขนสั้นขาสั้น แมว Funny พื้นชมพู M</v>
          </cell>
          <cell r="E6806">
            <v>0</v>
          </cell>
          <cell r="F6806">
            <v>790</v>
          </cell>
        </row>
        <row r="6807">
          <cell r="A6807" t="str">
            <v>SN0298-L</v>
          </cell>
          <cell r="B6807" t="str">
            <v>N298</v>
          </cell>
          <cell r="C6807" t="str">
            <v>ซาติน แขนสั้นขาสั้น teddy bear พื้นน้ำตาล L</v>
          </cell>
          <cell r="E6807">
            <v>0</v>
          </cell>
          <cell r="F6807">
            <v>790</v>
          </cell>
        </row>
        <row r="6808">
          <cell r="A6808" t="str">
            <v>SN0298-M</v>
          </cell>
          <cell r="B6808" t="str">
            <v>N298</v>
          </cell>
          <cell r="C6808" t="str">
            <v>ซาติน แขนสั้นขาสั้น teddy bear พื้นน้ำตาล M</v>
          </cell>
          <cell r="E6808">
            <v>0</v>
          </cell>
          <cell r="F6808">
            <v>790</v>
          </cell>
        </row>
        <row r="6809">
          <cell r="A6809" t="str">
            <v>SN0308-L</v>
          </cell>
          <cell r="B6809" t="str">
            <v>N308</v>
          </cell>
          <cell r="C6809" t="str">
            <v>ซาติน แขนสั้นขาสั้น ดอกไม้ขาว ลูกม่วง L</v>
          </cell>
          <cell r="E6809">
            <v>0</v>
          </cell>
          <cell r="F6809">
            <v>790</v>
          </cell>
        </row>
        <row r="6810">
          <cell r="A6810" t="str">
            <v>SN0308-M</v>
          </cell>
          <cell r="B6810" t="str">
            <v>N308</v>
          </cell>
          <cell r="C6810" t="str">
            <v>ซาติน แขนสั้นขาสั้น ดอกไม้ขาว ลูกม่วง M</v>
          </cell>
          <cell r="E6810">
            <v>0</v>
          </cell>
          <cell r="F6810">
            <v>790</v>
          </cell>
        </row>
        <row r="6811">
          <cell r="A6811" t="str">
            <v>SN0308-XL</v>
          </cell>
          <cell r="B6811" t="str">
            <v>N308</v>
          </cell>
          <cell r="C6811" t="str">
            <v>ซาติน แขนสั้นขาสั้น ดอกไม้ขาว ลูกม่วง XL</v>
          </cell>
          <cell r="E6811">
            <v>0</v>
          </cell>
          <cell r="F6811">
            <v>790</v>
          </cell>
        </row>
        <row r="6812">
          <cell r="A6812" t="str">
            <v>SN0309-L</v>
          </cell>
          <cell r="B6812" t="str">
            <v>N309</v>
          </cell>
          <cell r="C6812" t="str">
            <v>ซาติน แขนสั้นขาสั้น ดอกไม้ขาว คลื่นทะเล L</v>
          </cell>
          <cell r="E6812">
            <v>0</v>
          </cell>
          <cell r="F6812">
            <v>790</v>
          </cell>
        </row>
        <row r="6813">
          <cell r="A6813" t="str">
            <v>SN0309-M</v>
          </cell>
          <cell r="B6813" t="str">
            <v>N309</v>
          </cell>
          <cell r="C6813" t="str">
            <v>ซาติน แขนสั้นขาสั้น ดอกไม้ขาว คลื่นทะเล M</v>
          </cell>
          <cell r="E6813">
            <v>0</v>
          </cell>
          <cell r="F6813">
            <v>790</v>
          </cell>
        </row>
        <row r="6814">
          <cell r="A6814" t="str">
            <v>SN0309-XL</v>
          </cell>
          <cell r="B6814" t="str">
            <v>N309</v>
          </cell>
          <cell r="C6814" t="str">
            <v>ซาติน แขนสั้นขาสั้น ดอกไม้ขาว คลื่นทะเล XL</v>
          </cell>
          <cell r="E6814">
            <v>0</v>
          </cell>
          <cell r="F6814">
            <v>790</v>
          </cell>
        </row>
        <row r="6815">
          <cell r="A6815" t="str">
            <v>SN0310-L</v>
          </cell>
          <cell r="B6815" t="str">
            <v>N310</v>
          </cell>
          <cell r="C6815" t="str">
            <v>ซาติน แขนสั้นขาสั้น สีน้ำ ลายแปรงแดง พื้นขาว L</v>
          </cell>
          <cell r="E6815">
            <v>0</v>
          </cell>
          <cell r="F6815">
            <v>790</v>
          </cell>
        </row>
        <row r="6816">
          <cell r="A6816" t="str">
            <v>SN0310-M</v>
          </cell>
          <cell r="B6816" t="str">
            <v>N310</v>
          </cell>
          <cell r="C6816" t="str">
            <v>ซาติน แขนสั้นขาสั้น สีน้ำ ลายแปรงแดง พื้นขาว M</v>
          </cell>
          <cell r="E6816">
            <v>0</v>
          </cell>
          <cell r="F6816">
            <v>790</v>
          </cell>
        </row>
        <row r="6817">
          <cell r="A6817" t="str">
            <v>SN0310-XL</v>
          </cell>
          <cell r="B6817" t="str">
            <v>N310</v>
          </cell>
          <cell r="C6817" t="str">
            <v>ซาติน แขนสั้นขาสั้น สีน้ำ ลายแปรงแดง พื้นขาว XL</v>
          </cell>
          <cell r="E6817">
            <v>0</v>
          </cell>
          <cell r="F6817">
            <v>790</v>
          </cell>
        </row>
        <row r="6818">
          <cell r="A6818" t="str">
            <v>SN0311-L</v>
          </cell>
          <cell r="B6818" t="str">
            <v>N311</v>
          </cell>
          <cell r="C6818" t="str">
            <v>ซาติน แขนสั้นขาสั้น รถม้า น้ำตาล น้ำเงิน L</v>
          </cell>
          <cell r="E6818">
            <v>0</v>
          </cell>
          <cell r="F6818">
            <v>790</v>
          </cell>
        </row>
        <row r="6819">
          <cell r="A6819" t="str">
            <v>SN0311-M</v>
          </cell>
          <cell r="B6819" t="str">
            <v>N311</v>
          </cell>
          <cell r="C6819" t="str">
            <v>ซาติน แขนสั้นขาสั้น รถม้า น้ำตาล น้ำเงิน M</v>
          </cell>
          <cell r="E6819">
            <v>0</v>
          </cell>
          <cell r="F6819">
            <v>790</v>
          </cell>
        </row>
        <row r="6820">
          <cell r="A6820" t="str">
            <v>SN0311-XL</v>
          </cell>
          <cell r="B6820" t="str">
            <v>N311</v>
          </cell>
          <cell r="C6820" t="str">
            <v>ซาติน แขนสั้นขาสั้น รถม้า น้ำตาล น้ำเงิน XL</v>
          </cell>
          <cell r="E6820">
            <v>0</v>
          </cell>
          <cell r="F6820">
            <v>790</v>
          </cell>
        </row>
        <row r="6821">
          <cell r="A6821" t="str">
            <v>SN0312-L</v>
          </cell>
          <cell r="B6821" t="str">
            <v>N312</v>
          </cell>
          <cell r="C6821" t="str">
            <v>ซาติน แขนสั้นขาสั้น ABS พื้นน้ำตาล L</v>
          </cell>
          <cell r="E6821">
            <v>0</v>
          </cell>
          <cell r="F6821">
            <v>790</v>
          </cell>
        </row>
        <row r="6822">
          <cell r="A6822" t="str">
            <v>SN0312-M</v>
          </cell>
          <cell r="B6822" t="str">
            <v>N312</v>
          </cell>
          <cell r="C6822" t="str">
            <v>ซาติน แขนสั้นขาสั้น ABS พื้นน้ำตาล M</v>
          </cell>
          <cell r="E6822">
            <v>0</v>
          </cell>
          <cell r="F6822">
            <v>790</v>
          </cell>
        </row>
        <row r="6823">
          <cell r="A6823" t="str">
            <v>SN0312-XL</v>
          </cell>
          <cell r="B6823" t="str">
            <v>N312</v>
          </cell>
          <cell r="C6823" t="str">
            <v>ซาติน แขนสั้นขาสั้น ABS พื้นน้ำตาล XL</v>
          </cell>
          <cell r="E6823">
            <v>0</v>
          </cell>
          <cell r="F6823">
            <v>790</v>
          </cell>
        </row>
        <row r="6824">
          <cell r="A6824" t="str">
            <v>SN0314-L</v>
          </cell>
          <cell r="B6824" t="str">
            <v>N314</v>
          </cell>
          <cell r="C6824" t="str">
            <v>ซาติน แขนสั้นขาสั้น ตาราง ดำขาว L</v>
          </cell>
          <cell r="E6824">
            <v>0</v>
          </cell>
          <cell r="F6824">
            <v>790</v>
          </cell>
        </row>
        <row r="6825">
          <cell r="A6825" t="str">
            <v>SN0314-M</v>
          </cell>
          <cell r="B6825" t="str">
            <v>N314</v>
          </cell>
          <cell r="C6825" t="str">
            <v>ซาติน แขนสั้นขาสั้น ตาราง ดำขาว M</v>
          </cell>
          <cell r="E6825">
            <v>0</v>
          </cell>
          <cell r="F6825">
            <v>790</v>
          </cell>
        </row>
        <row r="6826">
          <cell r="A6826" t="str">
            <v>SN0314-S</v>
          </cell>
          <cell r="B6826" t="str">
            <v>N314</v>
          </cell>
          <cell r="C6826" t="str">
            <v>ซาติน แขนสั้นขาสั้น ตาราง ดำขาว S</v>
          </cell>
          <cell r="E6826">
            <v>0</v>
          </cell>
          <cell r="F6826">
            <v>790</v>
          </cell>
        </row>
        <row r="6827">
          <cell r="A6827" t="str">
            <v>SN0320-L</v>
          </cell>
          <cell r="B6827" t="str">
            <v>N320</v>
          </cell>
          <cell r="C6827" t="str">
            <v>ซาติน แขนสั้นขาสั้น ลายมะพร้าว สีพาสเทล L</v>
          </cell>
          <cell r="E6827">
            <v>0</v>
          </cell>
          <cell r="F6827">
            <v>790</v>
          </cell>
        </row>
        <row r="6828">
          <cell r="A6828" t="str">
            <v>SN0320-M</v>
          </cell>
          <cell r="B6828" t="str">
            <v>N320</v>
          </cell>
          <cell r="C6828" t="str">
            <v>ซาติน แขนสั้นขาสั้น ลายมะพร้าว สีพาสเทล M</v>
          </cell>
          <cell r="E6828">
            <v>0</v>
          </cell>
          <cell r="F6828">
            <v>790</v>
          </cell>
        </row>
        <row r="6829">
          <cell r="A6829" t="str">
            <v>SN0321-L</v>
          </cell>
          <cell r="B6829" t="str">
            <v>N321</v>
          </cell>
          <cell r="C6829" t="str">
            <v>ซาติน แขนสั้นขาสั้น ดอกทานตะวัน พื้นครีม L</v>
          </cell>
          <cell r="E6829">
            <v>0</v>
          </cell>
          <cell r="F6829">
            <v>790</v>
          </cell>
        </row>
        <row r="6830">
          <cell r="A6830" t="str">
            <v>SN0321-M</v>
          </cell>
          <cell r="B6830" t="str">
            <v>N321</v>
          </cell>
          <cell r="C6830" t="str">
            <v>ซาติน แขนสั้นขาสั้น ดอกทานตะวัน พื้นครีม M</v>
          </cell>
          <cell r="E6830">
            <v>0</v>
          </cell>
          <cell r="F6830">
            <v>790</v>
          </cell>
        </row>
        <row r="6831">
          <cell r="A6831" t="str">
            <v>SN0325-L</v>
          </cell>
          <cell r="B6831" t="str">
            <v>N325</v>
          </cell>
          <cell r="C6831" t="str">
            <v>ซาติน แขนสั้นขาสั้น ดอกไม้ นกยูง L</v>
          </cell>
          <cell r="E6831">
            <v>0</v>
          </cell>
          <cell r="F6831">
            <v>790</v>
          </cell>
        </row>
        <row r="6832">
          <cell r="A6832" t="str">
            <v>SN0325-M</v>
          </cell>
          <cell r="B6832" t="str">
            <v>ป3</v>
          </cell>
          <cell r="C6832" t="str">
            <v>ซาติน แขนสั้นขาสั้น ดอกไม้ นกยูง M</v>
          </cell>
          <cell r="E6832">
            <v>0</v>
          </cell>
          <cell r="F6832">
            <v>790</v>
          </cell>
        </row>
        <row r="6833">
          <cell r="A6833" t="str">
            <v>SN0325-XL</v>
          </cell>
          <cell r="B6833" t="str">
            <v>JN325</v>
          </cell>
          <cell r="C6833" t="str">
            <v>ซาติน แขนสั้นขาสั้น ดอกไม้ นกยูง XL ตัวโชว์</v>
          </cell>
          <cell r="E6833">
            <v>0</v>
          </cell>
          <cell r="F6833">
            <v>790</v>
          </cell>
        </row>
        <row r="6834">
          <cell r="A6834" t="str">
            <v>SN0326-L</v>
          </cell>
          <cell r="B6834" t="str">
            <v>N326</v>
          </cell>
          <cell r="C6834" t="str">
            <v>ซาติน แขนสั้นขาสั้น แคนวาส พื้นครีม L</v>
          </cell>
          <cell r="E6834">
            <v>0</v>
          </cell>
          <cell r="F6834">
            <v>790</v>
          </cell>
        </row>
        <row r="6835">
          <cell r="A6835" t="str">
            <v>SN0326-M</v>
          </cell>
          <cell r="B6835" t="str">
            <v>N326</v>
          </cell>
          <cell r="C6835" t="str">
            <v>ซาติน แขนสั้นขาสั้น แคนวาส พื้นครีม M</v>
          </cell>
          <cell r="E6835">
            <v>0</v>
          </cell>
          <cell r="F6835">
            <v>790</v>
          </cell>
        </row>
        <row r="6836">
          <cell r="A6836" t="str">
            <v>SN0326-XL</v>
          </cell>
          <cell r="B6836" t="str">
            <v>N326</v>
          </cell>
          <cell r="C6836" t="str">
            <v>ซาติน แขนสั้นขาสั้น แคนวาส พื้นครีม XL</v>
          </cell>
          <cell r="E6836">
            <v>0</v>
          </cell>
          <cell r="F6836">
            <v>790</v>
          </cell>
        </row>
        <row r="6837">
          <cell r="A6837" t="str">
            <v>SN0327-L</v>
          </cell>
          <cell r="B6837" t="str">
            <v>N327</v>
          </cell>
          <cell r="C6837" t="str">
            <v>ซาติน แขนสั้นขาสั้น ดอกไม้ ART พื้นขาว L</v>
          </cell>
          <cell r="E6837">
            <v>0</v>
          </cell>
          <cell r="F6837">
            <v>790</v>
          </cell>
        </row>
        <row r="6838">
          <cell r="A6838" t="str">
            <v>SN0327-M</v>
          </cell>
          <cell r="B6838" t="str">
            <v>N327</v>
          </cell>
          <cell r="C6838" t="str">
            <v>ซาติน แขนสั้นขาสั้น ดอกไม้ ART พื้นขาว M</v>
          </cell>
          <cell r="E6838">
            <v>0</v>
          </cell>
          <cell r="F6838">
            <v>790</v>
          </cell>
        </row>
        <row r="6839">
          <cell r="A6839" t="str">
            <v>SN0327-XL</v>
          </cell>
          <cell r="B6839" t="str">
            <v>N327</v>
          </cell>
          <cell r="C6839" t="str">
            <v>ซาติน แขนสั้นขาสั้น ดอกไม้ ART พื้นขาว XL</v>
          </cell>
          <cell r="E6839">
            <v>0</v>
          </cell>
          <cell r="F6839">
            <v>790</v>
          </cell>
        </row>
        <row r="6840">
          <cell r="A6840" t="str">
            <v>SN0328-L</v>
          </cell>
          <cell r="B6840" t="str">
            <v>JN328</v>
          </cell>
          <cell r="C6840" t="str">
            <v>ซาติน แขนสั้นขาสั้น ดอกไม้ชม ใบไม้ฟ้า พื้นขาว L ตัวโชว์</v>
          </cell>
          <cell r="E6840">
            <v>0</v>
          </cell>
          <cell r="F6840">
            <v>790</v>
          </cell>
        </row>
        <row r="6841">
          <cell r="A6841" t="str">
            <v>SN0328-M</v>
          </cell>
          <cell r="B6841" t="str">
            <v>JN328</v>
          </cell>
          <cell r="C6841" t="str">
            <v>ซาติน แขนสั้นขาสั้น ดอกไม้ชม ใบไม้ฟ้า พื้นขาว M ตัวโชว์</v>
          </cell>
          <cell r="E6841">
            <v>0</v>
          </cell>
          <cell r="F6841">
            <v>790</v>
          </cell>
        </row>
        <row r="6842">
          <cell r="A6842" t="str">
            <v>SN0328-XL</v>
          </cell>
          <cell r="B6842" t="str">
            <v>JN328</v>
          </cell>
          <cell r="C6842" t="str">
            <v>ซาติน แขนสั้นขาสั้น ดอกไม้ชม ใบไม้ฟ้า พื้นขาว XL ตัวโชว์</v>
          </cell>
          <cell r="E6842">
            <v>0</v>
          </cell>
          <cell r="F6842">
            <v>790</v>
          </cell>
        </row>
        <row r="6843">
          <cell r="A6843" t="str">
            <v>SN0329-L</v>
          </cell>
          <cell r="B6843" t="str">
            <v>N329</v>
          </cell>
          <cell r="C6843" t="str">
            <v>ซาติน แขนสั้นขาสั้น ทุ่งทานตะวัน L</v>
          </cell>
          <cell r="E6843">
            <v>0</v>
          </cell>
          <cell r="F6843">
            <v>790</v>
          </cell>
        </row>
        <row r="6844">
          <cell r="A6844" t="str">
            <v>SN0329-M</v>
          </cell>
          <cell r="B6844" t="str">
            <v>N329</v>
          </cell>
          <cell r="C6844" t="str">
            <v>ซาติน แขนสั้นขาสั้น ทุ่งทานตะวัน M</v>
          </cell>
          <cell r="E6844">
            <v>0</v>
          </cell>
          <cell r="F6844">
            <v>790</v>
          </cell>
        </row>
        <row r="6845">
          <cell r="A6845" t="str">
            <v>SN0329-XL</v>
          </cell>
          <cell r="B6845" t="str">
            <v>N329</v>
          </cell>
          <cell r="C6845" t="str">
            <v>ซาติน แขนสั้นขาสั้น ทุ่งทานตะวัน XL</v>
          </cell>
          <cell r="E6845">
            <v>0</v>
          </cell>
          <cell r="F6845">
            <v>790</v>
          </cell>
        </row>
        <row r="6846">
          <cell r="A6846" t="str">
            <v>SN0330-2XL</v>
          </cell>
          <cell r="B6846" t="str">
            <v>N330</v>
          </cell>
          <cell r="C6846" t="str">
            <v>ซาติน แขนสั้นขาสั้น ปีกัสโซ่ 2XL</v>
          </cell>
          <cell r="E6846">
            <v>0</v>
          </cell>
          <cell r="F6846">
            <v>790</v>
          </cell>
        </row>
        <row r="6847">
          <cell r="A6847" t="str">
            <v>SN0330-L</v>
          </cell>
          <cell r="B6847" t="str">
            <v>N330</v>
          </cell>
          <cell r="C6847" t="str">
            <v>ซาติน  แขนสั้นขาสั้น ปีกัสโซ่ L</v>
          </cell>
          <cell r="E6847">
            <v>0</v>
          </cell>
          <cell r="F6847">
            <v>790</v>
          </cell>
        </row>
        <row r="6848">
          <cell r="A6848" t="str">
            <v>SN0330-M</v>
          </cell>
          <cell r="B6848" t="str">
            <v>N330</v>
          </cell>
          <cell r="C6848" t="str">
            <v>ซาติน  แขนสั้นขาสั้น ปีกัสโซ่ M</v>
          </cell>
          <cell r="E6848">
            <v>0</v>
          </cell>
          <cell r="F6848">
            <v>790</v>
          </cell>
        </row>
        <row r="6849">
          <cell r="A6849" t="str">
            <v>SN0330-XL</v>
          </cell>
          <cell r="B6849" t="str">
            <v>N330</v>
          </cell>
          <cell r="C6849" t="str">
            <v>ซาติน แขนสั้นขาสั้น ปีกัสโซ่ XL</v>
          </cell>
          <cell r="E6849">
            <v>0</v>
          </cell>
          <cell r="F6849">
            <v>790</v>
          </cell>
        </row>
        <row r="6850">
          <cell r="A6850" t="str">
            <v>SN0340-L</v>
          </cell>
          <cell r="B6850" t="str">
            <v>N340</v>
          </cell>
          <cell r="C6850" t="str">
            <v>ซาติน แขนสั้นขาสั้น กุหลาบขาวดำ L</v>
          </cell>
          <cell r="E6850">
            <v>0</v>
          </cell>
          <cell r="F6850">
            <v>790</v>
          </cell>
        </row>
        <row r="6851">
          <cell r="A6851" t="str">
            <v>SN0340-M</v>
          </cell>
          <cell r="B6851" t="str">
            <v>N340</v>
          </cell>
          <cell r="C6851" t="str">
            <v>ซาติน แขนสั้นขาสั้น กุหลาบขาวดำ M</v>
          </cell>
          <cell r="E6851">
            <v>0</v>
          </cell>
          <cell r="F6851">
            <v>790</v>
          </cell>
        </row>
        <row r="6852">
          <cell r="A6852" t="str">
            <v>SN0340-XL</v>
          </cell>
          <cell r="B6852" t="str">
            <v>N340</v>
          </cell>
          <cell r="C6852" t="str">
            <v>ซาติน แขนสั้นขาสั้น กุหลาบขาวดำ XL</v>
          </cell>
          <cell r="E6852">
            <v>0</v>
          </cell>
          <cell r="F6852">
            <v>790</v>
          </cell>
        </row>
        <row r="6853">
          <cell r="A6853" t="str">
            <v>SN0341-L</v>
          </cell>
          <cell r="B6853" t="str">
            <v>N341</v>
          </cell>
          <cell r="C6853" t="str">
            <v>ซาติน แขนสั้นขาสั้น หมอก ม่วง L</v>
          </cell>
          <cell r="E6853">
            <v>0</v>
          </cell>
          <cell r="F6853">
            <v>790</v>
          </cell>
        </row>
        <row r="6854">
          <cell r="A6854" t="str">
            <v>SN0341-M</v>
          </cell>
          <cell r="B6854" t="str">
            <v>N341</v>
          </cell>
          <cell r="C6854" t="str">
            <v>ซาติน แขนสั้นขาสั้น หมอก ม่วง M</v>
          </cell>
          <cell r="E6854">
            <v>0</v>
          </cell>
          <cell r="F6854">
            <v>790</v>
          </cell>
        </row>
        <row r="6855">
          <cell r="A6855" t="str">
            <v>SN0341-XL</v>
          </cell>
          <cell r="B6855" t="str">
            <v>N341</v>
          </cell>
          <cell r="C6855" t="str">
            <v>ซาติน แขนสั้นขาสั้น หมอก ม่วง XL</v>
          </cell>
          <cell r="E6855">
            <v>0</v>
          </cell>
          <cell r="F6855">
            <v>790</v>
          </cell>
        </row>
        <row r="6856">
          <cell r="A6856" t="str">
            <v>SN0345-L</v>
          </cell>
          <cell r="B6856" t="str">
            <v>N345</v>
          </cell>
          <cell r="C6856" t="str">
            <v>ซาติน แขนสั้นขาสั้น สีชมพู ระบายขาว L</v>
          </cell>
          <cell r="E6856">
            <v>0</v>
          </cell>
          <cell r="F6856">
            <v>790</v>
          </cell>
        </row>
        <row r="6857">
          <cell r="A6857" t="str">
            <v>SN0345-M</v>
          </cell>
          <cell r="B6857" t="str">
            <v>N345</v>
          </cell>
          <cell r="C6857" t="str">
            <v>ซาติน แขนสั้นขาสั้น สีชมพู ระบายขาว M</v>
          </cell>
          <cell r="E6857">
            <v>0</v>
          </cell>
          <cell r="F6857">
            <v>790</v>
          </cell>
        </row>
        <row r="6858">
          <cell r="A6858" t="str">
            <v>SN0347-2XL</v>
          </cell>
          <cell r="B6858" t="str">
            <v>N347</v>
          </cell>
          <cell r="C6858" t="str">
            <v>ซาติน แขนสั้นขาสั้น Coral Sea 2XL</v>
          </cell>
          <cell r="E6858">
            <v>0</v>
          </cell>
          <cell r="F6858">
            <v>790</v>
          </cell>
        </row>
        <row r="6859">
          <cell r="A6859" t="str">
            <v>SN0347-3XL</v>
          </cell>
          <cell r="B6859" t="str">
            <v>QN347</v>
          </cell>
          <cell r="C6859" t="str">
            <v>ซาติน แขนสั้นขาสั้น Coral Sea 3XL QC</v>
          </cell>
          <cell r="E6859">
            <v>0</v>
          </cell>
          <cell r="F6859">
            <v>790</v>
          </cell>
        </row>
        <row r="6860">
          <cell r="A6860" t="str">
            <v>SN0347-L</v>
          </cell>
          <cell r="B6860" t="str">
            <v>N347</v>
          </cell>
          <cell r="C6860" t="str">
            <v>[AH]  ซาติน แขนสั้นขาสั้น Coral Sea L</v>
          </cell>
          <cell r="E6860">
            <v>0</v>
          </cell>
          <cell r="F6860">
            <v>790</v>
          </cell>
        </row>
        <row r="6861">
          <cell r="A6861" t="str">
            <v>SN0347-M</v>
          </cell>
          <cell r="B6861" t="str">
            <v>QN347</v>
          </cell>
          <cell r="C6861" t="str">
            <v>ซาติน แขนสั้นขาสั้น Coral Sea M QC</v>
          </cell>
          <cell r="E6861">
            <v>0</v>
          </cell>
          <cell r="F6861">
            <v>790</v>
          </cell>
        </row>
        <row r="6862">
          <cell r="A6862" t="str">
            <v>SN0347-XL</v>
          </cell>
          <cell r="B6862" t="str">
            <v>QN347</v>
          </cell>
          <cell r="C6862" t="str">
            <v>[AH]  ซาติน แขนสั้นขาสั้น Coral Sea XL QC</v>
          </cell>
          <cell r="E6862">
            <v>0</v>
          </cell>
          <cell r="F6862">
            <v>790</v>
          </cell>
        </row>
        <row r="6863">
          <cell r="A6863" t="str">
            <v>SN0348-L</v>
          </cell>
          <cell r="B6863" t="str">
            <v>N348</v>
          </cell>
          <cell r="C6863" t="str">
            <v>ซาติน แขนสั้นขาสั้น Red Flower L</v>
          </cell>
          <cell r="E6863">
            <v>0</v>
          </cell>
          <cell r="F6863">
            <v>790</v>
          </cell>
        </row>
        <row r="6864">
          <cell r="A6864" t="str">
            <v>SN0348-M</v>
          </cell>
          <cell r="B6864" t="str">
            <v>N348</v>
          </cell>
          <cell r="C6864" t="str">
            <v>ซาติน แขนสั้นขาสั้น Red Flower M</v>
          </cell>
          <cell r="E6864">
            <v>0</v>
          </cell>
          <cell r="F6864">
            <v>790</v>
          </cell>
        </row>
        <row r="6865">
          <cell r="A6865" t="str">
            <v>SN0348-XL</v>
          </cell>
          <cell r="B6865" t="str">
            <v>N348</v>
          </cell>
          <cell r="C6865" t="str">
            <v>ซาติน แขนสั้นขาสั้น Red Flower XL</v>
          </cell>
          <cell r="E6865">
            <v>0</v>
          </cell>
          <cell r="F6865">
            <v>790</v>
          </cell>
        </row>
        <row r="6866">
          <cell r="A6866" t="str">
            <v>SN0349-L</v>
          </cell>
          <cell r="B6866" t="str">
            <v>N349</v>
          </cell>
          <cell r="C6866" t="str">
            <v>ซาติน แขนสั้นขาสั้น The Witch L</v>
          </cell>
          <cell r="E6866">
            <v>0</v>
          </cell>
          <cell r="F6866">
            <v>790</v>
          </cell>
        </row>
        <row r="6867">
          <cell r="A6867" t="str">
            <v>SN0349-M</v>
          </cell>
          <cell r="B6867" t="str">
            <v>N349</v>
          </cell>
          <cell r="C6867" t="str">
            <v>ซาติน แขนสั้นขาสั้น The Witch M</v>
          </cell>
          <cell r="E6867">
            <v>0</v>
          </cell>
          <cell r="F6867">
            <v>790</v>
          </cell>
        </row>
        <row r="6868">
          <cell r="A6868" t="str">
            <v>SN0349-XL</v>
          </cell>
          <cell r="B6868" t="str">
            <v>N349</v>
          </cell>
          <cell r="C6868" t="str">
            <v>ซาติน แขนสั้นขาสั้น The Witch XL</v>
          </cell>
          <cell r="E6868">
            <v>0</v>
          </cell>
          <cell r="F6868">
            <v>790</v>
          </cell>
        </row>
        <row r="6869">
          <cell r="A6869" t="str">
            <v>SN0350-2XL</v>
          </cell>
          <cell r="B6869" t="str">
            <v>N350</v>
          </cell>
          <cell r="C6869" t="str">
            <v>ซาติน แขนสั้นขาสั้น Flower Gray 2XL</v>
          </cell>
          <cell r="E6869">
            <v>0</v>
          </cell>
          <cell r="F6869">
            <v>790</v>
          </cell>
        </row>
        <row r="6870">
          <cell r="A6870" t="str">
            <v>SN0350-3XL</v>
          </cell>
          <cell r="B6870" t="str">
            <v>N350</v>
          </cell>
          <cell r="C6870" t="str">
            <v>ซาติน แขนสั้นขาสั้น Flower Gray 3XL</v>
          </cell>
          <cell r="E6870">
            <v>0</v>
          </cell>
          <cell r="F6870">
            <v>790</v>
          </cell>
        </row>
        <row r="6871">
          <cell r="A6871" t="str">
            <v>SN0350-L</v>
          </cell>
          <cell r="B6871" t="str">
            <v>N350</v>
          </cell>
          <cell r="C6871" t="str">
            <v>ซาติน แขนสั้นขาสั้น Flower Gray L</v>
          </cell>
          <cell r="E6871">
            <v>0</v>
          </cell>
          <cell r="F6871">
            <v>790</v>
          </cell>
        </row>
        <row r="6872">
          <cell r="A6872" t="str">
            <v>SN0350-M</v>
          </cell>
          <cell r="B6872" t="str">
            <v>N350</v>
          </cell>
          <cell r="C6872" t="str">
            <v>ซาติน แขนสั้นขาสั้น Flower Gray M</v>
          </cell>
          <cell r="E6872">
            <v>0</v>
          </cell>
          <cell r="F6872">
            <v>790</v>
          </cell>
        </row>
        <row r="6873">
          <cell r="A6873" t="str">
            <v>SN0350-XL</v>
          </cell>
          <cell r="B6873" t="str">
            <v>N350</v>
          </cell>
          <cell r="C6873" t="str">
            <v>ซาติน แขนสั้นขาสั้น Flower Gray XL</v>
          </cell>
          <cell r="E6873">
            <v>0</v>
          </cell>
          <cell r="F6873">
            <v>790</v>
          </cell>
        </row>
        <row r="6874">
          <cell r="A6874" t="str">
            <v>SN0352-2XL</v>
          </cell>
          <cell r="B6874" t="str">
            <v>N352</v>
          </cell>
          <cell r="C6874" t="str">
            <v>ซาติน แขนสั้นขาสั้น Jasmine Green 2XL</v>
          </cell>
          <cell r="E6874">
            <v>0</v>
          </cell>
          <cell r="F6874">
            <v>790</v>
          </cell>
        </row>
        <row r="6875">
          <cell r="A6875" t="str">
            <v>SN0352-L</v>
          </cell>
          <cell r="B6875" t="str">
            <v>N352</v>
          </cell>
          <cell r="C6875" t="str">
            <v>ซาติน แขนสั้นขาสั้น Jasmine Green L</v>
          </cell>
          <cell r="E6875">
            <v>0</v>
          </cell>
          <cell r="F6875">
            <v>790</v>
          </cell>
        </row>
        <row r="6876">
          <cell r="A6876" t="str">
            <v>SN0352-M</v>
          </cell>
          <cell r="B6876" t="str">
            <v>N352</v>
          </cell>
          <cell r="C6876" t="str">
            <v>ซาติน แขนสั้นขาสั้น Jasmine Green M</v>
          </cell>
          <cell r="E6876">
            <v>0</v>
          </cell>
          <cell r="F6876">
            <v>790</v>
          </cell>
        </row>
        <row r="6877">
          <cell r="A6877" t="str">
            <v>SN0352-XL</v>
          </cell>
          <cell r="B6877" t="str">
            <v>N352</v>
          </cell>
          <cell r="C6877" t="str">
            <v>ซาติน แขนสั้นขาสั้น Jasmine Green XL</v>
          </cell>
          <cell r="E6877">
            <v>0</v>
          </cell>
          <cell r="F6877">
            <v>790</v>
          </cell>
        </row>
        <row r="6878">
          <cell r="A6878" t="str">
            <v>SN0353-2XL</v>
          </cell>
          <cell r="B6878" t="str">
            <v>N353</v>
          </cell>
          <cell r="C6878" t="str">
            <v>ซาติน แขนสั้นขาสั้น Passion Fruit 2XL</v>
          </cell>
          <cell r="E6878">
            <v>0</v>
          </cell>
          <cell r="F6878">
            <v>790</v>
          </cell>
        </row>
        <row r="6879">
          <cell r="A6879" t="str">
            <v>SN0353-L</v>
          </cell>
          <cell r="B6879" t="str">
            <v>N353</v>
          </cell>
          <cell r="C6879" t="str">
            <v>ซาติน แขนสั้นขาสั้น Passion Fruit L</v>
          </cell>
          <cell r="E6879">
            <v>0</v>
          </cell>
          <cell r="F6879">
            <v>790</v>
          </cell>
        </row>
        <row r="6880">
          <cell r="A6880" t="str">
            <v>SN0353-M</v>
          </cell>
          <cell r="B6880" t="str">
            <v>JN353</v>
          </cell>
          <cell r="C6880" t="str">
            <v>ซาติน แขนสั้นขาสั้น Passion Fruit M ตัวโชว์</v>
          </cell>
          <cell r="E6880">
            <v>0</v>
          </cell>
          <cell r="F6880">
            <v>790</v>
          </cell>
        </row>
        <row r="6881">
          <cell r="A6881" t="str">
            <v>SN0353-XL</v>
          </cell>
          <cell r="B6881" t="str">
            <v>N353</v>
          </cell>
          <cell r="C6881" t="str">
            <v>ซาติน แขนสั้นขาสั้น Passion Fruit XL</v>
          </cell>
          <cell r="E6881">
            <v>0</v>
          </cell>
          <cell r="F6881">
            <v>790</v>
          </cell>
        </row>
        <row r="6882">
          <cell r="A6882" t="str">
            <v>SN0360-2XL</v>
          </cell>
          <cell r="B6882" t="str">
            <v>N360</v>
          </cell>
          <cell r="C6882" t="str">
            <v>[AD]    ซาติน แขนสั้นขาสั้น Comic book 2XL</v>
          </cell>
          <cell r="E6882">
            <v>0</v>
          </cell>
          <cell r="F6882">
            <v>790</v>
          </cell>
        </row>
        <row r="6883">
          <cell r="A6883" t="str">
            <v>SN0360-3XL</v>
          </cell>
          <cell r="B6883" t="str">
            <v>N360</v>
          </cell>
          <cell r="C6883" t="str">
            <v>ซาติน แขนสั้นขาสั้น Comic book 3XL</v>
          </cell>
          <cell r="E6883">
            <v>0</v>
          </cell>
          <cell r="F6883">
            <v>790</v>
          </cell>
        </row>
        <row r="6884">
          <cell r="A6884" t="str">
            <v>SN0360-L</v>
          </cell>
          <cell r="B6884" t="str">
            <v>N360</v>
          </cell>
          <cell r="C6884" t="str">
            <v>[AD]   ซาติน แขนสั้นขาสั้น Comic book L</v>
          </cell>
          <cell r="E6884">
            <v>0</v>
          </cell>
          <cell r="F6884">
            <v>790</v>
          </cell>
        </row>
        <row r="6885">
          <cell r="A6885" t="str">
            <v>SN0360-M</v>
          </cell>
          <cell r="B6885" t="str">
            <v>N360</v>
          </cell>
          <cell r="C6885" t="str">
            <v>[AD]   ซาติน แขนสั้นขาสั้น Comic book M</v>
          </cell>
          <cell r="E6885">
            <v>0</v>
          </cell>
          <cell r="F6885">
            <v>790</v>
          </cell>
        </row>
        <row r="6886">
          <cell r="A6886" t="str">
            <v>SN0360-XL</v>
          </cell>
          <cell r="B6886" t="str">
            <v>N360</v>
          </cell>
          <cell r="C6886" t="str">
            <v>[AD]    ซาติน แขนสั้นขาสั้น Comic book XL</v>
          </cell>
          <cell r="E6886">
            <v>0</v>
          </cell>
          <cell r="F6886">
            <v>790</v>
          </cell>
        </row>
        <row r="6887">
          <cell r="A6887" t="str">
            <v>SN0361-L</v>
          </cell>
          <cell r="B6887" t="str">
            <v>N361</v>
          </cell>
          <cell r="C6887" t="str">
            <v>ซาติน แขนสั้นขาสั้น Color Full L</v>
          </cell>
          <cell r="E6887">
            <v>0</v>
          </cell>
          <cell r="F6887">
            <v>790</v>
          </cell>
        </row>
        <row r="6888">
          <cell r="A6888" t="str">
            <v>SN0361-M</v>
          </cell>
          <cell r="B6888" t="str">
            <v>N361</v>
          </cell>
          <cell r="C6888" t="str">
            <v>ซาติน แขนสั้นขาสั้น Color Full M</v>
          </cell>
          <cell r="E6888">
            <v>0</v>
          </cell>
          <cell r="F6888">
            <v>790</v>
          </cell>
        </row>
        <row r="6889">
          <cell r="A6889" t="str">
            <v>SN0361-XL</v>
          </cell>
          <cell r="B6889" t="str">
            <v>N361</v>
          </cell>
          <cell r="C6889" t="str">
            <v>ซาติน แขนสั้นขาสั้น Color Full XL</v>
          </cell>
          <cell r="E6889">
            <v>0</v>
          </cell>
          <cell r="F6889">
            <v>790</v>
          </cell>
        </row>
        <row r="6890">
          <cell r="A6890" t="str">
            <v>SN0362-2XL</v>
          </cell>
          <cell r="B6890" t="str">
            <v>N362</v>
          </cell>
          <cell r="C6890" t="str">
            <v>ซาติน แขนสั้นขาสั้น New moon Art 2XL</v>
          </cell>
          <cell r="E6890">
            <v>0</v>
          </cell>
          <cell r="F6890">
            <v>790</v>
          </cell>
        </row>
        <row r="6891">
          <cell r="A6891" t="str">
            <v>SN0362-3XL</v>
          </cell>
          <cell r="B6891" t="str">
            <v>N362</v>
          </cell>
          <cell r="C6891" t="str">
            <v>ซาติน แขนสั้นขาสั้น New moon Art 3XL</v>
          </cell>
          <cell r="E6891">
            <v>0</v>
          </cell>
          <cell r="F6891">
            <v>790</v>
          </cell>
        </row>
        <row r="6892">
          <cell r="A6892" t="str">
            <v>SN0362-L</v>
          </cell>
          <cell r="B6892" t="str">
            <v>N362</v>
          </cell>
          <cell r="C6892" t="str">
            <v>ซาติน แขนสั้นขาสั้น New moon Art L</v>
          </cell>
          <cell r="E6892">
            <v>0</v>
          </cell>
          <cell r="F6892">
            <v>790</v>
          </cell>
        </row>
        <row r="6893">
          <cell r="A6893" t="str">
            <v>SN0362-M</v>
          </cell>
          <cell r="B6893" t="str">
            <v>N362</v>
          </cell>
          <cell r="C6893" t="str">
            <v>ซาติน แขนสั้นขาสั้น New moon Art M</v>
          </cell>
          <cell r="E6893">
            <v>0</v>
          </cell>
          <cell r="F6893">
            <v>790</v>
          </cell>
        </row>
        <row r="6894">
          <cell r="A6894" t="str">
            <v>SN0362-XL</v>
          </cell>
          <cell r="B6894" t="str">
            <v>N362</v>
          </cell>
          <cell r="C6894" t="str">
            <v>ซาติน แขนสั้นขาสั้น New moon Art XL</v>
          </cell>
          <cell r="E6894">
            <v>0</v>
          </cell>
          <cell r="F6894">
            <v>790</v>
          </cell>
        </row>
        <row r="6895">
          <cell r="A6895" t="str">
            <v>SN0369-L</v>
          </cell>
          <cell r="B6895" t="str">
            <v>N369</v>
          </cell>
          <cell r="C6895" t="str">
            <v>ซาติน แขนสั้นขาสั้น กุหลาบ ขอบชมพู พื้นขาว L</v>
          </cell>
          <cell r="E6895">
            <v>0</v>
          </cell>
          <cell r="F6895">
            <v>790</v>
          </cell>
        </row>
        <row r="6896">
          <cell r="A6896" t="str">
            <v>SN0369-M</v>
          </cell>
          <cell r="B6896" t="str">
            <v>N369</v>
          </cell>
          <cell r="C6896" t="str">
            <v>ซาติน แขนสั้นขาสั้น กุหลาบ ขอบชมพู พื้นขาว M</v>
          </cell>
          <cell r="E6896">
            <v>0</v>
          </cell>
          <cell r="F6896">
            <v>790</v>
          </cell>
        </row>
        <row r="6897">
          <cell r="A6897" t="str">
            <v>SN0377-L</v>
          </cell>
          <cell r="B6897" t="str">
            <v>N377</v>
          </cell>
          <cell r="C6897" t="str">
            <v>ซาติน แขนสั้นขาสั้น กระต่ายม่วง L</v>
          </cell>
          <cell r="E6897">
            <v>0</v>
          </cell>
          <cell r="F6897">
            <v>790</v>
          </cell>
        </row>
        <row r="6898">
          <cell r="A6898" t="str">
            <v>SN0377-M</v>
          </cell>
          <cell r="B6898" t="str">
            <v>N377</v>
          </cell>
          <cell r="C6898" t="str">
            <v>ซาติน แขนสั้นขาสั้น กระต่ายม่วง M</v>
          </cell>
          <cell r="E6898">
            <v>0</v>
          </cell>
          <cell r="F6898">
            <v>790</v>
          </cell>
        </row>
        <row r="6899">
          <cell r="A6899" t="str">
            <v>SN0378-L</v>
          </cell>
          <cell r="B6899" t="str">
            <v>N378</v>
          </cell>
          <cell r="C6899" t="str">
            <v>ซาติน แขนสั้นขาสั้น โบว์ดำ ทั่วตัว พื้นครีม L</v>
          </cell>
          <cell r="E6899">
            <v>0</v>
          </cell>
          <cell r="F6899">
            <v>790</v>
          </cell>
        </row>
        <row r="6900">
          <cell r="A6900" t="str">
            <v>SN0378-M</v>
          </cell>
          <cell r="B6900" t="str">
            <v>N378</v>
          </cell>
          <cell r="C6900" t="str">
            <v>ซาติน แขนสั้นขาสั้น โบว์ดำ ทั่วตัว พื้นครีม M</v>
          </cell>
          <cell r="E6900">
            <v>0</v>
          </cell>
          <cell r="F6900">
            <v>790</v>
          </cell>
        </row>
        <row r="6901">
          <cell r="A6901" t="str">
            <v>SN0379-L</v>
          </cell>
          <cell r="B6901" t="str">
            <v>N379</v>
          </cell>
          <cell r="C6901" t="str">
            <v>ซาติน แขนสั้นขาสั้น หัวใจฟ้า น้ำตาล พื้นขาว L</v>
          </cell>
          <cell r="E6901">
            <v>0</v>
          </cell>
          <cell r="F6901">
            <v>790</v>
          </cell>
        </row>
        <row r="6902">
          <cell r="A6902" t="str">
            <v>SN0379-M</v>
          </cell>
          <cell r="B6902" t="str">
            <v>N379</v>
          </cell>
          <cell r="C6902" t="str">
            <v>ซาติน แขนสั้นขาสั้น หัวใจฟ้า น้ำตาล พื้นขาว M</v>
          </cell>
          <cell r="E6902">
            <v>0</v>
          </cell>
          <cell r="F6902">
            <v>790</v>
          </cell>
        </row>
        <row r="6903">
          <cell r="A6903" t="str">
            <v>SN0380-L</v>
          </cell>
          <cell r="B6903" t="str">
            <v>N380</v>
          </cell>
          <cell r="C6903" t="str">
            <v>ซาติน แขนสั้นขาสั้น หัวใจฟ้า น้ำตาล พื้นชมพู L</v>
          </cell>
          <cell r="E6903">
            <v>0</v>
          </cell>
          <cell r="F6903">
            <v>790</v>
          </cell>
        </row>
        <row r="6904">
          <cell r="A6904" t="str">
            <v>SN0380-M</v>
          </cell>
          <cell r="B6904" t="str">
            <v>N380</v>
          </cell>
          <cell r="C6904" t="str">
            <v>ซาติน แขนสั้นขาสั้น หัวใจฟ้า น้ำตาล พื้นชมพู M</v>
          </cell>
          <cell r="E6904">
            <v>0</v>
          </cell>
          <cell r="F6904">
            <v>790</v>
          </cell>
        </row>
        <row r="6905">
          <cell r="A6905" t="str">
            <v>SN0380-XL</v>
          </cell>
          <cell r="B6905" t="str">
            <v>N380</v>
          </cell>
          <cell r="C6905" t="str">
            <v>ซาติน แขนสั้นขาสั้น หัวใจฟ้า น้ำตาล พื้นชมพู XL</v>
          </cell>
          <cell r="E6905">
            <v>0</v>
          </cell>
          <cell r="F6905">
            <v>790</v>
          </cell>
        </row>
        <row r="6906">
          <cell r="A6906" t="str">
            <v>SN0393-L</v>
          </cell>
          <cell r="B6906" t="str">
            <v>N393</v>
          </cell>
          <cell r="C6906" t="str">
            <v>ซาติน แขนสั้นขาสั้น enjoylife พื้นชมพู L</v>
          </cell>
          <cell r="E6906">
            <v>0</v>
          </cell>
          <cell r="F6906">
            <v>790</v>
          </cell>
        </row>
        <row r="6907">
          <cell r="A6907" t="str">
            <v>SN0393-M</v>
          </cell>
          <cell r="B6907" t="str">
            <v>N393</v>
          </cell>
          <cell r="C6907" t="str">
            <v>ซาติน แขนสั้นขาสั้น enjoylife พื้นชมพู M</v>
          </cell>
          <cell r="E6907">
            <v>0</v>
          </cell>
          <cell r="F6907">
            <v>790</v>
          </cell>
        </row>
        <row r="6908">
          <cell r="A6908" t="str">
            <v>SN0394-L</v>
          </cell>
          <cell r="B6908" t="str">
            <v>N394</v>
          </cell>
          <cell r="C6908" t="str">
            <v>ซาติน แขนสั้นขาสั้น enjoylife พื้นดำ L</v>
          </cell>
          <cell r="E6908">
            <v>0</v>
          </cell>
          <cell r="F6908">
            <v>790</v>
          </cell>
        </row>
        <row r="6909">
          <cell r="A6909" t="str">
            <v>SN0394-M</v>
          </cell>
          <cell r="B6909" t="str">
            <v>N394</v>
          </cell>
          <cell r="C6909" t="str">
            <v>ซาติน แขนสั้นขาสั้น enjoylife พื้นดำ M</v>
          </cell>
          <cell r="E6909">
            <v>0</v>
          </cell>
          <cell r="F6909">
            <v>790</v>
          </cell>
        </row>
        <row r="6910">
          <cell r="A6910" t="str">
            <v>SN0396-L</v>
          </cell>
          <cell r="B6910" t="str">
            <v>N396</v>
          </cell>
          <cell r="C6910" t="str">
            <v>ซาติน แขนสั้นขาสั้น enjoylife พื้นขาว L</v>
          </cell>
          <cell r="E6910">
            <v>0</v>
          </cell>
          <cell r="F6910">
            <v>790</v>
          </cell>
        </row>
        <row r="6911">
          <cell r="A6911" t="str">
            <v>SN0396-M</v>
          </cell>
          <cell r="B6911" t="str">
            <v>N396</v>
          </cell>
          <cell r="C6911" t="str">
            <v>ซาติน แขนสั้นขาสั้น enjoylife พื้นขาว M</v>
          </cell>
          <cell r="E6911">
            <v>0</v>
          </cell>
          <cell r="F6911">
            <v>790</v>
          </cell>
        </row>
        <row r="6912">
          <cell r="A6912" t="str">
            <v>SN0397-L</v>
          </cell>
          <cell r="B6912" t="str">
            <v>N397</v>
          </cell>
          <cell r="C6912" t="str">
            <v>ซาติน แขนสั้นขาสั้น enjoylife พื้นครีม L</v>
          </cell>
          <cell r="E6912">
            <v>0</v>
          </cell>
          <cell r="F6912">
            <v>790</v>
          </cell>
        </row>
        <row r="6913">
          <cell r="A6913" t="str">
            <v>SN0397-M</v>
          </cell>
          <cell r="B6913" t="str">
            <v>N397</v>
          </cell>
          <cell r="C6913" t="str">
            <v>ซาติน แขนสั้นขาสั้น enjoylife พื้นครีม M</v>
          </cell>
          <cell r="E6913">
            <v>0</v>
          </cell>
          <cell r="F6913">
            <v>790</v>
          </cell>
        </row>
        <row r="6914">
          <cell r="A6914" t="str">
            <v>SN0399-L</v>
          </cell>
          <cell r="B6914" t="str">
            <v>N399</v>
          </cell>
          <cell r="C6914" t="str">
            <v>ซาติน แขนสั้นขาสั้น พื้นเหลือง จุดขาว SLEEP L</v>
          </cell>
          <cell r="E6914">
            <v>0</v>
          </cell>
          <cell r="F6914">
            <v>790</v>
          </cell>
        </row>
        <row r="6915">
          <cell r="A6915" t="str">
            <v>SN0399-M</v>
          </cell>
          <cell r="B6915" t="str">
            <v>N399</v>
          </cell>
          <cell r="C6915" t="str">
            <v>ซาติน แขนสั้นขาสั้น พื้นเหลือง จุดขาว SLEEP M</v>
          </cell>
          <cell r="E6915">
            <v>0</v>
          </cell>
          <cell r="F6915">
            <v>790</v>
          </cell>
        </row>
        <row r="6916">
          <cell r="A6916" t="str">
            <v>SN0400-L</v>
          </cell>
          <cell r="B6916" t="str">
            <v>N400</v>
          </cell>
          <cell r="C6916" t="str">
            <v>ซาติน แขนสั้นขาสั้น พื้นขาว จุดเขียวอ่อน SLEEP L</v>
          </cell>
          <cell r="E6916">
            <v>0</v>
          </cell>
          <cell r="F6916">
            <v>790</v>
          </cell>
        </row>
        <row r="6917">
          <cell r="A6917" t="str">
            <v>SN0400-M</v>
          </cell>
          <cell r="B6917" t="str">
            <v>N400</v>
          </cell>
          <cell r="C6917" t="str">
            <v>ซาติน แขนสั้นขาสั้น พื้นขาว จุดเขียวอ่อน SLEEP M</v>
          </cell>
          <cell r="E6917">
            <v>0</v>
          </cell>
          <cell r="F6917">
            <v>790</v>
          </cell>
        </row>
        <row r="6918">
          <cell r="A6918" t="str">
            <v>SN0401-L</v>
          </cell>
          <cell r="B6918" t="str">
            <v>N401</v>
          </cell>
          <cell r="C6918" t="str">
            <v>ซาติน แขนสั้นขาสั้น พื้นขาว จุดชมพูอ่อน SLEEP L</v>
          </cell>
          <cell r="E6918">
            <v>0</v>
          </cell>
          <cell r="F6918">
            <v>790</v>
          </cell>
        </row>
        <row r="6919">
          <cell r="A6919" t="str">
            <v>SN0401-M</v>
          </cell>
          <cell r="B6919" t="str">
            <v>N401</v>
          </cell>
          <cell r="C6919" t="str">
            <v>ซาติน แขนสั้นขาสั้น พื้นขาว จุดชมพูอ่อน SLEEP M</v>
          </cell>
          <cell r="E6919">
            <v>0</v>
          </cell>
          <cell r="F6919">
            <v>790</v>
          </cell>
        </row>
        <row r="6920">
          <cell r="A6920" t="str">
            <v>SN0404-L</v>
          </cell>
          <cell r="B6920" t="str">
            <v>N404</v>
          </cell>
          <cell r="C6920" t="str">
            <v>ซาติน แขนสั้นขาสั้น ชิโนริ พื้นขาว กระเป๋า Queen L</v>
          </cell>
          <cell r="E6920">
            <v>0</v>
          </cell>
          <cell r="F6920">
            <v>790</v>
          </cell>
        </row>
        <row r="6921">
          <cell r="A6921" t="str">
            <v>SN0404-M</v>
          </cell>
          <cell r="B6921" t="str">
            <v>N404</v>
          </cell>
          <cell r="C6921" t="str">
            <v>ซาติน แขนสั้นขาสั้น ชิโนริ พื้นขาว กระเป๋า Queen M</v>
          </cell>
          <cell r="E6921">
            <v>0</v>
          </cell>
          <cell r="F6921">
            <v>790</v>
          </cell>
        </row>
        <row r="6922">
          <cell r="A6922" t="str">
            <v>SN0405-L</v>
          </cell>
          <cell r="B6922" t="str">
            <v>N405</v>
          </cell>
          <cell r="C6922" t="str">
            <v>ซาติน แขนสั้นขาสั้น ชิโนริ พื้นดำ กระเป๋า Queen L</v>
          </cell>
          <cell r="E6922">
            <v>0</v>
          </cell>
          <cell r="F6922">
            <v>790</v>
          </cell>
        </row>
        <row r="6923">
          <cell r="A6923" t="str">
            <v>SN0406-L</v>
          </cell>
          <cell r="B6923" t="str">
            <v>N406</v>
          </cell>
          <cell r="C6923" t="str">
            <v>ซาติน แขนสั้นขาสั้น ชิโนริ พื้นเทา กระเป๋า Queen L</v>
          </cell>
          <cell r="E6923">
            <v>0</v>
          </cell>
          <cell r="F6923">
            <v>790</v>
          </cell>
        </row>
        <row r="6924">
          <cell r="A6924" t="str">
            <v>SN0406-M</v>
          </cell>
          <cell r="B6924" t="str">
            <v>N406</v>
          </cell>
          <cell r="C6924" t="str">
            <v>ซาติน แขนสั้นขาสั้น ชิโนริ พื้นเทา กระเป๋า Queen M</v>
          </cell>
          <cell r="E6924">
            <v>0</v>
          </cell>
          <cell r="F6924">
            <v>790</v>
          </cell>
        </row>
        <row r="6925">
          <cell r="A6925" t="str">
            <v>SN0407-L</v>
          </cell>
          <cell r="B6925" t="str">
            <v>N407</v>
          </cell>
          <cell r="C6925" t="str">
            <v>ซาติน แขนสั้นขาสั้น ชิโนริ พื้นเขียว กระเป๋า Queen L</v>
          </cell>
          <cell r="E6925">
            <v>0</v>
          </cell>
          <cell r="F6925">
            <v>790</v>
          </cell>
        </row>
        <row r="6926">
          <cell r="A6926" t="str">
            <v>SN0407-M</v>
          </cell>
          <cell r="B6926" t="str">
            <v>N407</v>
          </cell>
          <cell r="C6926" t="str">
            <v>ซาติน แขนสั้นขาสั้น ชิโนริ พื้นเขียว กระเป๋า Queen M</v>
          </cell>
          <cell r="E6926">
            <v>0</v>
          </cell>
          <cell r="F6926">
            <v>790</v>
          </cell>
        </row>
        <row r="6927">
          <cell r="A6927" t="str">
            <v>SN0408-L</v>
          </cell>
          <cell r="B6927" t="str">
            <v>N408</v>
          </cell>
          <cell r="C6927" t="str">
            <v>ซาติน แขนสั้นขาสั้น ชิโนริ พื้นชมพู กระเป๋า Queen L</v>
          </cell>
          <cell r="E6927">
            <v>0</v>
          </cell>
          <cell r="F6927">
            <v>790</v>
          </cell>
        </row>
        <row r="6928">
          <cell r="A6928" t="str">
            <v>SN0408-M</v>
          </cell>
          <cell r="B6928" t="str">
            <v>N408</v>
          </cell>
          <cell r="C6928" t="str">
            <v>ซาติน แขนสั้นขาสั้น ชิโนริ พื้นชมพู กระเป๋า Queen M</v>
          </cell>
          <cell r="E6928">
            <v>0</v>
          </cell>
          <cell r="F6928">
            <v>790</v>
          </cell>
        </row>
        <row r="6929">
          <cell r="A6929" t="str">
            <v>SN0429-L</v>
          </cell>
          <cell r="B6929" t="str">
            <v>N429</v>
          </cell>
          <cell r="C6929" t="str">
            <v>ซาติน แขนสั้นขาสั้น ลายทาง แมว พื้นเทา L</v>
          </cell>
          <cell r="E6929">
            <v>0</v>
          </cell>
          <cell r="F6929">
            <v>790</v>
          </cell>
        </row>
        <row r="6930">
          <cell r="A6930" t="str">
            <v>SN0429-M</v>
          </cell>
          <cell r="B6930" t="str">
            <v>N429</v>
          </cell>
          <cell r="C6930" t="str">
            <v>ซาติน แขนสั้นขาสั้น ลายทาง แมว พื้นเทา M</v>
          </cell>
          <cell r="E6930">
            <v>0</v>
          </cell>
          <cell r="F6930">
            <v>790</v>
          </cell>
        </row>
        <row r="6931">
          <cell r="A6931" t="str">
            <v>SN0430-L</v>
          </cell>
          <cell r="B6931" t="str">
            <v>N430</v>
          </cell>
          <cell r="C6931" t="str">
            <v>ซาติน แขนสั้นขาสั้น ลายทาง หมา พื้นดำ L</v>
          </cell>
          <cell r="E6931">
            <v>0</v>
          </cell>
          <cell r="F6931">
            <v>790</v>
          </cell>
        </row>
        <row r="6932">
          <cell r="A6932" t="str">
            <v>SN0430-M</v>
          </cell>
          <cell r="B6932" t="str">
            <v>N430</v>
          </cell>
          <cell r="C6932" t="str">
            <v>ซาติน แขนสั้นขาสั้น ลายทาง หมา พื้นดำ M</v>
          </cell>
          <cell r="E6932">
            <v>0</v>
          </cell>
          <cell r="F6932">
            <v>790</v>
          </cell>
        </row>
        <row r="6933">
          <cell r="A6933" t="str">
            <v>SN0432-L</v>
          </cell>
          <cell r="B6933" t="str">
            <v>N432</v>
          </cell>
          <cell r="C6933" t="str">
            <v>ซาติน แขนสั้นขาสั้น Montel พื้นครีม L</v>
          </cell>
          <cell r="E6933">
            <v>0</v>
          </cell>
          <cell r="F6933">
            <v>790</v>
          </cell>
        </row>
        <row r="6934">
          <cell r="A6934" t="str">
            <v>SN0432-M</v>
          </cell>
          <cell r="B6934" t="str">
            <v>N432</v>
          </cell>
          <cell r="C6934" t="str">
            <v>ซาติน แขนสั้นขาสั้น Montel พื้นครีม M</v>
          </cell>
          <cell r="E6934">
            <v>0</v>
          </cell>
          <cell r="F6934">
            <v>790</v>
          </cell>
        </row>
        <row r="6935">
          <cell r="A6935" t="str">
            <v>SN0433-L</v>
          </cell>
          <cell r="B6935" t="str">
            <v>N433</v>
          </cell>
          <cell r="C6935" t="str">
            <v>ซาติน แขนสั้นขาสั้น Montel พื้นดำ L</v>
          </cell>
          <cell r="E6935">
            <v>0</v>
          </cell>
          <cell r="F6935">
            <v>790</v>
          </cell>
        </row>
        <row r="6936">
          <cell r="A6936" t="str">
            <v>SN0433-M</v>
          </cell>
          <cell r="B6936" t="str">
            <v>N433</v>
          </cell>
          <cell r="C6936" t="str">
            <v>ซาติน แขนสั้นขาสั้น Montel พื้นดำ M</v>
          </cell>
          <cell r="E6936">
            <v>0</v>
          </cell>
          <cell r="F6936">
            <v>790</v>
          </cell>
        </row>
        <row r="6937">
          <cell r="A6937" t="str">
            <v>SN0434-L</v>
          </cell>
          <cell r="B6937" t="str">
            <v>N434</v>
          </cell>
          <cell r="C6937" t="str">
            <v>ซาติน แขนสั้นขาสั้น Montel พื้นชมพู L</v>
          </cell>
          <cell r="E6937">
            <v>0</v>
          </cell>
          <cell r="F6937">
            <v>790</v>
          </cell>
        </row>
        <row r="6938">
          <cell r="A6938" t="str">
            <v>SN0434-M</v>
          </cell>
          <cell r="B6938" t="str">
            <v>N434</v>
          </cell>
          <cell r="C6938" t="str">
            <v>ซาติน แขนสั้นขาสั้น Montel พื้นชมพู M</v>
          </cell>
          <cell r="E6938">
            <v>0</v>
          </cell>
          <cell r="F6938">
            <v>790</v>
          </cell>
        </row>
        <row r="6939">
          <cell r="A6939" t="str">
            <v>SN0435-L</v>
          </cell>
          <cell r="B6939" t="str">
            <v>N435</v>
          </cell>
          <cell r="C6939" t="str">
            <v>ซาติน แขนสั้นขาสั้น Montel พื้นขาว L</v>
          </cell>
          <cell r="E6939">
            <v>0</v>
          </cell>
          <cell r="F6939">
            <v>790</v>
          </cell>
        </row>
        <row r="6940">
          <cell r="A6940" t="str">
            <v>SN0435-M</v>
          </cell>
          <cell r="B6940" t="str">
            <v>N435</v>
          </cell>
          <cell r="C6940" t="str">
            <v>ซาติน แขนสั้นขาสั้น Montel พื้นขาว M</v>
          </cell>
          <cell r="E6940">
            <v>0</v>
          </cell>
          <cell r="F6940">
            <v>790</v>
          </cell>
        </row>
        <row r="6941">
          <cell r="A6941" t="str">
            <v>SN0446-L</v>
          </cell>
          <cell r="B6941" t="str">
            <v>N446</v>
          </cell>
          <cell r="C6941" t="str">
            <v>ซาติน แขนสั้นขาสั้น Fabulous Bear พื้นชมพู L</v>
          </cell>
          <cell r="E6941">
            <v>0</v>
          </cell>
          <cell r="F6941">
            <v>790</v>
          </cell>
        </row>
        <row r="6942">
          <cell r="A6942" t="str">
            <v>SN0446-M</v>
          </cell>
          <cell r="B6942" t="str">
            <v>N446</v>
          </cell>
          <cell r="C6942" t="str">
            <v>ซาติน แขนสั้นขาสั้น&amp;nbsp;Fabulous Bear พื้นชมพู M</v>
          </cell>
          <cell r="E6942">
            <v>0</v>
          </cell>
          <cell r="F6942">
            <v>790</v>
          </cell>
        </row>
        <row r="6943">
          <cell r="A6943" t="str">
            <v>SN0447-L</v>
          </cell>
          <cell r="B6943" t="str">
            <v>N447</v>
          </cell>
          <cell r="C6943" t="str">
            <v>ซาติน แขนสั้นขาสั้น&amp;nbsp;Fabulous Bear พื้นฟ้า L</v>
          </cell>
          <cell r="E6943">
            <v>0</v>
          </cell>
          <cell r="F6943">
            <v>790</v>
          </cell>
        </row>
        <row r="6944">
          <cell r="A6944" t="str">
            <v>SN0447-M</v>
          </cell>
          <cell r="B6944" t="str">
            <v>N447</v>
          </cell>
          <cell r="C6944" t="str">
            <v>ซาติน แขนสั้นขาสั้น Fabulous Bear พื้นฟ้า M</v>
          </cell>
          <cell r="E6944">
            <v>0</v>
          </cell>
          <cell r="F6944">
            <v>790</v>
          </cell>
        </row>
        <row r="6945">
          <cell r="A6945" t="str">
            <v>SN0448-L</v>
          </cell>
          <cell r="B6945" t="str">
            <v>JN448</v>
          </cell>
          <cell r="C6945" t="str">
            <v>ซาติน แขนสั้นขาสั้น ส้ม พื้นชมพู L ตัวโชว์</v>
          </cell>
          <cell r="E6945">
            <v>0</v>
          </cell>
          <cell r="F6945">
            <v>790</v>
          </cell>
        </row>
        <row r="6946">
          <cell r="A6946" t="str">
            <v>SN0448-M</v>
          </cell>
          <cell r="B6946" t="str">
            <v>N448</v>
          </cell>
          <cell r="C6946" t="str">
            <v>ซาติน แขนสั้นขาสั้น&amp;nbsp;ส้ม พื้นชมพู M</v>
          </cell>
          <cell r="E6946">
            <v>0</v>
          </cell>
          <cell r="F6946">
            <v>790</v>
          </cell>
        </row>
        <row r="6947">
          <cell r="A6947" t="str">
            <v>SN0449-L</v>
          </cell>
          <cell r="B6947" t="str">
            <v>N449</v>
          </cell>
          <cell r="C6947" t="str">
            <v>ซาติน แขนสั้นขาสั้น&amp;nbsp;ส้ม พื้นม่วง L</v>
          </cell>
          <cell r="E6947">
            <v>0</v>
          </cell>
          <cell r="F6947">
            <v>790</v>
          </cell>
        </row>
        <row r="6948">
          <cell r="A6948" t="str">
            <v>SN0449-M</v>
          </cell>
          <cell r="B6948" t="str">
            <v>N449</v>
          </cell>
          <cell r="C6948" t="str">
            <v>ซาติน แขนสั้นขาสั้น&amp;nbsp;ส้ม พื้นม่วง M</v>
          </cell>
          <cell r="E6948">
            <v>0</v>
          </cell>
          <cell r="F6948">
            <v>790</v>
          </cell>
        </row>
        <row r="6949">
          <cell r="A6949" t="str">
            <v>SN0450-L</v>
          </cell>
          <cell r="B6949" t="str">
            <v>N450</v>
          </cell>
          <cell r="C6949" t="str">
            <v>ซาติน แขนสั้นแขนสั้น Stawberry พื้นชมพู L</v>
          </cell>
          <cell r="E6949">
            <v>0</v>
          </cell>
          <cell r="F6949">
            <v>790</v>
          </cell>
        </row>
        <row r="6950">
          <cell r="A6950" t="str">
            <v>SN0450-M</v>
          </cell>
          <cell r="B6950" t="str">
            <v>N450</v>
          </cell>
          <cell r="C6950" t="str">
            <v>ซาติน แขนสั้นแขนสั้น Stawberry พื้นชมพู M</v>
          </cell>
          <cell r="E6950">
            <v>0</v>
          </cell>
          <cell r="F6950">
            <v>790</v>
          </cell>
        </row>
        <row r="6951">
          <cell r="A6951" t="str">
            <v>SN0451-L</v>
          </cell>
          <cell r="B6951" t="str">
            <v>N451</v>
          </cell>
          <cell r="C6951" t="str">
            <v>ซาติน แขนสั้นแขนสั้น Stawberry พื้นม่วง L</v>
          </cell>
          <cell r="E6951">
            <v>0</v>
          </cell>
          <cell r="F6951">
            <v>790</v>
          </cell>
        </row>
        <row r="6952">
          <cell r="A6952" t="str">
            <v>SN0451-M</v>
          </cell>
          <cell r="B6952" t="str">
            <v>N451</v>
          </cell>
          <cell r="C6952" t="str">
            <v>ซาติน แขนสั้นแขนสั้น Stawberry พื้นม่วง M</v>
          </cell>
          <cell r="E6952">
            <v>0</v>
          </cell>
          <cell r="F6952">
            <v>790</v>
          </cell>
        </row>
        <row r="6953">
          <cell r="A6953" t="str">
            <v>SN0452-L</v>
          </cell>
          <cell r="B6953" t="str">
            <v>N452</v>
          </cell>
          <cell r="C6953" t="str">
            <v>ซาติน แขนสั้นแขนสั้น Stawberry พื้นขาว L</v>
          </cell>
          <cell r="E6953">
            <v>0</v>
          </cell>
          <cell r="F6953">
            <v>790</v>
          </cell>
        </row>
        <row r="6954">
          <cell r="A6954" t="str">
            <v>SN0452-M</v>
          </cell>
          <cell r="B6954" t="str">
            <v>N452</v>
          </cell>
          <cell r="C6954" t="str">
            <v>ซาติน แขนสั้นแขนสั้น Stawberry พื้นขาว M</v>
          </cell>
          <cell r="E6954">
            <v>0</v>
          </cell>
          <cell r="F6954">
            <v>790</v>
          </cell>
        </row>
        <row r="6955">
          <cell r="A6955" t="str">
            <v>SN0453-L</v>
          </cell>
          <cell r="B6955" t="str">
            <v>N453</v>
          </cell>
          <cell r="C6955" t="str">
            <v>ซาติน แขนสั้นแขนสั้น Small Bear พื้นม่วง L</v>
          </cell>
          <cell r="E6955">
            <v>0</v>
          </cell>
          <cell r="F6955">
            <v>790</v>
          </cell>
        </row>
        <row r="6956">
          <cell r="A6956" t="str">
            <v>SN0453-M</v>
          </cell>
          <cell r="B6956" t="str">
            <v>N453</v>
          </cell>
          <cell r="C6956" t="str">
            <v>ซาติน แขนสั้นแขนสั้น Small Bear พื้นม่วง M</v>
          </cell>
          <cell r="E6956">
            <v>0</v>
          </cell>
          <cell r="F6956">
            <v>790</v>
          </cell>
        </row>
        <row r="6957">
          <cell r="A6957" t="str">
            <v>SN0454-L</v>
          </cell>
          <cell r="B6957" t="str">
            <v>N454</v>
          </cell>
          <cell r="C6957" t="str">
            <v>ซาติน แขนสั้นแขนสั้น Small Bear พื้นขาว L</v>
          </cell>
          <cell r="E6957">
            <v>0</v>
          </cell>
          <cell r="F6957">
            <v>790</v>
          </cell>
        </row>
        <row r="6958">
          <cell r="A6958" t="str">
            <v>SN0454-M</v>
          </cell>
          <cell r="B6958" t="str">
            <v>N454</v>
          </cell>
          <cell r="C6958" t="str">
            <v>ซาติน แขนสั้นแขนสั้น Small Bear พื้นขาว M</v>
          </cell>
          <cell r="E6958">
            <v>0</v>
          </cell>
          <cell r="F6958">
            <v>790</v>
          </cell>
        </row>
        <row r="6959">
          <cell r="A6959" t="str">
            <v>SN0456-L</v>
          </cell>
          <cell r="B6959" t="str">
            <v>N456</v>
          </cell>
          <cell r="C6959" t="str">
            <v>ซาติน แขนสั้นแขนสั้น Waffle พื้นเทา L</v>
          </cell>
          <cell r="E6959">
            <v>0</v>
          </cell>
          <cell r="F6959">
            <v>790</v>
          </cell>
        </row>
        <row r="6960">
          <cell r="A6960" t="str">
            <v>SN0456-M</v>
          </cell>
          <cell r="B6960" t="str">
            <v>JN456</v>
          </cell>
          <cell r="C6960" t="str">
            <v>ซาติน แขนสั้นแขนสั้น&amp;nbsp;Waffle พื้นเทา M ตัวโชว์</v>
          </cell>
          <cell r="E6960">
            <v>0</v>
          </cell>
          <cell r="F6960">
            <v>790</v>
          </cell>
        </row>
        <row r="6961">
          <cell r="A6961" t="str">
            <v>SN0457-L</v>
          </cell>
          <cell r="B6961" t="str">
            <v>N457</v>
          </cell>
          <cell r="C6961" t="str">
            <v>ซาติน แขนสั้นแขนสั้น Waffle พื้นฟ้า L</v>
          </cell>
          <cell r="E6961">
            <v>0</v>
          </cell>
          <cell r="F6961">
            <v>790</v>
          </cell>
        </row>
        <row r="6962">
          <cell r="A6962" t="str">
            <v>SN0458-L</v>
          </cell>
          <cell r="B6962" t="str">
            <v>N458</v>
          </cell>
          <cell r="C6962" t="str">
            <v>ซาติน แขนสั้นแขนสั้น&amp;nbsp;Waffle พื้นชมพู L</v>
          </cell>
          <cell r="E6962">
            <v>0</v>
          </cell>
          <cell r="F6962">
            <v>790</v>
          </cell>
        </row>
        <row r="6963">
          <cell r="A6963" t="str">
            <v>SN0459-L</v>
          </cell>
          <cell r="B6963" t="str">
            <v>N459</v>
          </cell>
          <cell r="C6963" t="str">
            <v>ซาติน แขนสั้นแขนสั้น&amp;nbsp;Waffle พื้นขาว L</v>
          </cell>
          <cell r="E6963">
            <v>0</v>
          </cell>
          <cell r="F6963">
            <v>790</v>
          </cell>
        </row>
        <row r="6964">
          <cell r="A6964" t="str">
            <v>SN0461-L</v>
          </cell>
          <cell r="B6964" t="str">
            <v>N461</v>
          </cell>
          <cell r="C6964" t="str">
            <v>ซาติน แขนสั้นขาสั้น Bear I miss you พื้นฟ้า L</v>
          </cell>
          <cell r="E6964">
            <v>0</v>
          </cell>
          <cell r="F6964">
            <v>790</v>
          </cell>
        </row>
        <row r="6965">
          <cell r="A6965" t="str">
            <v>SN0461-M</v>
          </cell>
          <cell r="B6965" t="str">
            <v>N461</v>
          </cell>
          <cell r="C6965" t="str">
            <v>ซาติน แขนสั้นขาสั้น Bear I miss you พื้นฟ้า M</v>
          </cell>
          <cell r="E6965">
            <v>0</v>
          </cell>
          <cell r="F6965">
            <v>790</v>
          </cell>
        </row>
        <row r="6966">
          <cell r="A6966" t="str">
            <v>SN0462-L</v>
          </cell>
          <cell r="B6966" t="str">
            <v>N462</v>
          </cell>
          <cell r="C6966" t="str">
            <v>ซาติน แขนสั้นขาสั้น Bear I miss you พื้นชมพู L</v>
          </cell>
          <cell r="E6966">
            <v>0</v>
          </cell>
          <cell r="F6966">
            <v>790</v>
          </cell>
        </row>
        <row r="6967">
          <cell r="A6967" t="str">
            <v>SN0462-M</v>
          </cell>
          <cell r="B6967" t="str">
            <v>N462</v>
          </cell>
          <cell r="C6967" t="str">
            <v>ซาติน แขนสั้นขาสั้น Bear I miss you พื้นชมพู M</v>
          </cell>
          <cell r="E6967">
            <v>0</v>
          </cell>
          <cell r="F6967">
            <v>790</v>
          </cell>
        </row>
        <row r="6968">
          <cell r="A6968" t="str">
            <v>SN0463-L</v>
          </cell>
          <cell r="B6968" t="str">
            <v>N463</v>
          </cell>
          <cell r="C6968" t="str">
            <v>ซาติน แขนสั้นขาสั้น Bear I miss you พื้นขาว L</v>
          </cell>
          <cell r="E6968">
            <v>0</v>
          </cell>
          <cell r="F6968">
            <v>790</v>
          </cell>
        </row>
        <row r="6969">
          <cell r="A6969" t="str">
            <v>SN0463-M</v>
          </cell>
          <cell r="B6969" t="str">
            <v>N463</v>
          </cell>
          <cell r="C6969" t="str">
            <v>ซาติน แขนสั้นขาสั้น Bear I miss you พื้นขาว M</v>
          </cell>
          <cell r="E6969">
            <v>0</v>
          </cell>
          <cell r="F6969">
            <v>790</v>
          </cell>
        </row>
        <row r="6970">
          <cell r="A6970" t="str">
            <v>SN0464-L</v>
          </cell>
          <cell r="B6970" t="str">
            <v>N464</v>
          </cell>
          <cell r="C6970" t="str">
            <v>ซาติน แขนสั้นขาสั้น Fat Cat พื้นขาว L</v>
          </cell>
          <cell r="E6970">
            <v>0</v>
          </cell>
          <cell r="F6970">
            <v>790</v>
          </cell>
        </row>
        <row r="6971">
          <cell r="A6971" t="str">
            <v>SN0464-M</v>
          </cell>
          <cell r="B6971" t="str">
            <v>N464</v>
          </cell>
          <cell r="C6971" t="str">
            <v>ซาติน แขนสั้นขาสั้น Fat Cat พื้นขาว M</v>
          </cell>
          <cell r="E6971">
            <v>0</v>
          </cell>
          <cell r="F6971">
            <v>790</v>
          </cell>
        </row>
        <row r="6972">
          <cell r="A6972" t="str">
            <v>SN0465-L</v>
          </cell>
          <cell r="B6972" t="str">
            <v>N465</v>
          </cell>
          <cell r="C6972" t="str">
            <v>ซาติน แขนสั้นขาสั้น Fat Cat พื้นชมพู L</v>
          </cell>
          <cell r="E6972">
            <v>0</v>
          </cell>
          <cell r="F6972">
            <v>790</v>
          </cell>
        </row>
        <row r="6973">
          <cell r="A6973" t="str">
            <v>SN0465-M</v>
          </cell>
          <cell r="B6973" t="str">
            <v>N465</v>
          </cell>
          <cell r="C6973" t="str">
            <v>ซาติน แขนสั้นขาสั้น Fat Cat พื้นชมพู M</v>
          </cell>
          <cell r="E6973">
            <v>0</v>
          </cell>
          <cell r="F6973">
            <v>790</v>
          </cell>
        </row>
        <row r="6974">
          <cell r="A6974" t="str">
            <v>SN0466-L</v>
          </cell>
          <cell r="B6974" t="str">
            <v>N466</v>
          </cell>
          <cell r="C6974" t="str">
            <v>ซาติน แขนสั้นขาสั้น Fat Cat พื้นเขียว L</v>
          </cell>
          <cell r="E6974">
            <v>0</v>
          </cell>
          <cell r="F6974">
            <v>790</v>
          </cell>
        </row>
        <row r="6975">
          <cell r="A6975" t="str">
            <v>SN0466-M</v>
          </cell>
          <cell r="B6975" t="str">
            <v>N466</v>
          </cell>
          <cell r="C6975" t="str">
            <v>ซาติน แขนสั้นขาสั้น Fat Cat พื้นเขียว M</v>
          </cell>
          <cell r="E6975">
            <v>0</v>
          </cell>
          <cell r="F6975">
            <v>790</v>
          </cell>
        </row>
        <row r="6976">
          <cell r="A6976" t="str">
            <v>SN0467-L</v>
          </cell>
          <cell r="B6976" t="str">
            <v>N467</v>
          </cell>
          <cell r="C6976" t="str">
            <v>ซาติน แขนสั้นขาสั้น Fat Cat พื้นม่วง L</v>
          </cell>
          <cell r="E6976">
            <v>0</v>
          </cell>
          <cell r="F6976">
            <v>790</v>
          </cell>
        </row>
        <row r="6977">
          <cell r="A6977" t="str">
            <v>SN0476-L</v>
          </cell>
          <cell r="B6977" t="str">
            <v>N476</v>
          </cell>
          <cell r="C6977" t="str">
            <v>ซาติน แขนสั้นขาสั้น love and balloon ชมพู L</v>
          </cell>
          <cell r="E6977">
            <v>0</v>
          </cell>
          <cell r="F6977">
            <v>790</v>
          </cell>
        </row>
        <row r="6978">
          <cell r="A6978" t="str">
            <v>SN0476-M</v>
          </cell>
          <cell r="B6978" t="str">
            <v>JN476</v>
          </cell>
          <cell r="C6978" t="str">
            <v>ซาติน แขนสั้นขาสั้น love and balloon ชมพู M ตัวโชว์</v>
          </cell>
          <cell r="E6978">
            <v>0</v>
          </cell>
          <cell r="F6978">
            <v>790</v>
          </cell>
        </row>
        <row r="6979">
          <cell r="A6979" t="str">
            <v>SN0477-L</v>
          </cell>
          <cell r="B6979" t="str">
            <v>N477</v>
          </cell>
          <cell r="C6979" t="str">
            <v>ซาติน แขนสั้นขาสั้น love and balloon ม่วง L</v>
          </cell>
          <cell r="E6979">
            <v>0</v>
          </cell>
          <cell r="F6979">
            <v>790</v>
          </cell>
        </row>
        <row r="6980">
          <cell r="A6980" t="str">
            <v>SN0477-M</v>
          </cell>
          <cell r="B6980" t="str">
            <v>JN477</v>
          </cell>
          <cell r="C6980" t="str">
            <v>ซาติน แขนสั้นขาสั้น love and balloon ม่วง M ตัวโชว์</v>
          </cell>
          <cell r="E6980">
            <v>0</v>
          </cell>
          <cell r="F6980">
            <v>790</v>
          </cell>
        </row>
        <row r="6981">
          <cell r="A6981" t="str">
            <v>SN0478-L</v>
          </cell>
          <cell r="B6981" t="str">
            <v>BN478</v>
          </cell>
          <cell r="C6981" t="str">
            <v>ซาติน แขนสั้นขาสั้น fashion and girl ส้ม L</v>
          </cell>
          <cell r="E6981">
            <v>0</v>
          </cell>
          <cell r="F6981">
            <v>790</v>
          </cell>
        </row>
        <row r="6982">
          <cell r="A6982" t="str">
            <v>SN0478-M</v>
          </cell>
          <cell r="B6982" t="str">
            <v>JN478</v>
          </cell>
          <cell r="C6982" t="str">
            <v>ซาติน แขนสั้นขาสั้น fashion and girl ส้ม M ตัวโชว์</v>
          </cell>
          <cell r="E6982">
            <v>0</v>
          </cell>
          <cell r="F6982">
            <v>790</v>
          </cell>
        </row>
        <row r="6983">
          <cell r="A6983" t="str">
            <v>SN0479-L</v>
          </cell>
          <cell r="B6983" t="str">
            <v>N479</v>
          </cell>
          <cell r="C6983" t="str">
            <v>ซาติน แขนสั้นขาสั้น fashion and girl เขียว L</v>
          </cell>
          <cell r="E6983">
            <v>0</v>
          </cell>
          <cell r="F6983">
            <v>790</v>
          </cell>
        </row>
        <row r="6984">
          <cell r="A6984" t="str">
            <v>SN0480-L</v>
          </cell>
          <cell r="B6984" t="str">
            <v>N480</v>
          </cell>
          <cell r="C6984" t="str">
            <v>ซาติน แขนสั้นขาสั้น ดอกมะลิ พื้นขาว L</v>
          </cell>
          <cell r="E6984">
            <v>0</v>
          </cell>
          <cell r="F6984">
            <v>790</v>
          </cell>
        </row>
        <row r="6985">
          <cell r="A6985" t="str">
            <v>SN0481-L</v>
          </cell>
          <cell r="B6985" t="str">
            <v>JN481</v>
          </cell>
          <cell r="C6985" t="str">
            <v>ซาติน แขนสั้นขาสั้น ดอกมะลิ พื้นม่วง L (กปก) ตัวโชว์</v>
          </cell>
          <cell r="E6985">
            <v>0</v>
          </cell>
          <cell r="F6985">
            <v>790</v>
          </cell>
        </row>
        <row r="6986">
          <cell r="A6986" t="str">
            <v>SN0481-M</v>
          </cell>
          <cell r="B6986" t="str">
            <v>BN481</v>
          </cell>
          <cell r="C6986" t="str">
            <v>ซาติน แขนสั้นขาสั้น ดอกมะลิ พื้นม่วง M (กปก)</v>
          </cell>
          <cell r="E6986">
            <v>0</v>
          </cell>
          <cell r="F6986">
            <v>790</v>
          </cell>
        </row>
        <row r="6987">
          <cell r="A6987" t="str">
            <v>SN0482-2XL</v>
          </cell>
          <cell r="B6987" t="str">
            <v>N482</v>
          </cell>
          <cell r="C6987" t="str">
            <v>[AD]  ซาติน แขนสั้นขาสั้น Sleep Cat พื้นฟ้า 2XL</v>
          </cell>
          <cell r="E6987">
            <v>0</v>
          </cell>
          <cell r="F6987">
            <v>790</v>
          </cell>
        </row>
        <row r="6988">
          <cell r="A6988" t="str">
            <v>SN0482-L</v>
          </cell>
          <cell r="B6988" t="str">
            <v>N482</v>
          </cell>
          <cell r="C6988" t="str">
            <v>[AD]  ซาติน แขนสั้นขาสั้น Sleep Cat พื้นฟ้า L</v>
          </cell>
          <cell r="E6988">
            <v>0</v>
          </cell>
          <cell r="F6988">
            <v>790</v>
          </cell>
        </row>
        <row r="6989">
          <cell r="A6989" t="str">
            <v>SN0482-M</v>
          </cell>
          <cell r="B6989" t="str">
            <v>N482</v>
          </cell>
          <cell r="C6989" t="str">
            <v>[AD]      ซาติน แขนสั้นขาสั้น Sleep Cat พื้นฟ้า M</v>
          </cell>
          <cell r="E6989">
            <v>0</v>
          </cell>
          <cell r="F6989">
            <v>790</v>
          </cell>
        </row>
        <row r="6990">
          <cell r="A6990" t="str">
            <v>SN0482-XL</v>
          </cell>
          <cell r="B6990" t="str">
            <v>N482</v>
          </cell>
          <cell r="C6990" t="str">
            <v>[AD]  ซาติน แขนสั้นขาสั้น Sleep Cat พื้นฟ้า XL</v>
          </cell>
          <cell r="E6990">
            <v>0</v>
          </cell>
          <cell r="F6990">
            <v>790</v>
          </cell>
        </row>
        <row r="6991">
          <cell r="A6991" t="str">
            <v>SN0483-L</v>
          </cell>
          <cell r="B6991" t="str">
            <v>N483</v>
          </cell>
          <cell r="C6991" t="str">
            <v>ซาติน แขนสั้นขาสั้น หมีตารางฟ้า L</v>
          </cell>
          <cell r="E6991">
            <v>0</v>
          </cell>
          <cell r="F6991">
            <v>790</v>
          </cell>
        </row>
        <row r="6992">
          <cell r="A6992" t="str">
            <v>SN0484-L</v>
          </cell>
          <cell r="B6992" t="str">
            <v>N484</v>
          </cell>
          <cell r="C6992" t="str">
            <v>ซาติน แขนสั้นขาสั้น หมีตารางเขียว L</v>
          </cell>
          <cell r="E6992">
            <v>0</v>
          </cell>
          <cell r="F6992">
            <v>790</v>
          </cell>
        </row>
        <row r="6993">
          <cell r="A6993" t="str">
            <v>SN0485-L</v>
          </cell>
          <cell r="B6993" t="str">
            <v>N485</v>
          </cell>
          <cell r="C6993" t="str">
            <v>ซาติน แขนสั้นขาสั้น Cute Bear ขาว-ดำ L</v>
          </cell>
          <cell r="E6993">
            <v>0</v>
          </cell>
          <cell r="F6993">
            <v>790</v>
          </cell>
        </row>
        <row r="6994">
          <cell r="A6994" t="str">
            <v>SN0485-M</v>
          </cell>
          <cell r="B6994" t="str">
            <v>N485</v>
          </cell>
          <cell r="C6994" t="str">
            <v>ซาติน แขนสั้นขาสั้น Cute Bear ขาว-ดำ M</v>
          </cell>
          <cell r="E6994">
            <v>0</v>
          </cell>
          <cell r="F6994">
            <v>790</v>
          </cell>
        </row>
        <row r="6995">
          <cell r="A6995" t="str">
            <v>SN0490-2XL</v>
          </cell>
          <cell r="B6995" t="str">
            <v>N490</v>
          </cell>
          <cell r="C6995" t="str">
            <v>ซาติน แขนสั้นขาสั้น Summer Tiger  (มีกปก) 2XL</v>
          </cell>
          <cell r="E6995">
            <v>0</v>
          </cell>
          <cell r="F6995">
            <v>790</v>
          </cell>
        </row>
        <row r="6996">
          <cell r="A6996" t="str">
            <v>SN0490-3XL</v>
          </cell>
          <cell r="B6996" t="str">
            <v>N490</v>
          </cell>
          <cell r="C6996" t="str">
            <v>ซาติน แขนสั้นขาสั้น Summer Tiger (มีกปก) 3XL</v>
          </cell>
          <cell r="E6996">
            <v>0</v>
          </cell>
          <cell r="F6996">
            <v>790</v>
          </cell>
        </row>
        <row r="6997">
          <cell r="A6997" t="str">
            <v>SN0490-L</v>
          </cell>
          <cell r="B6997" t="str">
            <v>N490</v>
          </cell>
          <cell r="C6997" t="str">
            <v>ซาติน แขนสั้นขาสั้น Summer Tiger  (มีกปก) L</v>
          </cell>
          <cell r="E6997">
            <v>0</v>
          </cell>
          <cell r="F6997">
            <v>790</v>
          </cell>
        </row>
        <row r="6998">
          <cell r="A6998" t="str">
            <v>SN0490-M</v>
          </cell>
          <cell r="B6998" t="str">
            <v>QN490</v>
          </cell>
          <cell r="C6998" t="str">
            <v>ซาติน แขนสั้นขาสั้น Summer Tiger  (มีกปก) M QC</v>
          </cell>
          <cell r="E6998">
            <v>0</v>
          </cell>
          <cell r="F6998">
            <v>790</v>
          </cell>
        </row>
        <row r="6999">
          <cell r="A6999" t="str">
            <v>SN0490-XL</v>
          </cell>
          <cell r="B6999" t="str">
            <v>N490</v>
          </cell>
          <cell r="C6999" t="str">
            <v>ซาติน แขนสั้นขาสั้น Summer Tiger  (มีกปก) XL</v>
          </cell>
          <cell r="E6999">
            <v>0</v>
          </cell>
          <cell r="F6999">
            <v>790</v>
          </cell>
        </row>
        <row r="7000">
          <cell r="A7000" t="str">
            <v>SN0491-L</v>
          </cell>
          <cell r="B7000" t="str">
            <v>N491</v>
          </cell>
          <cell r="C7000" t="str">
            <v>ซาติน แขนสั้นขาสั้น Cute Heart กระต่าย ชมพู L</v>
          </cell>
          <cell r="E7000">
            <v>0</v>
          </cell>
          <cell r="F7000">
            <v>790</v>
          </cell>
        </row>
        <row r="7001">
          <cell r="A7001" t="str">
            <v>SN0491-M</v>
          </cell>
          <cell r="B7001" t="str">
            <v>N491</v>
          </cell>
          <cell r="C7001" t="str">
            <v>ซาติน แขนสั้นขาสั้น Cute Heart กระต่าย ชมพู M</v>
          </cell>
          <cell r="E7001">
            <v>0</v>
          </cell>
          <cell r="F7001">
            <v>790</v>
          </cell>
        </row>
        <row r="7002">
          <cell r="A7002" t="str">
            <v>SN0491-XL</v>
          </cell>
          <cell r="B7002" t="str">
            <v>N491</v>
          </cell>
          <cell r="C7002" t="str">
            <v>ซาติน แขนสั้นขาสั้น Cute Heart กระต่าย ชมพู XL</v>
          </cell>
          <cell r="E7002">
            <v>0</v>
          </cell>
          <cell r="F7002">
            <v>790</v>
          </cell>
        </row>
        <row r="7003">
          <cell r="A7003" t="str">
            <v>SN0492-L</v>
          </cell>
          <cell r="B7003" t="str">
            <v>N492</v>
          </cell>
          <cell r="C7003" t="str">
            <v>ซาติน แขนสั้นขาสั้น Brown Squirrel L</v>
          </cell>
          <cell r="E7003">
            <v>0</v>
          </cell>
          <cell r="F7003">
            <v>790</v>
          </cell>
        </row>
        <row r="7004">
          <cell r="A7004" t="str">
            <v>SN0492-XL</v>
          </cell>
          <cell r="B7004" t="str">
            <v>N492</v>
          </cell>
          <cell r="C7004" t="str">
            <v>ซาติน แขนสั้นขาสั้น Brown Squirrel XL</v>
          </cell>
          <cell r="E7004">
            <v>0</v>
          </cell>
          <cell r="F7004">
            <v>790</v>
          </cell>
        </row>
        <row r="7005">
          <cell r="A7005" t="str">
            <v>SN0493-L</v>
          </cell>
          <cell r="B7005" t="str">
            <v>N493</v>
          </cell>
          <cell r="C7005" t="str">
            <v>ซาติน แขนสั้นขาสั้น Pink Squirrel L</v>
          </cell>
          <cell r="E7005">
            <v>0</v>
          </cell>
          <cell r="F7005">
            <v>790</v>
          </cell>
        </row>
        <row r="7006">
          <cell r="A7006" t="str">
            <v>SN0493-XL</v>
          </cell>
          <cell r="B7006" t="str">
            <v>N493</v>
          </cell>
          <cell r="C7006" t="str">
            <v>ซาติน แขนสั้นขาสั้น Pink Squirrel XL</v>
          </cell>
          <cell r="E7006">
            <v>0</v>
          </cell>
          <cell r="F7006">
            <v>790</v>
          </cell>
        </row>
        <row r="7007">
          <cell r="A7007" t="str">
            <v>SN0494-L</v>
          </cell>
          <cell r="B7007" t="str">
            <v>QN494</v>
          </cell>
          <cell r="C7007" t="str">
            <v>ซาติน แขนสั้นขาสั้น Angel Bow L QC</v>
          </cell>
          <cell r="E7007">
            <v>0</v>
          </cell>
          <cell r="F7007">
            <v>790</v>
          </cell>
        </row>
        <row r="7008">
          <cell r="A7008" t="str">
            <v>SN0494-XL</v>
          </cell>
          <cell r="B7008" t="str">
            <v>N494</v>
          </cell>
          <cell r="C7008" t="str">
            <v>ซาติน แขนสั้นขาสั้น Angel Bow XL</v>
          </cell>
          <cell r="E7008">
            <v>0</v>
          </cell>
          <cell r="F7008">
            <v>790</v>
          </cell>
        </row>
        <row r="7009">
          <cell r="A7009" t="str">
            <v>SN0495-L</v>
          </cell>
          <cell r="B7009" t="str">
            <v>N495</v>
          </cell>
          <cell r="C7009" t="str">
            <v>ซาติน แขนสั้นขาสั้น Cute Heart กระต่าย เขียว L</v>
          </cell>
          <cell r="E7009">
            <v>0</v>
          </cell>
          <cell r="F7009">
            <v>790</v>
          </cell>
        </row>
        <row r="7010">
          <cell r="A7010" t="str">
            <v>SN0495-XL</v>
          </cell>
          <cell r="B7010" t="str">
            <v>N495</v>
          </cell>
          <cell r="C7010" t="str">
            <v>ซาติน แขนสั้นขาสั้น Cute Heart กระต่าย เขียว XL</v>
          </cell>
          <cell r="E7010">
            <v>0</v>
          </cell>
          <cell r="F7010">
            <v>790</v>
          </cell>
        </row>
        <row r="7011">
          <cell r="A7011" t="str">
            <v>SN0496-L</v>
          </cell>
          <cell r="B7011" t="str">
            <v>N496</v>
          </cell>
          <cell r="C7011" t="str">
            <v>ซาติน แขนสั้นขาสั้น Cute Bear White L</v>
          </cell>
          <cell r="E7011">
            <v>0</v>
          </cell>
          <cell r="F7011">
            <v>790</v>
          </cell>
        </row>
        <row r="7012">
          <cell r="A7012" t="str">
            <v>SN0496-M</v>
          </cell>
          <cell r="B7012" t="str">
            <v>N496</v>
          </cell>
          <cell r="C7012" t="str">
            <v>ซาติน แขนสั้นขาสั้น Cute Bear White M</v>
          </cell>
          <cell r="E7012">
            <v>0</v>
          </cell>
          <cell r="F7012">
            <v>790</v>
          </cell>
        </row>
        <row r="7013">
          <cell r="A7013" t="str">
            <v>SN0497-L</v>
          </cell>
          <cell r="B7013" t="str">
            <v>N497</v>
          </cell>
          <cell r="C7013" t="str">
            <v>ซาติน แขนสั้นขาสั้น Cute Bear Pink L</v>
          </cell>
          <cell r="E7013">
            <v>0</v>
          </cell>
          <cell r="F7013">
            <v>790</v>
          </cell>
        </row>
        <row r="7014">
          <cell r="A7014" t="str">
            <v>SN0497-M</v>
          </cell>
          <cell r="B7014" t="str">
            <v>JN497</v>
          </cell>
          <cell r="C7014" t="str">
            <v>ซาติน แขนสั้นขาสั้น Cute Bear Pink M ตัวโชว์</v>
          </cell>
          <cell r="E7014">
            <v>0</v>
          </cell>
          <cell r="F7014">
            <v>790</v>
          </cell>
        </row>
        <row r="7015">
          <cell r="A7015" t="str">
            <v>SN0498-L</v>
          </cell>
          <cell r="B7015" t="str">
            <v>N498</v>
          </cell>
          <cell r="C7015" t="str">
            <v>ซาติน แขนสั้นขาสั้น เรือสำราญ พื้นเทา L</v>
          </cell>
          <cell r="E7015">
            <v>0</v>
          </cell>
          <cell r="F7015">
            <v>790</v>
          </cell>
        </row>
        <row r="7016">
          <cell r="A7016" t="str">
            <v>SN0498-M</v>
          </cell>
          <cell r="B7016" t="str">
            <v>N498</v>
          </cell>
          <cell r="C7016" t="str">
            <v>ซาติน แขนสั้นขาสั้น เรือสำราญ พื้นเทา M</v>
          </cell>
          <cell r="E7016">
            <v>0</v>
          </cell>
          <cell r="F7016">
            <v>790</v>
          </cell>
        </row>
        <row r="7017">
          <cell r="A7017" t="str">
            <v>SN0498-XL</v>
          </cell>
          <cell r="B7017" t="str">
            <v>N498</v>
          </cell>
          <cell r="C7017" t="str">
            <v>ซาติน แขนสั้นขาสั้น เรือสำราญ พื้นเทา XL</v>
          </cell>
          <cell r="E7017">
            <v>0</v>
          </cell>
          <cell r="F7017">
            <v>790</v>
          </cell>
        </row>
        <row r="7018">
          <cell r="A7018" t="str">
            <v>SN0499-L</v>
          </cell>
          <cell r="B7018" t="str">
            <v>N499</v>
          </cell>
          <cell r="C7018" t="str">
            <v>ซาติน  แขนสั้นขาสั้น เสือดาว จุดชมพูม่วง L</v>
          </cell>
          <cell r="E7018">
            <v>0</v>
          </cell>
          <cell r="F7018">
            <v>790</v>
          </cell>
        </row>
        <row r="7019">
          <cell r="A7019" t="str">
            <v>SN0499-M</v>
          </cell>
          <cell r="B7019" t="str">
            <v>N499</v>
          </cell>
          <cell r="C7019" t="str">
            <v>ซาติน  แขนสั้นขาสั้น เสือดาว จุดชมพูม่วง  M</v>
          </cell>
          <cell r="E7019">
            <v>0</v>
          </cell>
          <cell r="F7019">
            <v>790</v>
          </cell>
        </row>
        <row r="7020">
          <cell r="A7020" t="str">
            <v>SN0499-S</v>
          </cell>
          <cell r="B7020" t="str">
            <v>N499</v>
          </cell>
          <cell r="C7020" t="str">
            <v>ซาติน  แขนสั้นขาสั้น เสือดาว จุดชมพูม่วง S</v>
          </cell>
          <cell r="E7020">
            <v>0</v>
          </cell>
          <cell r="F7020">
            <v>790</v>
          </cell>
        </row>
        <row r="7021">
          <cell r="A7021" t="str">
            <v>SN0500-L</v>
          </cell>
          <cell r="B7021" t="str">
            <v>N500</v>
          </cell>
          <cell r="C7021" t="str">
            <v>ซาติน  แขนสั้นขาสั้น เสือดาว พื้นครีมอ่อน L</v>
          </cell>
          <cell r="E7021">
            <v>0</v>
          </cell>
          <cell r="F7021">
            <v>790</v>
          </cell>
        </row>
        <row r="7022">
          <cell r="A7022" t="str">
            <v>SN0500-M</v>
          </cell>
          <cell r="B7022" t="str">
            <v>N500</v>
          </cell>
          <cell r="C7022" t="str">
            <v>ซาติน  แขนสั้นขาสั้น เสือดาว พื้นครีมอ่อน M</v>
          </cell>
          <cell r="E7022">
            <v>0</v>
          </cell>
          <cell r="F7022">
            <v>790</v>
          </cell>
        </row>
        <row r="7023">
          <cell r="A7023" t="str">
            <v>SN0500-S</v>
          </cell>
          <cell r="B7023" t="str">
            <v>N500</v>
          </cell>
          <cell r="C7023" t="str">
            <v>ซาติน  แขนสั้นขาสั้น เสือดาว พื้นครีมอ่อน S</v>
          </cell>
          <cell r="E7023">
            <v>0</v>
          </cell>
          <cell r="F7023">
            <v>790</v>
          </cell>
        </row>
        <row r="7024">
          <cell r="A7024" t="str">
            <v>SN0501-L</v>
          </cell>
          <cell r="B7024" t="str">
            <v>JN501</v>
          </cell>
          <cell r="C7024" t="str">
            <v>ซาติน แขนสั้นขาสั้น Good Luck น้องหมีชมพู L ตัวโชว์</v>
          </cell>
          <cell r="E7024">
            <v>0</v>
          </cell>
          <cell r="F7024">
            <v>790</v>
          </cell>
        </row>
        <row r="7025">
          <cell r="A7025" t="str">
            <v>SN0501-M</v>
          </cell>
          <cell r="B7025" t="str">
            <v>JN501</v>
          </cell>
          <cell r="C7025" t="str">
            <v>ซาติน แขนสั้นขาสั้น Good Luck น้องหมีชมพู M ตัวโชว์</v>
          </cell>
          <cell r="E7025">
            <v>0</v>
          </cell>
          <cell r="F7025">
            <v>790</v>
          </cell>
        </row>
        <row r="7026">
          <cell r="A7026" t="str">
            <v>SN0502-L</v>
          </cell>
          <cell r="B7026" t="str">
            <v>JN502</v>
          </cell>
          <cell r="C7026" t="str">
            <v>ซาติน แขนสั้นขาสั้น Good Luck น้องหมีกรม L ตัวโชว์</v>
          </cell>
          <cell r="E7026">
            <v>0</v>
          </cell>
          <cell r="F7026">
            <v>790</v>
          </cell>
        </row>
        <row r="7027">
          <cell r="A7027" t="str">
            <v>SN0502-M</v>
          </cell>
          <cell r="B7027" t="str">
            <v>JN502</v>
          </cell>
          <cell r="C7027" t="str">
            <v>ซาติน แขนสั้นขาสั้น Good Luck น้องหมีกรม M ตัวโชว์</v>
          </cell>
          <cell r="E7027">
            <v>0</v>
          </cell>
          <cell r="F7027">
            <v>790</v>
          </cell>
        </row>
        <row r="7028">
          <cell r="A7028" t="str">
            <v>SN0503-L</v>
          </cell>
          <cell r="B7028" t="str">
            <v>N503</v>
          </cell>
          <cell r="C7028" t="str">
            <v>ซาติน แขนสั้นขาสั้น Good Luck น้องหมีม่วง L</v>
          </cell>
          <cell r="E7028">
            <v>0</v>
          </cell>
          <cell r="F7028">
            <v>790</v>
          </cell>
        </row>
        <row r="7029">
          <cell r="A7029" t="str">
            <v>SN0503-M</v>
          </cell>
          <cell r="B7029" t="str">
            <v>N503</v>
          </cell>
          <cell r="C7029" t="str">
            <v>ซาติน แขนสั้นขาสั้น Good Luck น้องหมีม่วง M</v>
          </cell>
          <cell r="E7029">
            <v>0</v>
          </cell>
          <cell r="F7029">
            <v>790</v>
          </cell>
        </row>
        <row r="7030">
          <cell r="A7030" t="str">
            <v>SN0504-L</v>
          </cell>
          <cell r="B7030" t="str">
            <v>N504</v>
          </cell>
          <cell r="C7030" t="str">
            <v>ซาติน แขนสั้นขาสั้น Good Luck น้องหมีฟ้า L (กปก)</v>
          </cell>
          <cell r="E7030">
            <v>0</v>
          </cell>
          <cell r="F7030">
            <v>790</v>
          </cell>
        </row>
        <row r="7031">
          <cell r="A7031" t="str">
            <v>SN0504-M</v>
          </cell>
          <cell r="B7031" t="str">
            <v>JN504</v>
          </cell>
          <cell r="C7031" t="str">
            <v>ซาติน แขนสั้นขาสั้น Good Luck น้องหมีฟ้า M (กปก) ตัวโชว์</v>
          </cell>
          <cell r="E7031">
            <v>0</v>
          </cell>
          <cell r="F7031">
            <v>790</v>
          </cell>
        </row>
        <row r="7032">
          <cell r="A7032" t="str">
            <v>SN0506-L</v>
          </cell>
          <cell r="B7032" t="str">
            <v>N506</v>
          </cell>
          <cell r="C7032" t="str">
            <v>ซาติน แขนสั้นขาสั้น Jolly Bear White L</v>
          </cell>
          <cell r="E7032">
            <v>0</v>
          </cell>
          <cell r="F7032">
            <v>790</v>
          </cell>
        </row>
        <row r="7033">
          <cell r="A7033" t="str">
            <v>SN0506-M</v>
          </cell>
          <cell r="B7033" t="str">
            <v>N506</v>
          </cell>
          <cell r="C7033" t="str">
            <v>ซาติน แขนสั้นขาสั้น Jolly Bear White M</v>
          </cell>
          <cell r="E7033">
            <v>0</v>
          </cell>
          <cell r="F7033">
            <v>790</v>
          </cell>
        </row>
        <row r="7034">
          <cell r="A7034" t="str">
            <v>SN0506-XL</v>
          </cell>
          <cell r="B7034" t="str">
            <v>N506</v>
          </cell>
          <cell r="C7034" t="str">
            <v>ซาติน แขนสั้นขาสั้น Jolly Bear White XL</v>
          </cell>
          <cell r="E7034">
            <v>0</v>
          </cell>
          <cell r="F7034">
            <v>790</v>
          </cell>
        </row>
        <row r="7035">
          <cell r="A7035" t="str">
            <v>SN0507-L</v>
          </cell>
          <cell r="B7035" t="str">
            <v>N507</v>
          </cell>
          <cell r="C7035" t="str">
            <v>ซาติน แขนสั้นขาสั้น Jolly Bear Black L</v>
          </cell>
          <cell r="E7035">
            <v>0</v>
          </cell>
          <cell r="F7035">
            <v>790</v>
          </cell>
        </row>
        <row r="7036">
          <cell r="A7036" t="str">
            <v>SN0507-M</v>
          </cell>
          <cell r="B7036" t="str">
            <v>JN507</v>
          </cell>
          <cell r="C7036" t="str">
            <v>ซาติน แขนสั้นขาสั้น Jolly Bear Black M ตัวโชว์</v>
          </cell>
          <cell r="E7036">
            <v>0</v>
          </cell>
          <cell r="F7036">
            <v>790</v>
          </cell>
        </row>
        <row r="7037">
          <cell r="A7037" t="str">
            <v>SN0507-XL</v>
          </cell>
          <cell r="B7037" t="str">
            <v>N507</v>
          </cell>
          <cell r="C7037" t="str">
            <v>ซาติน แขนสั้นขาสั้น Jolly Bear Black XL</v>
          </cell>
          <cell r="E7037">
            <v>0</v>
          </cell>
          <cell r="F7037">
            <v>790</v>
          </cell>
        </row>
        <row r="7038">
          <cell r="A7038" t="str">
            <v>SN0511-L</v>
          </cell>
          <cell r="B7038" t="str">
            <v>N511</v>
          </cell>
          <cell r="C7038" t="str">
            <v>ซาติน แขนสั้นขาสั้น Princess Violet L</v>
          </cell>
          <cell r="E7038">
            <v>0</v>
          </cell>
          <cell r="F7038">
            <v>790</v>
          </cell>
        </row>
        <row r="7039">
          <cell r="A7039" t="str">
            <v>SN0511-M</v>
          </cell>
          <cell r="B7039" t="str">
            <v>N511</v>
          </cell>
          <cell r="C7039" t="str">
            <v>ซาติน แขนสั้นขาสั้น Princess Violet M</v>
          </cell>
          <cell r="E7039">
            <v>0</v>
          </cell>
          <cell r="F7039">
            <v>790</v>
          </cell>
        </row>
        <row r="7040">
          <cell r="A7040" t="str">
            <v>SN0511-XL</v>
          </cell>
          <cell r="B7040" t="str">
            <v>N511</v>
          </cell>
          <cell r="C7040" t="str">
            <v>ซาติน แขนสั้นขาสั้น Princess Violet XL</v>
          </cell>
          <cell r="E7040">
            <v>0</v>
          </cell>
          <cell r="F7040">
            <v>790</v>
          </cell>
        </row>
        <row r="7041">
          <cell r="A7041" t="str">
            <v>SN0519-2XL</v>
          </cell>
          <cell r="B7041" t="str">
            <v>JN519</v>
          </cell>
          <cell r="C7041" t="str">
            <v>ซิลค์แจ็คการ์ด แขนสั้นขาสั้น ผีเสื้อ พาสเทล พื้นขาว 2XL ตัวโชว์</v>
          </cell>
          <cell r="E7041">
            <v>0</v>
          </cell>
          <cell r="F7041">
            <v>850</v>
          </cell>
        </row>
        <row r="7042">
          <cell r="A7042" t="str">
            <v>SN0519-L</v>
          </cell>
          <cell r="B7042" t="str">
            <v>JN519</v>
          </cell>
          <cell r="C7042" t="str">
            <v>ซิลค์แจ็คการ์ด แขนสั้นขาสั้น ผีเสื้อ พาสเทล พื้นขาว L ตัวโชว์</v>
          </cell>
          <cell r="E7042">
            <v>0</v>
          </cell>
          <cell r="F7042">
            <v>850</v>
          </cell>
        </row>
        <row r="7043">
          <cell r="A7043" t="str">
            <v>SN0519-M</v>
          </cell>
          <cell r="B7043" t="str">
            <v>JN519</v>
          </cell>
          <cell r="C7043" t="str">
            <v>ซิลค์แจ็คการ์ด แขนสั้นขาสั้น ผีเสื้อ พาสเทล พื้นขาว M ตัวโชว์</v>
          </cell>
          <cell r="E7043">
            <v>0</v>
          </cell>
          <cell r="F7043">
            <v>850</v>
          </cell>
        </row>
        <row r="7044">
          <cell r="A7044" t="str">
            <v>SN0519-XL</v>
          </cell>
          <cell r="B7044" t="str">
            <v>JN519</v>
          </cell>
          <cell r="C7044" t="str">
            <v>ซิลค์แจ็คการ์ด แขนสั้นขาสั้น ผีเสื้อ พาสเทล พื้นขาว XL ตัวโชว์</v>
          </cell>
          <cell r="E7044">
            <v>0</v>
          </cell>
          <cell r="F7044">
            <v>850</v>
          </cell>
        </row>
        <row r="7045">
          <cell r="A7045" t="str">
            <v>SN0522-L</v>
          </cell>
          <cell r="B7045" t="str">
            <v>N522</v>
          </cell>
          <cell r="C7045" t="str">
            <v>ซาติน แขนสั้นขาสั้น เกง พีช เสื้อ กระต่าย ชมพู L</v>
          </cell>
          <cell r="E7045">
            <v>0</v>
          </cell>
          <cell r="F7045">
            <v>790</v>
          </cell>
        </row>
        <row r="7046">
          <cell r="A7046" t="str">
            <v>SN0522-M</v>
          </cell>
          <cell r="B7046" t="str">
            <v>N522</v>
          </cell>
          <cell r="C7046" t="str">
            <v>ซาติน แขนสั้นขาสั้น เกง พีช เสื้อ กระต่าย ชมพู M</v>
          </cell>
          <cell r="E7046">
            <v>0</v>
          </cell>
          <cell r="F7046">
            <v>790</v>
          </cell>
        </row>
        <row r="7047">
          <cell r="A7047" t="str">
            <v>SN0522-XL</v>
          </cell>
          <cell r="B7047" t="str">
            <v>N522</v>
          </cell>
          <cell r="C7047" t="str">
            <v>ซาติน แขนสั้นขาสั้น เกง พีช เสื้อ กระต่าย ชมพู XL</v>
          </cell>
          <cell r="E7047">
            <v>0</v>
          </cell>
          <cell r="F7047">
            <v>790</v>
          </cell>
        </row>
        <row r="7048">
          <cell r="A7048" t="str">
            <v>SN0525-2XL</v>
          </cell>
          <cell r="B7048" t="str">
            <v>N525</v>
          </cell>
          <cell r="C7048" t="str">
            <v>ซาติน แขนสั้นขาสั้น ภาพวาดกุหลาบ พื้นส้ม 2XL</v>
          </cell>
          <cell r="E7048">
            <v>0</v>
          </cell>
          <cell r="F7048">
            <v>790</v>
          </cell>
        </row>
        <row r="7049">
          <cell r="A7049" t="str">
            <v>SN0525-3XL</v>
          </cell>
          <cell r="B7049" t="str">
            <v>N525</v>
          </cell>
          <cell r="C7049" t="str">
            <v>ซาติน แขนสั้นขาสั้น ภาพวาดกุหลาบ พื้นส้ม 3XL</v>
          </cell>
          <cell r="E7049">
            <v>0</v>
          </cell>
          <cell r="F7049">
            <v>790</v>
          </cell>
        </row>
        <row r="7050">
          <cell r="A7050" t="str">
            <v>SN0525-L</v>
          </cell>
          <cell r="B7050" t="str">
            <v>N525</v>
          </cell>
          <cell r="C7050" t="str">
            <v>ซาติน แขนสั้นขาสั้น ภาพวาดกุหลาบ พื้นส้ม L</v>
          </cell>
          <cell r="E7050">
            <v>0</v>
          </cell>
          <cell r="F7050">
            <v>790</v>
          </cell>
        </row>
        <row r="7051">
          <cell r="A7051" t="str">
            <v>SN0525-M</v>
          </cell>
          <cell r="B7051" t="str">
            <v>N525</v>
          </cell>
          <cell r="C7051" t="str">
            <v>ซาติน แขนสั้นขาสั้น ภาพวาดกุหลาบ พื้นส้ม M</v>
          </cell>
          <cell r="E7051">
            <v>0</v>
          </cell>
          <cell r="F7051">
            <v>790</v>
          </cell>
        </row>
        <row r="7052">
          <cell r="A7052" t="str">
            <v>SN0525-XL</v>
          </cell>
          <cell r="B7052" t="str">
            <v>N525</v>
          </cell>
          <cell r="C7052" t="str">
            <v>ซาติน แขนสั้นขาสั้น ภาพวาดกุหลาบ พื้นส้ม XL</v>
          </cell>
          <cell r="E7052">
            <v>0</v>
          </cell>
          <cell r="F7052">
            <v>790</v>
          </cell>
        </row>
        <row r="7053">
          <cell r="A7053" t="str">
            <v>SN0526-2XL</v>
          </cell>
          <cell r="B7053" t="str">
            <v>N526</v>
          </cell>
          <cell r="C7053" t="str">
            <v>AA  ซาติน แขนสั้นขาสั้น Royal Art 2XL</v>
          </cell>
          <cell r="E7053">
            <v>0</v>
          </cell>
          <cell r="F7053">
            <v>790</v>
          </cell>
        </row>
        <row r="7054">
          <cell r="A7054" t="str">
            <v>SN0526-3XL</v>
          </cell>
          <cell r="B7054" t="str">
            <v>N526</v>
          </cell>
          <cell r="C7054" t="str">
            <v>ซาติน แขนสั้นขาสั้น Royal Art 3XL</v>
          </cell>
          <cell r="E7054">
            <v>0</v>
          </cell>
          <cell r="F7054">
            <v>790</v>
          </cell>
        </row>
        <row r="7055">
          <cell r="A7055" t="str">
            <v>SN0526-L</v>
          </cell>
          <cell r="B7055" t="str">
            <v>N526</v>
          </cell>
          <cell r="C7055" t="str">
            <v>ซาติน แขนสั้นขาสั้น Royal Art L</v>
          </cell>
          <cell r="E7055">
            <v>0</v>
          </cell>
          <cell r="F7055">
            <v>790</v>
          </cell>
        </row>
        <row r="7056">
          <cell r="A7056" t="str">
            <v>SN0526-M</v>
          </cell>
          <cell r="B7056" t="str">
            <v>N526</v>
          </cell>
          <cell r="C7056" t="str">
            <v>ซาติน แขนสั้นขาสั้น Royal Art M</v>
          </cell>
          <cell r="E7056">
            <v>0</v>
          </cell>
          <cell r="F7056">
            <v>790</v>
          </cell>
        </row>
        <row r="7057">
          <cell r="A7057" t="str">
            <v>SN0526-S</v>
          </cell>
          <cell r="B7057" t="str">
            <v>N526</v>
          </cell>
          <cell r="C7057" t="str">
            <v>ซาติน แขนสั้นขาสั้น Royal Art S</v>
          </cell>
          <cell r="E7057">
            <v>0</v>
          </cell>
          <cell r="F7057">
            <v>790</v>
          </cell>
        </row>
        <row r="7058">
          <cell r="A7058" t="str">
            <v>SN0526-XL</v>
          </cell>
          <cell r="B7058" t="str">
            <v>N526</v>
          </cell>
          <cell r="C7058" t="str">
            <v>ซาติน แขนสั้นขาสั้น Royal Art XL</v>
          </cell>
          <cell r="E7058">
            <v>0</v>
          </cell>
          <cell r="F7058">
            <v>790</v>
          </cell>
        </row>
        <row r="7059">
          <cell r="A7059" t="str">
            <v>SN0532-L</v>
          </cell>
          <cell r="B7059" t="str">
            <v>JN532</v>
          </cell>
          <cell r="C7059" t="str">
            <v>ซาติน แขนสั้นขาสั้น มะหมา พื้นฟ้า L (กปก) ตัวโชว์</v>
          </cell>
          <cell r="E7059">
            <v>0</v>
          </cell>
          <cell r="F7059">
            <v>790</v>
          </cell>
        </row>
        <row r="7060">
          <cell r="A7060" t="str">
            <v>SN0532-M</v>
          </cell>
          <cell r="B7060" t="str">
            <v>JN532</v>
          </cell>
          <cell r="C7060" t="str">
            <v>ซาติน แขนสั้นขาสั้น มะหมา พื้นฟ้า M (กปก) ตัวโชว์</v>
          </cell>
          <cell r="E7060">
            <v>0</v>
          </cell>
          <cell r="F7060">
            <v>790</v>
          </cell>
        </row>
        <row r="7061">
          <cell r="A7061" t="str">
            <v>SN0533-L</v>
          </cell>
          <cell r="B7061" t="str">
            <v>N533</v>
          </cell>
          <cell r="C7061" t="str">
            <v>ซาติน แขนสั้นขาสั้น มะหมา พื้นชมพู L</v>
          </cell>
          <cell r="E7061">
            <v>0</v>
          </cell>
          <cell r="F7061">
            <v>790</v>
          </cell>
        </row>
        <row r="7062">
          <cell r="A7062" t="str">
            <v>SN0533-M</v>
          </cell>
          <cell r="B7062" t="str">
            <v>JN533</v>
          </cell>
          <cell r="C7062" t="str">
            <v>ซาติน แขนสั้นขาสั้น มะหมา พื้นชมพู M ตัวโชว์</v>
          </cell>
          <cell r="E7062">
            <v>0</v>
          </cell>
          <cell r="F7062">
            <v>790</v>
          </cell>
        </row>
        <row r="7063">
          <cell r="A7063" t="str">
            <v>SN0535-M</v>
          </cell>
          <cell r="B7063" t="str">
            <v>N535</v>
          </cell>
          <cell r="C7063" t="str">
            <v>ซาติน แขนสั้นขาสั้น Dark Green หัวใจ M</v>
          </cell>
          <cell r="E7063">
            <v>0</v>
          </cell>
          <cell r="F7063">
            <v>790</v>
          </cell>
        </row>
        <row r="7064">
          <cell r="A7064" t="str">
            <v>SN0535-S</v>
          </cell>
          <cell r="B7064" t="str">
            <v>JN535</v>
          </cell>
          <cell r="C7064" t="str">
            <v>ซาติน แขนสั้นขาสั้น Dark Green หัวใจ S ตัวโชว์</v>
          </cell>
          <cell r="E7064">
            <v>0</v>
          </cell>
          <cell r="F7064">
            <v>790</v>
          </cell>
        </row>
        <row r="7065">
          <cell r="A7065" t="str">
            <v>SN0537-L</v>
          </cell>
          <cell r="B7065" t="str">
            <v>N537</v>
          </cell>
          <cell r="C7065" t="str">
            <v>ซาติน แขนสั้นขาสั้น ตาราง ชมพูขาว L</v>
          </cell>
          <cell r="E7065">
            <v>0</v>
          </cell>
          <cell r="F7065">
            <v>790</v>
          </cell>
        </row>
        <row r="7066">
          <cell r="A7066" t="str">
            <v>SN0537-M</v>
          </cell>
          <cell r="B7066" t="str">
            <v>N537</v>
          </cell>
          <cell r="C7066" t="str">
            <v>ซาติน แขนสั้นขาสั้น ตาราง ชมพูขาว M</v>
          </cell>
          <cell r="E7066">
            <v>0</v>
          </cell>
          <cell r="F7066">
            <v>790</v>
          </cell>
        </row>
        <row r="7067">
          <cell r="A7067" t="str">
            <v>SN0537-S</v>
          </cell>
          <cell r="B7067" t="str">
            <v>JN537</v>
          </cell>
          <cell r="C7067" t="str">
            <v>ซาติน แขนสั้นขาสั้น ตาราง ชมพูขาว S ตัวโชว์</v>
          </cell>
          <cell r="E7067">
            <v>0</v>
          </cell>
          <cell r="F7067">
            <v>790</v>
          </cell>
        </row>
        <row r="7068">
          <cell r="A7068" t="str">
            <v>SN0538-L</v>
          </cell>
          <cell r="B7068" t="str">
            <v>N538</v>
          </cell>
          <cell r="C7068" t="str">
            <v>ซาติน แขนสั้นขาสั้น Sweet Pink L</v>
          </cell>
          <cell r="E7068">
            <v>0</v>
          </cell>
          <cell r="F7068">
            <v>790</v>
          </cell>
        </row>
        <row r="7069">
          <cell r="A7069" t="str">
            <v>SN0538-M</v>
          </cell>
          <cell r="B7069" t="str">
            <v>N538</v>
          </cell>
          <cell r="C7069" t="str">
            <v>ซาติน แขนสั้นขาสั้น Sweet Pink M</v>
          </cell>
          <cell r="E7069">
            <v>0</v>
          </cell>
          <cell r="F7069">
            <v>790</v>
          </cell>
        </row>
        <row r="7070">
          <cell r="A7070" t="str">
            <v>SN0538-S</v>
          </cell>
          <cell r="B7070" t="str">
            <v>N538</v>
          </cell>
          <cell r="C7070" t="str">
            <v>ซาติน แขนสั้นขาสั้น Sweet Pink S</v>
          </cell>
          <cell r="E7070">
            <v>0</v>
          </cell>
          <cell r="F7070">
            <v>790</v>
          </cell>
        </row>
        <row r="7071">
          <cell r="A7071" t="str">
            <v>SN0539-L</v>
          </cell>
          <cell r="B7071" t="str">
            <v>N539</v>
          </cell>
          <cell r="C7071" t="str">
            <v>ซาติน แขนสั้นขาสั้น Sweet Purple L</v>
          </cell>
          <cell r="E7071">
            <v>0</v>
          </cell>
          <cell r="F7071">
            <v>790</v>
          </cell>
        </row>
        <row r="7072">
          <cell r="A7072" t="str">
            <v>SN0539-M</v>
          </cell>
          <cell r="B7072" t="str">
            <v>N539</v>
          </cell>
          <cell r="C7072" t="str">
            <v>ซาติน แขนสั้นขาสั้น Sweet Purple M</v>
          </cell>
          <cell r="E7072">
            <v>0</v>
          </cell>
          <cell r="F7072">
            <v>790</v>
          </cell>
        </row>
        <row r="7073">
          <cell r="A7073" t="str">
            <v>SN0539-S</v>
          </cell>
          <cell r="B7073" t="str">
            <v>N539</v>
          </cell>
          <cell r="C7073" t="str">
            <v>ซาติน แขนสั้นขาสั้น Sweet Purple S</v>
          </cell>
          <cell r="E7073">
            <v>0</v>
          </cell>
          <cell r="F7073">
            <v>790</v>
          </cell>
        </row>
        <row r="7074">
          <cell r="A7074" t="str">
            <v>SN0540-L</v>
          </cell>
          <cell r="B7074" t="str">
            <v>JN540</v>
          </cell>
          <cell r="C7074" t="str">
            <v>ซาติน แขนสั้นขาสั้น Sweet Green L ตัวโชว์</v>
          </cell>
          <cell r="E7074">
            <v>0</v>
          </cell>
          <cell r="F7074">
            <v>790</v>
          </cell>
        </row>
        <row r="7075">
          <cell r="A7075" t="str">
            <v>SN0540-M</v>
          </cell>
          <cell r="B7075" t="str">
            <v>JN540</v>
          </cell>
          <cell r="C7075" t="str">
            <v>ซาติน แขนสั้นขาสั้น Sweet Green M ตัวโชว์</v>
          </cell>
          <cell r="E7075">
            <v>0</v>
          </cell>
          <cell r="F7075">
            <v>790</v>
          </cell>
        </row>
        <row r="7076">
          <cell r="A7076" t="str">
            <v>SN0540-S</v>
          </cell>
          <cell r="B7076" t="str">
            <v>JN540</v>
          </cell>
          <cell r="C7076" t="str">
            <v>ซาติน แขนสั้นขาสั้น Sweet Green S ตัวโชว์</v>
          </cell>
          <cell r="E7076">
            <v>0</v>
          </cell>
          <cell r="F7076">
            <v>790</v>
          </cell>
        </row>
        <row r="7077">
          <cell r="A7077" t="str">
            <v>SN0541-2XL</v>
          </cell>
          <cell r="B7077" t="str">
            <v>JN541</v>
          </cell>
          <cell r="C7077" t="str">
            <v>ซาติน แขนสั้นขาสั้น ใบไม้ชมพู ปกม่วง 2XL ตัวโชว์</v>
          </cell>
          <cell r="E7077">
            <v>0</v>
          </cell>
          <cell r="F7077">
            <v>790</v>
          </cell>
        </row>
        <row r="7078">
          <cell r="A7078" t="str">
            <v>SN0541-L</v>
          </cell>
          <cell r="B7078" t="str">
            <v>N541</v>
          </cell>
          <cell r="C7078" t="str">
            <v>ซาติน แขนสั้นขาสั้น ใบไม้ชมพู ปกม่วง L</v>
          </cell>
          <cell r="E7078">
            <v>0</v>
          </cell>
          <cell r="F7078">
            <v>790</v>
          </cell>
        </row>
        <row r="7079">
          <cell r="A7079" t="str">
            <v>SN0541-M</v>
          </cell>
          <cell r="B7079" t="str">
            <v>ป6</v>
          </cell>
          <cell r="C7079" t="str">
            <v>ซาติน แขนสั้นขาสั้น ใบไม้ชมพู ปกม่วง M</v>
          </cell>
          <cell r="E7079">
            <v>0</v>
          </cell>
          <cell r="F7079">
            <v>790</v>
          </cell>
        </row>
        <row r="7080">
          <cell r="A7080" t="str">
            <v>SN0541-XL</v>
          </cell>
          <cell r="B7080" t="str">
            <v>JN541</v>
          </cell>
          <cell r="C7080" t="str">
            <v>ซาติน แขนสั้นขาสั้น ใบไม้ชมพู ปกม่วง XL ตัวโชว์</v>
          </cell>
          <cell r="E7080">
            <v>0</v>
          </cell>
          <cell r="F7080">
            <v>790</v>
          </cell>
        </row>
        <row r="7081">
          <cell r="A7081" t="str">
            <v>SN0542-2XL</v>
          </cell>
          <cell r="B7081" t="str">
            <v>N542</v>
          </cell>
          <cell r="C7081" t="str">
            <v>ซาติน แขนสั้นขาสั้น Green Garden ปกชมพูจุด 2XL</v>
          </cell>
          <cell r="E7081">
            <v>0</v>
          </cell>
          <cell r="F7081">
            <v>790</v>
          </cell>
        </row>
        <row r="7082">
          <cell r="A7082" t="str">
            <v>SN0542-L</v>
          </cell>
          <cell r="B7082" t="str">
            <v>QN542</v>
          </cell>
          <cell r="C7082" t="str">
            <v>ซาติน แขนสั้นขาสั้น Green Garden ปกชมพูจุด L QC</v>
          </cell>
          <cell r="E7082">
            <v>0</v>
          </cell>
          <cell r="F7082">
            <v>790</v>
          </cell>
        </row>
        <row r="7083">
          <cell r="A7083" t="str">
            <v>SN0542-M</v>
          </cell>
          <cell r="B7083" t="str">
            <v>N542</v>
          </cell>
          <cell r="C7083" t="str">
            <v>ซาติน แขนสั้นขาสั้น Green Garden ปกชมพูจุด M</v>
          </cell>
          <cell r="E7083">
            <v>0</v>
          </cell>
          <cell r="F7083">
            <v>790</v>
          </cell>
        </row>
        <row r="7084">
          <cell r="A7084" t="str">
            <v>SN0542-XL</v>
          </cell>
          <cell r="B7084" t="str">
            <v>N542</v>
          </cell>
          <cell r="C7084" t="str">
            <v>ซาติน แขนสั้นขาสั้น Green Garden ปกชมพูจุด XL</v>
          </cell>
          <cell r="E7084">
            <v>0</v>
          </cell>
          <cell r="F7084">
            <v>790</v>
          </cell>
        </row>
        <row r="7085">
          <cell r="A7085" t="str">
            <v>SN0543-L</v>
          </cell>
          <cell r="B7085" t="str">
            <v>N543</v>
          </cell>
          <cell r="C7085" t="str">
            <v>ซาติน แขนสั้นขาสั้น Sweet Green ลูกไม้ L</v>
          </cell>
          <cell r="E7085">
            <v>0</v>
          </cell>
          <cell r="F7085">
            <v>790</v>
          </cell>
        </row>
        <row r="7086">
          <cell r="A7086" t="str">
            <v>SN0543-M</v>
          </cell>
          <cell r="B7086" t="str">
            <v>N543</v>
          </cell>
          <cell r="C7086" t="str">
            <v>ซาติน แขนสั้นขาสั้น Sweet Green ลูกไม้ M</v>
          </cell>
          <cell r="E7086">
            <v>0</v>
          </cell>
          <cell r="F7086">
            <v>790</v>
          </cell>
        </row>
        <row r="7087">
          <cell r="A7087" t="str">
            <v>SN0543-S</v>
          </cell>
          <cell r="B7087" t="str">
            <v>N543</v>
          </cell>
          <cell r="C7087" t="str">
            <v>ซาติน แขนสั้นขาสั้น Sweet Green ลูกไม้ S</v>
          </cell>
          <cell r="E7087">
            <v>0</v>
          </cell>
          <cell r="F7087">
            <v>790</v>
          </cell>
        </row>
        <row r="7088">
          <cell r="A7088" t="str">
            <v>SN0546-L</v>
          </cell>
          <cell r="B7088" t="str">
            <v>N546</v>
          </cell>
          <cell r="C7088" t="str">
            <v>ซาติน แขนสั้นขาสั้น พื้นชมพู ขอบทอง กระเป๋าทอง L</v>
          </cell>
          <cell r="E7088">
            <v>0</v>
          </cell>
          <cell r="F7088">
            <v>790</v>
          </cell>
        </row>
        <row r="7089">
          <cell r="A7089" t="str">
            <v>SN0546-M</v>
          </cell>
          <cell r="B7089" t="str">
            <v>N546</v>
          </cell>
          <cell r="C7089" t="str">
            <v>ซาติน แขนสั้นขาสั้น พื้นชมพู ขอบทอง กระเป๋าทอง M</v>
          </cell>
          <cell r="E7089">
            <v>0</v>
          </cell>
          <cell r="F7089">
            <v>790</v>
          </cell>
        </row>
        <row r="7090">
          <cell r="A7090" t="str">
            <v>SN0547-L</v>
          </cell>
          <cell r="B7090" t="str">
            <v>N547</v>
          </cell>
          <cell r="C7090" t="str">
            <v>ซาติน แขนสั้นขาสั้น พื้นเหลือง ขอบขาว กระเป๋าชมพู L</v>
          </cell>
          <cell r="E7090">
            <v>0</v>
          </cell>
          <cell r="F7090">
            <v>790</v>
          </cell>
        </row>
        <row r="7091">
          <cell r="A7091" t="str">
            <v>SN0547-M</v>
          </cell>
          <cell r="B7091" t="str">
            <v>N547</v>
          </cell>
          <cell r="C7091" t="str">
            <v>ซาติน แขนสั้นขาสั้น พื้นเหลือง ขอบขาว กระเป๋าชมพู M</v>
          </cell>
          <cell r="E7091">
            <v>0</v>
          </cell>
          <cell r="F7091">
            <v>790</v>
          </cell>
        </row>
        <row r="7092">
          <cell r="A7092" t="str">
            <v>SN0548-L</v>
          </cell>
          <cell r="B7092" t="str">
            <v>N548</v>
          </cell>
          <cell r="C7092" t="str">
            <v>ซาติน แขนสั้นขาสั้น หมีแพนด้า พื้นครีม ขอบเขียว L</v>
          </cell>
          <cell r="E7092">
            <v>0</v>
          </cell>
          <cell r="F7092">
            <v>790</v>
          </cell>
        </row>
        <row r="7093">
          <cell r="A7093" t="str">
            <v>SN0548-M</v>
          </cell>
          <cell r="B7093" t="str">
            <v>N548</v>
          </cell>
          <cell r="C7093" t="str">
            <v>ซาติน แขนสั้นขาสั้น หมีแพนด้า พื้นครีม ขอบเขียว M</v>
          </cell>
          <cell r="E7093">
            <v>0</v>
          </cell>
          <cell r="F7093">
            <v>790</v>
          </cell>
        </row>
        <row r="7094">
          <cell r="A7094" t="str">
            <v>SN0548-S</v>
          </cell>
          <cell r="B7094" t="str">
            <v>N548</v>
          </cell>
          <cell r="C7094" t="str">
            <v>ซาติน แขนสั้นขาสั้น หมีแพนด้า พื้นครีม ขอบเขียว S</v>
          </cell>
          <cell r="E7094">
            <v>0</v>
          </cell>
          <cell r="F7094">
            <v>590</v>
          </cell>
        </row>
        <row r="7095">
          <cell r="A7095" t="str">
            <v>SN0551-L</v>
          </cell>
          <cell r="B7095" t="str">
            <v>N551</v>
          </cell>
          <cell r="C7095" t="str">
            <v>ซาติน แขนสั้นขาสั้น ลายจุด กระเป๋าแตงโม เหลือง L</v>
          </cell>
          <cell r="E7095">
            <v>0</v>
          </cell>
          <cell r="F7095">
            <v>790</v>
          </cell>
        </row>
        <row r="7096">
          <cell r="A7096" t="str">
            <v>SN0551-M</v>
          </cell>
          <cell r="B7096" t="str">
            <v>N551</v>
          </cell>
          <cell r="C7096" t="str">
            <v>ซาติน แขนสั้นขาสั้น ลายจุด กระเป๋าแตงโม เหลือง M</v>
          </cell>
          <cell r="E7096">
            <v>0</v>
          </cell>
          <cell r="F7096">
            <v>790</v>
          </cell>
        </row>
        <row r="7097">
          <cell r="A7097" t="str">
            <v>SN0552-L</v>
          </cell>
          <cell r="B7097" t="str">
            <v>N552</v>
          </cell>
          <cell r="C7097" t="str">
            <v>ซาติน แขนสั้นขาสั้น ลายจุด กระเป๋าแตงโม เขียว L</v>
          </cell>
          <cell r="E7097">
            <v>0</v>
          </cell>
          <cell r="F7097">
            <v>790</v>
          </cell>
        </row>
        <row r="7098">
          <cell r="A7098" t="str">
            <v>SN0552-M</v>
          </cell>
          <cell r="B7098" t="str">
            <v>N552</v>
          </cell>
          <cell r="C7098" t="str">
            <v>ซาติน แขนสั้นขาสั้น ลายจุด กระเป๋าแตงโม เขียว M</v>
          </cell>
          <cell r="E7098">
            <v>0</v>
          </cell>
          <cell r="F7098">
            <v>790</v>
          </cell>
        </row>
        <row r="7099">
          <cell r="A7099" t="str">
            <v>SN0553-L</v>
          </cell>
          <cell r="B7099" t="str">
            <v>N553</v>
          </cell>
          <cell r="C7099" t="str">
            <v>ซาติน แขนสั้นขาสั้น รวมแมว พื้นชมพู L</v>
          </cell>
          <cell r="E7099">
            <v>0</v>
          </cell>
          <cell r="F7099">
            <v>790</v>
          </cell>
        </row>
        <row r="7100">
          <cell r="A7100" t="str">
            <v>SN0553-M</v>
          </cell>
          <cell r="B7100" t="str">
            <v>N553</v>
          </cell>
          <cell r="C7100" t="str">
            <v>ซาติน แขนสั้นขาสั้น รวมแมว พื้นชมพู M</v>
          </cell>
          <cell r="E7100">
            <v>0</v>
          </cell>
          <cell r="F7100">
            <v>790</v>
          </cell>
        </row>
        <row r="7101">
          <cell r="A7101" t="str">
            <v>SN0554-L</v>
          </cell>
          <cell r="B7101" t="str">
            <v>N554</v>
          </cell>
          <cell r="C7101" t="str">
            <v>ซาติน แขนสั้นขาสั้น ลายเสือ ชมพูนู้ด ลูกไม้ L</v>
          </cell>
          <cell r="E7101">
            <v>0</v>
          </cell>
          <cell r="F7101">
            <v>790</v>
          </cell>
        </row>
        <row r="7102">
          <cell r="A7102" t="str">
            <v>SN0554-M</v>
          </cell>
          <cell r="B7102" t="str">
            <v>N554</v>
          </cell>
          <cell r="C7102" t="str">
            <v>ซาติน แขนสั้นขาสั้น ลายเสือ ชมพูนู้ด ลูกไม้ M</v>
          </cell>
          <cell r="E7102">
            <v>0</v>
          </cell>
          <cell r="F7102">
            <v>790</v>
          </cell>
        </row>
        <row r="7103">
          <cell r="A7103" t="str">
            <v>SN0555-L</v>
          </cell>
          <cell r="B7103" t="str">
            <v>N555</v>
          </cell>
          <cell r="C7103" t="str">
            <v>ซาติน แขนสั้นขาสั้น Booboo Star L</v>
          </cell>
          <cell r="E7103">
            <v>0</v>
          </cell>
          <cell r="F7103">
            <v>790</v>
          </cell>
        </row>
        <row r="7104">
          <cell r="A7104" t="str">
            <v>SN0555-M</v>
          </cell>
          <cell r="B7104" t="str">
            <v>JN555</v>
          </cell>
          <cell r="C7104" t="str">
            <v>ซาติน แขนสั้นขาสั้น Booboo Star M ตัวโชว์</v>
          </cell>
          <cell r="E7104">
            <v>0</v>
          </cell>
          <cell r="F7104">
            <v>790</v>
          </cell>
        </row>
        <row r="7105">
          <cell r="A7105" t="str">
            <v>SN0556-L</v>
          </cell>
          <cell r="B7105" t="str">
            <v>N556</v>
          </cell>
          <cell r="C7105" t="str">
            <v>ซาติน แขนสั้นขาสั้น ลายทาง เขียวน้ำทะเล L</v>
          </cell>
          <cell r="E7105">
            <v>0</v>
          </cell>
          <cell r="F7105">
            <v>790</v>
          </cell>
        </row>
        <row r="7106">
          <cell r="A7106" t="str">
            <v>SN0556-M</v>
          </cell>
          <cell r="B7106" t="str">
            <v>N556</v>
          </cell>
          <cell r="C7106" t="str">
            <v>ซาติน แขนสั้นขาสั้น ลายทาง เขียวน้ำทะเล M</v>
          </cell>
          <cell r="E7106">
            <v>0</v>
          </cell>
          <cell r="F7106">
            <v>790</v>
          </cell>
        </row>
        <row r="7107">
          <cell r="A7107" t="str">
            <v>SN0556-S</v>
          </cell>
          <cell r="B7107" t="str">
            <v>N556</v>
          </cell>
          <cell r="C7107" t="str">
            <v>ซาติน แขนสั้นขาสั้น ลายทาง เขียวน้ำทะเล S</v>
          </cell>
          <cell r="E7107">
            <v>0</v>
          </cell>
          <cell r="F7107">
            <v>790</v>
          </cell>
        </row>
        <row r="7108">
          <cell r="A7108" t="str">
            <v>SN0562-L</v>
          </cell>
          <cell r="B7108" t="str">
            <v>N562</v>
          </cell>
          <cell r="C7108" t="str">
            <v>ซาติน แขนสั้นขาสั้น Sweet Orange ลูกไม้ L</v>
          </cell>
          <cell r="E7108">
            <v>0</v>
          </cell>
          <cell r="F7108">
            <v>790</v>
          </cell>
        </row>
        <row r="7109">
          <cell r="A7109" t="str">
            <v>SN0562-M</v>
          </cell>
          <cell r="B7109" t="str">
            <v>N562</v>
          </cell>
          <cell r="C7109" t="str">
            <v>ซาติน แขนสั้นขาสั้น Sweet Orange ลูกไม้ M</v>
          </cell>
          <cell r="E7109">
            <v>0</v>
          </cell>
          <cell r="F7109">
            <v>790</v>
          </cell>
        </row>
        <row r="7110">
          <cell r="A7110" t="str">
            <v>SN0562-S</v>
          </cell>
          <cell r="B7110" t="str">
            <v>N562</v>
          </cell>
          <cell r="C7110" t="str">
            <v>ซาติน แขนสั้นขาสั้น Sweet Orange ลูกไม้ S</v>
          </cell>
          <cell r="E7110">
            <v>0</v>
          </cell>
          <cell r="F7110">
            <v>790</v>
          </cell>
        </row>
        <row r="7111">
          <cell r="A7111" t="str">
            <v>SN0562-XL</v>
          </cell>
          <cell r="B7111" t="str">
            <v>N562</v>
          </cell>
          <cell r="C7111" t="str">
            <v>ซาติน แขนสั้นขาสั้น Sweet Orange ลูกไม้ XL</v>
          </cell>
          <cell r="E7111">
            <v>0</v>
          </cell>
          <cell r="F7111">
            <v>790</v>
          </cell>
        </row>
        <row r="7112">
          <cell r="A7112" t="str">
            <v>SN0563-L</v>
          </cell>
          <cell r="B7112" t="str">
            <v>N563</v>
          </cell>
          <cell r="C7112" t="str">
            <v>ซาติน แขนสั้นขาสั้น ชมพูนู้ด ลายทาง L</v>
          </cell>
          <cell r="E7112">
            <v>0</v>
          </cell>
          <cell r="F7112">
            <v>790</v>
          </cell>
        </row>
        <row r="7113">
          <cell r="A7113" t="str">
            <v>SN0563-M</v>
          </cell>
          <cell r="B7113" t="str">
            <v>N563</v>
          </cell>
          <cell r="C7113" t="str">
            <v>ซาติน แขนสั้นขาสั้น ชมพูนู้ด ลายทาง L</v>
          </cell>
          <cell r="E7113">
            <v>0</v>
          </cell>
          <cell r="F7113">
            <v>790</v>
          </cell>
        </row>
        <row r="7114">
          <cell r="A7114" t="str">
            <v>SN0563-S</v>
          </cell>
          <cell r="B7114" t="str">
            <v>N563</v>
          </cell>
          <cell r="C7114" t="str">
            <v>ซาติน แขนสั้นขาสั้น ชมพูนู้ด ลายทาง S</v>
          </cell>
          <cell r="E7114">
            <v>0</v>
          </cell>
          <cell r="F7114">
            <v>790</v>
          </cell>
        </row>
        <row r="7115">
          <cell r="A7115" t="str">
            <v>SN0568-L</v>
          </cell>
          <cell r="B7115" t="str">
            <v>N568</v>
          </cell>
          <cell r="C7115" t="str">
            <v>ซาติน แขนสั้นขาสั้น อาหมวย พื้นชมพู หมวกขาว L (กปก)</v>
          </cell>
          <cell r="E7115">
            <v>0</v>
          </cell>
          <cell r="F7115">
            <v>790</v>
          </cell>
        </row>
        <row r="7116">
          <cell r="A7116" t="str">
            <v>SN0568-M</v>
          </cell>
          <cell r="B7116" t="str">
            <v>N568</v>
          </cell>
          <cell r="C7116" t="str">
            <v>ซาติน แขนสั้นขาสั้น อาหมวย พื้นชมพู หมวกขาว M (กปก)</v>
          </cell>
          <cell r="E7116">
            <v>0</v>
          </cell>
          <cell r="F7116">
            <v>790</v>
          </cell>
        </row>
        <row r="7117">
          <cell r="A7117" t="str">
            <v>SN0569-L</v>
          </cell>
          <cell r="B7117" t="str">
            <v>JN569</v>
          </cell>
          <cell r="C7117" t="str">
            <v>ซาติน แขนสั้นขาสั้น อาหมวย พื้นเขียว หมวกขาว L (กปก) ตัวโชว์</v>
          </cell>
          <cell r="E7117">
            <v>0</v>
          </cell>
          <cell r="F7117">
            <v>790</v>
          </cell>
        </row>
        <row r="7118">
          <cell r="A7118" t="str">
            <v>SN0569-M</v>
          </cell>
          <cell r="B7118" t="str">
            <v>JN569</v>
          </cell>
          <cell r="C7118" t="str">
            <v>ซาติน แขนสั้นขาสั้น อาหมวย พื้นเขียว หมวกขาว M (กปก) ตัวโชว์</v>
          </cell>
          <cell r="E7118">
            <v>0</v>
          </cell>
          <cell r="F7118">
            <v>790</v>
          </cell>
        </row>
        <row r="7119">
          <cell r="A7119" t="str">
            <v>SN0570-L</v>
          </cell>
          <cell r="B7119" t="str">
            <v>N570</v>
          </cell>
          <cell r="C7119" t="str">
            <v>ซาติน แขนสั้นขาสั้น อาหมวย พื้นชมพู หมวกแดง  L (กปก)</v>
          </cell>
          <cell r="E7119">
            <v>0</v>
          </cell>
          <cell r="F7119">
            <v>790</v>
          </cell>
        </row>
        <row r="7120">
          <cell r="A7120" t="str">
            <v>SN0570-M</v>
          </cell>
          <cell r="B7120" t="str">
            <v>JN570</v>
          </cell>
          <cell r="C7120" t="str">
            <v>ซาติน แขนสั้นขาสั้น อาหมวย พื้นชมพู หมวกแดง  M (กปก) ตัวโชว์</v>
          </cell>
          <cell r="E7120">
            <v>0</v>
          </cell>
          <cell r="F7120">
            <v>790</v>
          </cell>
        </row>
        <row r="7121">
          <cell r="A7121" t="str">
            <v>SN0571-L</v>
          </cell>
          <cell r="B7121" t="str">
            <v>N571</v>
          </cell>
          <cell r="C7121" t="str">
            <v>ซาติน แขนสั้นขาสั้น อาหมวย พื้นเขียว หมวกแดง  L (กปก)</v>
          </cell>
          <cell r="E7121">
            <v>0</v>
          </cell>
          <cell r="F7121">
            <v>790</v>
          </cell>
        </row>
        <row r="7122">
          <cell r="A7122" t="str">
            <v>SN0571-M</v>
          </cell>
          <cell r="B7122" t="str">
            <v>N571</v>
          </cell>
          <cell r="C7122" t="str">
            <v>ซาติน แขนสั้นขาสั้น อาหมวย พื้นเขียว หมวกแดง  M (กปก)</v>
          </cell>
          <cell r="E7122">
            <v>0</v>
          </cell>
          <cell r="F7122">
            <v>790</v>
          </cell>
        </row>
        <row r="7123">
          <cell r="A7123" t="str">
            <v>SN0572-L</v>
          </cell>
          <cell r="B7123" t="str">
            <v>JN572</v>
          </cell>
          <cell r="C7123" t="str">
            <v>ซาติน แขนสั้นขาสั้น ลายเสือ ชมพู ลูกไม้ L ตัวโชว์</v>
          </cell>
          <cell r="E7123">
            <v>0</v>
          </cell>
          <cell r="F7123">
            <v>790</v>
          </cell>
        </row>
        <row r="7124">
          <cell r="A7124" t="str">
            <v>SN0572-M</v>
          </cell>
          <cell r="B7124" t="str">
            <v>JN572</v>
          </cell>
          <cell r="C7124" t="str">
            <v>ซาติน แขนสั้นขาสั้น ลายเสือ ชมพู ลูกไม้ M ตัวโชว์</v>
          </cell>
          <cell r="E7124">
            <v>0</v>
          </cell>
          <cell r="F7124">
            <v>790</v>
          </cell>
        </row>
        <row r="7125">
          <cell r="A7125" t="str">
            <v>SN0572-S</v>
          </cell>
          <cell r="B7125" t="str">
            <v>JN572</v>
          </cell>
          <cell r="C7125" t="str">
            <v>ซาติน แขนสั้นขาสั้น ลายเสือ ชมพู ลูกไม้ S ตัวโชว์</v>
          </cell>
          <cell r="E7125">
            <v>0</v>
          </cell>
          <cell r="F7125">
            <v>790</v>
          </cell>
        </row>
        <row r="7126">
          <cell r="A7126" t="str">
            <v>SN0573-M</v>
          </cell>
          <cell r="B7126" t="str">
            <v>N573</v>
          </cell>
          <cell r="C7126" t="str">
            <v>ซาติน แขนสั้นขาสั้น ใบไม้เขียว ใหญ่ M</v>
          </cell>
          <cell r="E7126">
            <v>0</v>
          </cell>
          <cell r="F7126">
            <v>790</v>
          </cell>
        </row>
        <row r="7127">
          <cell r="A7127" t="str">
            <v>SN0573-S</v>
          </cell>
          <cell r="B7127" t="str">
            <v>N573</v>
          </cell>
          <cell r="C7127" t="str">
            <v>ซาติน แขนสั้นขาสั้น ใบไม้เขียว ใหญ่ S</v>
          </cell>
          <cell r="E7127">
            <v>0</v>
          </cell>
          <cell r="F7127">
            <v>790</v>
          </cell>
        </row>
        <row r="7128">
          <cell r="A7128" t="str">
            <v>SN0574-L</v>
          </cell>
          <cell r="B7128" t="str">
            <v>N574</v>
          </cell>
          <cell r="C7128" t="str">
            <v>ซาติน แขนสั้นขาสั้น เสือ พื้นฟ้าคราม L</v>
          </cell>
          <cell r="E7128">
            <v>0</v>
          </cell>
          <cell r="F7128">
            <v>790</v>
          </cell>
        </row>
        <row r="7129">
          <cell r="A7129" t="str">
            <v>SN0574-M</v>
          </cell>
          <cell r="B7129" t="str">
            <v>N574</v>
          </cell>
          <cell r="C7129" t="str">
            <v>ซาติน แขนสั้นขาสั้น เสือ พื้นฟ้าคราม M</v>
          </cell>
          <cell r="E7129">
            <v>0</v>
          </cell>
          <cell r="F7129">
            <v>790</v>
          </cell>
        </row>
        <row r="7130">
          <cell r="A7130" t="str">
            <v>SN0574-S</v>
          </cell>
          <cell r="B7130" t="str">
            <v>N574</v>
          </cell>
          <cell r="C7130" t="str">
            <v>ซาติน แขนสั้นขาสั้น เสือ พื้นฟ้าคราม S</v>
          </cell>
          <cell r="E7130">
            <v>0</v>
          </cell>
          <cell r="F7130">
            <v>790</v>
          </cell>
        </row>
        <row r="7131">
          <cell r="A7131" t="str">
            <v>SN0576-M</v>
          </cell>
          <cell r="B7131" t="str">
            <v>N576</v>
          </cell>
          <cell r="C7131" t="str">
            <v>ซาติน แขนสั้นขาสั้น เชอร์รี่ สัปปะรด พื้นดำ M</v>
          </cell>
          <cell r="E7131">
            <v>0</v>
          </cell>
          <cell r="F7131">
            <v>790</v>
          </cell>
        </row>
        <row r="7132">
          <cell r="A7132" t="str">
            <v>SN0576-S</v>
          </cell>
          <cell r="B7132" t="str">
            <v>JN576</v>
          </cell>
          <cell r="C7132" t="str">
            <v>ซาติน แขนสั้นขาสั้น เชอร์รี่ สัปปะรด พื้นดำ S ตัวโชว์</v>
          </cell>
          <cell r="E7132">
            <v>0</v>
          </cell>
          <cell r="F7132">
            <v>790</v>
          </cell>
        </row>
        <row r="7133">
          <cell r="A7133" t="str">
            <v>SN0577-M</v>
          </cell>
          <cell r="B7133" t="str">
            <v>N577</v>
          </cell>
          <cell r="C7133" t="str">
            <v>ซาติน แขนสั้นขาสั้น Lime พื้นฟ้าอ่อน M</v>
          </cell>
          <cell r="E7133">
            <v>0</v>
          </cell>
          <cell r="F7133">
            <v>790</v>
          </cell>
        </row>
        <row r="7134">
          <cell r="A7134" t="str">
            <v>SN0577-S</v>
          </cell>
          <cell r="B7134" t="str">
            <v>N577</v>
          </cell>
          <cell r="C7134" t="str">
            <v>ซาติน แขนสั้นขาสั้น Lime พื้นฟ้าอ่อน S</v>
          </cell>
          <cell r="E7134">
            <v>0</v>
          </cell>
          <cell r="F7134">
            <v>790</v>
          </cell>
        </row>
        <row r="7135">
          <cell r="A7135" t="str">
            <v>SN0578-L</v>
          </cell>
          <cell r="B7135" t="str">
            <v>N578</v>
          </cell>
          <cell r="C7135" t="str">
            <v>ซาติน แขนสั้นขาสั้น ชมพูดำเล็ก พื้นขาว Dreamy L</v>
          </cell>
          <cell r="E7135">
            <v>0</v>
          </cell>
          <cell r="F7135">
            <v>790</v>
          </cell>
        </row>
        <row r="7136">
          <cell r="A7136" t="str">
            <v>SN0578-M</v>
          </cell>
          <cell r="B7136" t="str">
            <v>N578</v>
          </cell>
          <cell r="C7136" t="str">
            <v>ซาติน แขนสั้นขาสั้น ชมพูดำเล็ก พื้นขาว Dreamy M</v>
          </cell>
          <cell r="E7136">
            <v>0</v>
          </cell>
          <cell r="F7136">
            <v>790</v>
          </cell>
        </row>
        <row r="7137">
          <cell r="A7137" t="str">
            <v>SN0578-S</v>
          </cell>
          <cell r="B7137" t="str">
            <v>JN578</v>
          </cell>
          <cell r="C7137" t="str">
            <v>ซาติน แขนสั้นขาสั้น ชมพูดำเล็ก พื้นขาว Dreamy S ตัวโชว์</v>
          </cell>
          <cell r="E7137">
            <v>0</v>
          </cell>
          <cell r="F7137">
            <v>790</v>
          </cell>
        </row>
        <row r="7138">
          <cell r="A7138" t="str">
            <v>SN0581-L</v>
          </cell>
          <cell r="B7138" t="str">
            <v>N581</v>
          </cell>
          <cell r="C7138" t="str">
            <v>ซาติน แขนสั้นขาสั้น โบว์ดำคู่ ขอบดำ พื้นครีม L</v>
          </cell>
          <cell r="E7138">
            <v>0</v>
          </cell>
          <cell r="F7138">
            <v>790</v>
          </cell>
        </row>
        <row r="7139">
          <cell r="A7139" t="str">
            <v>SN0581-M</v>
          </cell>
          <cell r="B7139" t="str">
            <v>N581</v>
          </cell>
          <cell r="C7139" t="str">
            <v>ซาติน แขนสั้นขาสั้น โบว์ดำคู่ ขอบดำ พื้นครีม M</v>
          </cell>
          <cell r="E7139">
            <v>0</v>
          </cell>
          <cell r="F7139">
            <v>790</v>
          </cell>
        </row>
        <row r="7140">
          <cell r="A7140" t="str">
            <v>SN0582-L</v>
          </cell>
          <cell r="B7140" t="str">
            <v>N582</v>
          </cell>
          <cell r="C7140" t="str">
            <v>ซาติน แขนสั้นขาสั้น โบว์ชมพูคู่ ขอบชมพู พื้นขาว L</v>
          </cell>
          <cell r="E7140">
            <v>0</v>
          </cell>
          <cell r="F7140">
            <v>790</v>
          </cell>
        </row>
        <row r="7141">
          <cell r="A7141" t="str">
            <v>SN0582-M</v>
          </cell>
          <cell r="B7141" t="str">
            <v>N582</v>
          </cell>
          <cell r="C7141" t="str">
            <v>ซาติน แขนสั้นขาสั้น โบว์ชมพูคู่ ขอบชมพู พื้นขาว M</v>
          </cell>
          <cell r="E7141">
            <v>0</v>
          </cell>
          <cell r="F7141">
            <v>790</v>
          </cell>
        </row>
        <row r="7142">
          <cell r="A7142" t="str">
            <v>SN0583-L</v>
          </cell>
          <cell r="B7142" t="str">
            <v>JN583</v>
          </cell>
          <cell r="C7142" t="str">
            <v>ซาติน แขนสั้นขาสั้น โบว์ขาวคู่ ขอบขาว พื้นดำ L ตัวโชว์</v>
          </cell>
          <cell r="E7142">
            <v>0</v>
          </cell>
          <cell r="F7142">
            <v>790</v>
          </cell>
        </row>
        <row r="7143">
          <cell r="A7143" t="str">
            <v>SN0583-M</v>
          </cell>
          <cell r="B7143" t="str">
            <v>JN583</v>
          </cell>
          <cell r="C7143" t="str">
            <v>ซาติน แขนสั้นขาสั้น โบว์ขาวคู่ ขอบขาว พื้นดำ M ตัวโชว์</v>
          </cell>
          <cell r="E7143">
            <v>0</v>
          </cell>
          <cell r="F7143">
            <v>790</v>
          </cell>
        </row>
        <row r="7144">
          <cell r="A7144" t="str">
            <v>SN0584-L</v>
          </cell>
          <cell r="B7144" t="str">
            <v>N584</v>
          </cell>
          <cell r="C7144" t="str">
            <v>ซาติน แขนสั้นขาสั้น โบว์ครีมคู่ ขอบครีม พื้นม่วง L</v>
          </cell>
          <cell r="E7144">
            <v>0</v>
          </cell>
          <cell r="F7144">
            <v>790</v>
          </cell>
        </row>
        <row r="7145">
          <cell r="A7145" t="str">
            <v>SN0584-M</v>
          </cell>
          <cell r="B7145" t="str">
            <v>N584</v>
          </cell>
          <cell r="C7145" t="str">
            <v>ซาติน แขนสั้นขาสั้น โบว์ครีมคู่ ขอบครีม พื้นม่วง M</v>
          </cell>
          <cell r="E7145">
            <v>0</v>
          </cell>
          <cell r="F7145">
            <v>790</v>
          </cell>
        </row>
        <row r="7146">
          <cell r="A7146" t="str">
            <v>SN0585-L</v>
          </cell>
          <cell r="B7146" t="str">
            <v>N585</v>
          </cell>
          <cell r="C7146" t="str">
            <v>ซาติน แขนสั้นขาสั้น คอบัวม่วง กระดุมมุก พื้นม่วง L (กปก)</v>
          </cell>
          <cell r="E7146">
            <v>0</v>
          </cell>
          <cell r="F7146">
            <v>790</v>
          </cell>
        </row>
        <row r="7147">
          <cell r="A7147" t="str">
            <v>SN0585-M</v>
          </cell>
          <cell r="B7147" t="str">
            <v>N585</v>
          </cell>
          <cell r="C7147" t="str">
            <v>ซาติน แขนสั้นขาสั้น คอบัวม่วง กระดุมมุก พื้นม่วง M (กปก)</v>
          </cell>
          <cell r="E7147">
            <v>0</v>
          </cell>
          <cell r="F7147">
            <v>790</v>
          </cell>
        </row>
        <row r="7148">
          <cell r="A7148" t="str">
            <v>SN0586-L</v>
          </cell>
          <cell r="B7148" t="str">
            <v>N586</v>
          </cell>
          <cell r="C7148" t="str">
            <v>ซาติน แขนสั้นขาสั้น คอบัวดำ กระดุมมุก พื้นดำ L (กปก)</v>
          </cell>
          <cell r="E7148">
            <v>0</v>
          </cell>
          <cell r="F7148">
            <v>790</v>
          </cell>
        </row>
        <row r="7149">
          <cell r="A7149" t="str">
            <v>SN0586-M</v>
          </cell>
          <cell r="B7149" t="str">
            <v>N586</v>
          </cell>
          <cell r="C7149" t="str">
            <v>ซาติน แขนสั้นขาสั้น คอบัวดำ กระดุมมุก พื้นดำ M (กปก)</v>
          </cell>
          <cell r="E7149">
            <v>0</v>
          </cell>
          <cell r="F7149">
            <v>790</v>
          </cell>
        </row>
        <row r="7150">
          <cell r="A7150" t="str">
            <v>SN0587-L</v>
          </cell>
          <cell r="B7150" t="str">
            <v>QN587</v>
          </cell>
          <cell r="C7150" t="str">
            <v>[AA]  ซาติน แขนสั้นขาสั้น คอบัวขาว กระดุมมุก พื้นขาว L (กปก) QC</v>
          </cell>
          <cell r="E7150">
            <v>0</v>
          </cell>
          <cell r="F7150">
            <v>790</v>
          </cell>
        </row>
        <row r="7151">
          <cell r="A7151" t="str">
            <v>SN0587-M</v>
          </cell>
          <cell r="B7151" t="str">
            <v>N587</v>
          </cell>
          <cell r="C7151" t="str">
            <v>ซาติน แขนสั้นขาสั้น คอบัวขาว กระดุมมุก พื้นขาว M (กปก)</v>
          </cell>
          <cell r="E7151">
            <v>0</v>
          </cell>
          <cell r="F7151">
            <v>790</v>
          </cell>
        </row>
        <row r="7152">
          <cell r="A7152" t="str">
            <v>SN0588-L</v>
          </cell>
          <cell r="B7152" t="str">
            <v>N588</v>
          </cell>
          <cell r="C7152" t="str">
            <v>[AA]   ซาติน แขนสั้นขาสั้น คอบัวครีม กระดุมมุก พื้นครีม L (กปก)</v>
          </cell>
          <cell r="E7152">
            <v>0</v>
          </cell>
          <cell r="F7152">
            <v>790</v>
          </cell>
        </row>
        <row r="7153">
          <cell r="A7153" t="str">
            <v>SN0588-M</v>
          </cell>
          <cell r="B7153" t="str">
            <v>N588</v>
          </cell>
          <cell r="C7153" t="str">
            <v>ซาติน แขนสั้นขาสั้น คอบัวครีม กระดุมมุก พื้นครีม M (กปก)</v>
          </cell>
          <cell r="E7153">
            <v>0</v>
          </cell>
          <cell r="F7153">
            <v>590</v>
          </cell>
        </row>
        <row r="7154">
          <cell r="A7154" t="str">
            <v>SN0589-L</v>
          </cell>
          <cell r="B7154" t="str">
            <v>JN589</v>
          </cell>
          <cell r="C7154" t="str">
            <v>ซาติน แขนสั้นขาสั้น แพนด้าจิ๋ว พื้นชมพู L ตัวโชว์</v>
          </cell>
          <cell r="E7154">
            <v>0</v>
          </cell>
          <cell r="F7154">
            <v>790</v>
          </cell>
        </row>
        <row r="7155">
          <cell r="A7155" t="str">
            <v>SN0589-M</v>
          </cell>
          <cell r="B7155" t="str">
            <v>JN589</v>
          </cell>
          <cell r="C7155" t="str">
            <v>ซาติน แขนสั้นขาสั้น แพนด้าจิ๋ว พื้นชมพู M ตัวโชว์</v>
          </cell>
          <cell r="E7155">
            <v>0</v>
          </cell>
          <cell r="F7155">
            <v>790</v>
          </cell>
        </row>
        <row r="7156">
          <cell r="A7156" t="str">
            <v>SN0590-L</v>
          </cell>
          <cell r="B7156" t="str">
            <v>N590</v>
          </cell>
          <cell r="C7156" t="str">
            <v>ซาติน แขนสั้นขาสั้น แพนด้าจิ๋ว พื้นขาว L</v>
          </cell>
          <cell r="E7156">
            <v>0</v>
          </cell>
          <cell r="F7156">
            <v>790</v>
          </cell>
        </row>
        <row r="7157">
          <cell r="A7157" t="str">
            <v>SN0590-M</v>
          </cell>
          <cell r="B7157" t="str">
            <v>N590</v>
          </cell>
          <cell r="C7157" t="str">
            <v>ซาติน แขนสั้นขาสั้น แพนด้าจิ๋ว พื้นขาว M</v>
          </cell>
          <cell r="E7157">
            <v>0</v>
          </cell>
          <cell r="F7157">
            <v>790</v>
          </cell>
        </row>
        <row r="7158">
          <cell r="A7158" t="str">
            <v>SN0591-L</v>
          </cell>
          <cell r="B7158" t="str">
            <v>JN591</v>
          </cell>
          <cell r="C7158" t="str">
            <v>ซาติน แขนสั้นขาสั้น กระเป๋าแพนด้า Hello พื้นขาว L ตัวโชว์</v>
          </cell>
          <cell r="E7158">
            <v>0</v>
          </cell>
          <cell r="F7158">
            <v>790</v>
          </cell>
        </row>
        <row r="7159">
          <cell r="A7159" t="str">
            <v>SN0591-M</v>
          </cell>
          <cell r="B7159" t="str">
            <v>JN591</v>
          </cell>
          <cell r="C7159" t="str">
            <v>ซาติน แขนสั้นขาสั้น กระเป๋าแพนด้า Hello พื้นขาว M ตัวโชว์</v>
          </cell>
          <cell r="E7159">
            <v>0</v>
          </cell>
          <cell r="F7159">
            <v>790</v>
          </cell>
        </row>
        <row r="7160">
          <cell r="A7160" t="str">
            <v>SN0592-L</v>
          </cell>
          <cell r="B7160" t="str">
            <v>JN592</v>
          </cell>
          <cell r="C7160" t="str">
            <v>ซาติน แขนสั้นขาสั้น กระเป๋าแพนด้า Hello พื้นชมพู L ตัวโชว์</v>
          </cell>
          <cell r="E7160">
            <v>0</v>
          </cell>
          <cell r="F7160">
            <v>790</v>
          </cell>
        </row>
        <row r="7161">
          <cell r="A7161" t="str">
            <v>SN0592-M</v>
          </cell>
          <cell r="B7161" t="str">
            <v>N592</v>
          </cell>
          <cell r="C7161" t="str">
            <v>ซาติน แขนสั้นขาสั้น กระเป๋าแพนด้า Hello พื้นชมพู M</v>
          </cell>
          <cell r="E7161">
            <v>0</v>
          </cell>
          <cell r="F7161">
            <v>790</v>
          </cell>
        </row>
        <row r="7162">
          <cell r="A7162" t="str">
            <v>SN0593-L</v>
          </cell>
          <cell r="B7162" t="str">
            <v>N593</v>
          </cell>
          <cell r="C7162" t="str">
            <v>ซาติน แขนสั้นขาสั้น เหมียว Star Tropical L</v>
          </cell>
          <cell r="E7162">
            <v>0</v>
          </cell>
          <cell r="F7162">
            <v>790</v>
          </cell>
        </row>
        <row r="7163">
          <cell r="A7163" t="str">
            <v>SN0593-M</v>
          </cell>
          <cell r="B7163" t="str">
            <v>N593</v>
          </cell>
          <cell r="C7163" t="str">
            <v>ซาติน แขนสั้นขาสั้น เหมียว Star Tropical M</v>
          </cell>
          <cell r="E7163">
            <v>0</v>
          </cell>
          <cell r="F7163">
            <v>790</v>
          </cell>
        </row>
        <row r="7164">
          <cell r="A7164" t="str">
            <v>SN0604-2XL</v>
          </cell>
          <cell r="B7164" t="str">
            <v>JN604</v>
          </cell>
          <cell r="C7164" t="str">
            <v>ซาติน แขนสั้นขาสั้น Pink Rose 2XL ตัวโชว์</v>
          </cell>
          <cell r="E7164">
            <v>0</v>
          </cell>
          <cell r="F7164">
            <v>790</v>
          </cell>
        </row>
        <row r="7165">
          <cell r="A7165" t="str">
            <v>SN0604-L</v>
          </cell>
          <cell r="B7165" t="str">
            <v>JN604</v>
          </cell>
          <cell r="C7165" t="str">
            <v>ซาติน แขนสั้นขาสั้น Pink Rose L ตัวโชว์</v>
          </cell>
          <cell r="E7165">
            <v>0</v>
          </cell>
          <cell r="F7165">
            <v>790</v>
          </cell>
        </row>
        <row r="7166">
          <cell r="A7166" t="str">
            <v>SN0604-M</v>
          </cell>
          <cell r="B7166" t="str">
            <v>JN604</v>
          </cell>
          <cell r="C7166" t="str">
            <v>ซาติน แขนสั้นขาสั้น Pink Rose M ตัวโชว์</v>
          </cell>
          <cell r="E7166">
            <v>0</v>
          </cell>
          <cell r="F7166">
            <v>790</v>
          </cell>
        </row>
        <row r="7167">
          <cell r="A7167" t="str">
            <v>SN0604-XL</v>
          </cell>
          <cell r="B7167" t="str">
            <v>JN604</v>
          </cell>
          <cell r="C7167" t="str">
            <v>ซาติน แขนสั้นขาสั้น Pink Rose XL ตัวโชว์</v>
          </cell>
          <cell r="E7167">
            <v>0</v>
          </cell>
          <cell r="F7167">
            <v>790</v>
          </cell>
        </row>
        <row r="7168">
          <cell r="A7168" t="str">
            <v>SN0605-2XL</v>
          </cell>
          <cell r="B7168" t="str">
            <v>N605</v>
          </cell>
          <cell r="C7168" t="str">
            <v>ซาติน แขนสั้นขาสั้น ดอกลิลลี่ พื้นฟ้า 2XL</v>
          </cell>
          <cell r="E7168">
            <v>0</v>
          </cell>
          <cell r="F7168">
            <v>790</v>
          </cell>
        </row>
        <row r="7169">
          <cell r="A7169" t="str">
            <v>SN0605-L</v>
          </cell>
          <cell r="B7169" t="str">
            <v>N605</v>
          </cell>
          <cell r="C7169" t="str">
            <v>ซาติน แขนสั้นขาสั้น ดอกลิลลี่ พื้นฟ้า L</v>
          </cell>
          <cell r="E7169">
            <v>0</v>
          </cell>
          <cell r="F7169">
            <v>790</v>
          </cell>
        </row>
        <row r="7170">
          <cell r="A7170" t="str">
            <v>SN0605-M</v>
          </cell>
          <cell r="B7170" t="str">
            <v>N605</v>
          </cell>
          <cell r="C7170" t="str">
            <v>ซาติน แขนสั้นขาสั้น ดอกลิลลี่ พื้นฟ้า M</v>
          </cell>
          <cell r="E7170">
            <v>0</v>
          </cell>
          <cell r="F7170">
            <v>790</v>
          </cell>
        </row>
        <row r="7171">
          <cell r="A7171" t="str">
            <v>SN0605-XL</v>
          </cell>
          <cell r="B7171" t="str">
            <v>N605</v>
          </cell>
          <cell r="C7171" t="str">
            <v>ซาติน แขนสั้นขาสั้น ดอกลิลลี่ พื้นฟ้า XL</v>
          </cell>
          <cell r="E7171">
            <v>0</v>
          </cell>
          <cell r="F7171">
            <v>790</v>
          </cell>
        </row>
        <row r="7172">
          <cell r="A7172" t="str">
            <v>SN0606-2XL</v>
          </cell>
          <cell r="B7172" t="str">
            <v>N606</v>
          </cell>
          <cell r="C7172" t="str">
            <v>ซาติน แขนสั้นขาสั้น มอนสเตอร่า พื้นเขียวมินท์ 2XL</v>
          </cell>
          <cell r="E7172">
            <v>0</v>
          </cell>
          <cell r="F7172">
            <v>790</v>
          </cell>
        </row>
        <row r="7173">
          <cell r="A7173" t="str">
            <v>SN0606-L</v>
          </cell>
          <cell r="B7173" t="str">
            <v>N606</v>
          </cell>
          <cell r="C7173" t="str">
            <v>ซาติน แขนสั้นขาสั้น มอนสเตอร่า พื้นเขียวมินท์ L</v>
          </cell>
          <cell r="E7173">
            <v>0</v>
          </cell>
          <cell r="F7173">
            <v>790</v>
          </cell>
        </row>
        <row r="7174">
          <cell r="A7174" t="str">
            <v>SN0606-M</v>
          </cell>
          <cell r="B7174" t="str">
            <v>N606</v>
          </cell>
          <cell r="C7174" t="str">
            <v>ซาติน แขนสั้นขาสั้น มอนสเตอร่า พื้นเขียวมินท์ M</v>
          </cell>
          <cell r="E7174">
            <v>0</v>
          </cell>
          <cell r="F7174">
            <v>790</v>
          </cell>
        </row>
        <row r="7175">
          <cell r="A7175" t="str">
            <v>SN0606-XL</v>
          </cell>
          <cell r="B7175" t="str">
            <v>N606</v>
          </cell>
          <cell r="C7175" t="str">
            <v>ซาติน แขนสั้นขาสั้น มอนสเตอร่า พื้นเขียวมินท์ XL</v>
          </cell>
          <cell r="E7175">
            <v>0</v>
          </cell>
          <cell r="F7175">
            <v>790</v>
          </cell>
        </row>
        <row r="7176">
          <cell r="A7176" t="str">
            <v>SN0609-F</v>
          </cell>
          <cell r="B7176" t="str">
            <v>N609</v>
          </cell>
          <cell r="C7176" t="str">
            <v>ซาติน แขนสั้นขาสั้น ตาราง ฟ้าครีม ดอกไม้ F</v>
          </cell>
          <cell r="E7176">
            <v>0</v>
          </cell>
          <cell r="F7176">
            <v>790</v>
          </cell>
        </row>
        <row r="7177">
          <cell r="A7177" t="str">
            <v>SN0613-F</v>
          </cell>
          <cell r="B7177" t="str">
            <v>JN613</v>
          </cell>
          <cell r="C7177" t="str">
            <v>ซิลค์แจ็คการ์ด แขนสั้นขาสั้น ตารางเขียว พื้นครีม ขอบม่วง พาสเทล F ตัวโชว์</v>
          </cell>
          <cell r="E7177">
            <v>0</v>
          </cell>
          <cell r="F7177">
            <v>790</v>
          </cell>
        </row>
        <row r="7178">
          <cell r="A7178" t="str">
            <v>SN0616-F</v>
          </cell>
          <cell r="B7178" t="str">
            <v>N616</v>
          </cell>
          <cell r="C7178" t="str">
            <v>ซาติน แขนสั้นขาสั้น ลายพราง น้ำเงิน F</v>
          </cell>
          <cell r="E7178">
            <v>0</v>
          </cell>
          <cell r="F7178">
            <v>790</v>
          </cell>
        </row>
        <row r="7179">
          <cell r="A7179" t="str">
            <v>SN0632-L</v>
          </cell>
          <cell r="B7179" t="str">
            <v>JN632</v>
          </cell>
          <cell r="C7179" t="str">
            <v>ซาติน แขนสั้นขาสั้น คอวี พื้นครีม ขอบดำ L ตัวโชว์</v>
          </cell>
          <cell r="E7179">
            <v>0</v>
          </cell>
          <cell r="F7179">
            <v>790</v>
          </cell>
        </row>
        <row r="7180">
          <cell r="A7180" t="str">
            <v>SN0632-M</v>
          </cell>
          <cell r="B7180" t="str">
            <v>JN632</v>
          </cell>
          <cell r="C7180" t="str">
            <v>ซาติน แขนสั้นขาสั้น คอวี พื้นครีม ขอบดำ M ตัวโชว์</v>
          </cell>
          <cell r="E7180">
            <v>0</v>
          </cell>
          <cell r="F7180">
            <v>790</v>
          </cell>
        </row>
        <row r="7181">
          <cell r="A7181" t="str">
            <v>SN0633-L</v>
          </cell>
          <cell r="B7181" t="str">
            <v>N633</v>
          </cell>
          <cell r="C7181" t="str">
            <v>ซาติน แขนสั้นขาสั้น คอวี พื้นฟ้า ขอบชมพู L</v>
          </cell>
          <cell r="E7181">
            <v>0</v>
          </cell>
          <cell r="F7181">
            <v>790</v>
          </cell>
        </row>
        <row r="7182">
          <cell r="A7182" t="str">
            <v>SN0633-M</v>
          </cell>
          <cell r="B7182" t="str">
            <v>N633</v>
          </cell>
          <cell r="C7182" t="str">
            <v>ซาติน แขนสั้นขาสั้น คอวี พื้นฟ้า ขอบชมพู M</v>
          </cell>
          <cell r="E7182">
            <v>0</v>
          </cell>
          <cell r="F7182">
            <v>790</v>
          </cell>
        </row>
        <row r="7183">
          <cell r="A7183" t="str">
            <v>SN0634-L</v>
          </cell>
          <cell r="B7183" t="str">
            <v>N634</v>
          </cell>
          <cell r="C7183" t="str">
            <v>ซาติน แขนสั้นขาสั้น แพนด้า กระเป๋าชมพู  L (กปก)</v>
          </cell>
          <cell r="E7183">
            <v>0</v>
          </cell>
          <cell r="F7183">
            <v>790</v>
          </cell>
        </row>
        <row r="7184">
          <cell r="A7184" t="str">
            <v>SN0634-M</v>
          </cell>
          <cell r="B7184" t="str">
            <v>N634</v>
          </cell>
          <cell r="C7184" t="str">
            <v>ซาติน แขนสั้นขาสั้น แพนด้า กระเป๋าชมพู  M (กปก)</v>
          </cell>
          <cell r="E7184">
            <v>0</v>
          </cell>
          <cell r="F7184">
            <v>790</v>
          </cell>
        </row>
        <row r="7185">
          <cell r="A7185" t="str">
            <v>SN0635-L</v>
          </cell>
          <cell r="B7185" t="str">
            <v>N635</v>
          </cell>
          <cell r="C7185" t="str">
            <v>ซาติน แขนสั้นขาสั้น แพนด้า กระเป๋าม่วง  L (กปก)</v>
          </cell>
          <cell r="E7185">
            <v>0</v>
          </cell>
          <cell r="F7185">
            <v>790</v>
          </cell>
        </row>
        <row r="7186">
          <cell r="A7186" t="str">
            <v>SN0635-M</v>
          </cell>
          <cell r="B7186" t="str">
            <v>N635</v>
          </cell>
          <cell r="C7186" t="str">
            <v>ซาติน แขนสั้นขาสั้น แพนด้า กระเป๋าม่วง  M (กปก)</v>
          </cell>
          <cell r="E7186">
            <v>0</v>
          </cell>
          <cell r="F7186">
            <v>790</v>
          </cell>
        </row>
        <row r="7187">
          <cell r="A7187" t="str">
            <v>SN0636-M</v>
          </cell>
          <cell r="B7187" t="str">
            <v>N636</v>
          </cell>
          <cell r="C7187" t="str">
            <v>ซาติน แขนสั้นขาสั้น เขียว ลายทาง ลายเซ็นต์ M</v>
          </cell>
          <cell r="E7187">
            <v>0</v>
          </cell>
          <cell r="F7187">
            <v>790</v>
          </cell>
        </row>
        <row r="7188">
          <cell r="A7188" t="str">
            <v>SN0636-S</v>
          </cell>
          <cell r="B7188" t="str">
            <v>ป10</v>
          </cell>
          <cell r="C7188" t="str">
            <v>ซาติน แขนสั้นขาสั้น เขียว ลายทาง ลายเซ็นต์ S</v>
          </cell>
          <cell r="E7188">
            <v>0</v>
          </cell>
          <cell r="F7188">
            <v>790</v>
          </cell>
        </row>
        <row r="7189">
          <cell r="A7189" t="str">
            <v>SN0637-M</v>
          </cell>
          <cell r="B7189" t="str">
            <v>N637</v>
          </cell>
          <cell r="C7189" t="str">
            <v>ซาติน แขนสั้นขาสั้น กระป๋องคูล พื้นชมพู ปกเขียว M</v>
          </cell>
          <cell r="E7189">
            <v>0</v>
          </cell>
          <cell r="F7189">
            <v>790</v>
          </cell>
        </row>
        <row r="7190">
          <cell r="A7190" t="str">
            <v>SN0637-S</v>
          </cell>
          <cell r="B7190" t="str">
            <v>N637</v>
          </cell>
          <cell r="C7190" t="str">
            <v>ซาติน แขนสั้นขาสั้น กระป๋องคูล พื้นชมพู ปกเขียว S</v>
          </cell>
          <cell r="E7190">
            <v>0</v>
          </cell>
          <cell r="F7190">
            <v>790</v>
          </cell>
        </row>
        <row r="7191">
          <cell r="A7191" t="str">
            <v>SN0638-L</v>
          </cell>
          <cell r="B7191" t="str">
            <v>N638</v>
          </cell>
          <cell r="C7191" t="str">
            <v>ซาติน แขนสั้นขาสั้น เรนโบว์ L</v>
          </cell>
          <cell r="E7191">
            <v>0</v>
          </cell>
          <cell r="F7191">
            <v>790</v>
          </cell>
        </row>
        <row r="7192">
          <cell r="A7192" t="str">
            <v>SN0638-M</v>
          </cell>
          <cell r="B7192" t="str">
            <v>N638</v>
          </cell>
          <cell r="C7192" t="str">
            <v>ซาติน แขนสั้นขาสั้น เรนโบว์ M</v>
          </cell>
          <cell r="E7192">
            <v>0</v>
          </cell>
          <cell r="F7192">
            <v>790</v>
          </cell>
        </row>
        <row r="7193">
          <cell r="A7193" t="str">
            <v>SN0639-L</v>
          </cell>
          <cell r="B7193" t="str">
            <v>N639</v>
          </cell>
          <cell r="C7193" t="str">
            <v>ซาติน แขนสั้นขาสั้น ทูโทนฮาร์ท พื้นขาว L</v>
          </cell>
          <cell r="E7193">
            <v>0</v>
          </cell>
          <cell r="F7193">
            <v>790</v>
          </cell>
        </row>
        <row r="7194">
          <cell r="A7194" t="str">
            <v>SN0639-M</v>
          </cell>
          <cell r="B7194" t="str">
            <v>N639</v>
          </cell>
          <cell r="C7194" t="str">
            <v>ซาติน แขนสั้นขาสั้น ทูโทนฮาร์ท พื้นขาว M</v>
          </cell>
          <cell r="E7194">
            <v>0</v>
          </cell>
          <cell r="F7194">
            <v>790</v>
          </cell>
        </row>
        <row r="7195">
          <cell r="A7195" t="str">
            <v>SN0640-L</v>
          </cell>
          <cell r="B7195" t="str">
            <v>N640</v>
          </cell>
          <cell r="C7195" t="str">
            <v>ซาติน แขนสั้นขาสั้น ทูโทนฮาร์ท พื้นชมพู L</v>
          </cell>
          <cell r="E7195">
            <v>0</v>
          </cell>
          <cell r="F7195">
            <v>790</v>
          </cell>
        </row>
        <row r="7196">
          <cell r="A7196" t="str">
            <v>SN0640-M</v>
          </cell>
          <cell r="B7196" t="str">
            <v>N640</v>
          </cell>
          <cell r="C7196" t="str">
            <v>ซาติน แขนสั้นขาสั้น ทูโทนฮาร์ท พื้นชมพู M</v>
          </cell>
          <cell r="E7196">
            <v>0</v>
          </cell>
          <cell r="F7196">
            <v>790</v>
          </cell>
        </row>
        <row r="7197">
          <cell r="A7197" t="str">
            <v>SN0641-L</v>
          </cell>
          <cell r="B7197" t="str">
            <v>N641</v>
          </cell>
          <cell r="C7197" t="str">
            <v>ซาติน แขนสั้นขาสั้น Miss You Cat พื้นชมพู L</v>
          </cell>
          <cell r="E7197">
            <v>0</v>
          </cell>
          <cell r="F7197">
            <v>790</v>
          </cell>
        </row>
        <row r="7198">
          <cell r="A7198" t="str">
            <v>SN0641-M</v>
          </cell>
          <cell r="B7198" t="str">
            <v>N641</v>
          </cell>
          <cell r="C7198" t="str">
            <v>ซาติน แขนสั้นขาสั้น Miss You Cat พื้นชมพู M</v>
          </cell>
          <cell r="E7198">
            <v>0</v>
          </cell>
          <cell r="F7198">
            <v>790</v>
          </cell>
        </row>
        <row r="7199">
          <cell r="A7199" t="str">
            <v>SN0642-L</v>
          </cell>
          <cell r="B7199" t="str">
            <v>N642</v>
          </cell>
          <cell r="C7199" t="str">
            <v>ซาติน แขนสั้นขาสั้น Miss You Cat พื้นม่วง L</v>
          </cell>
          <cell r="E7199">
            <v>0</v>
          </cell>
          <cell r="F7199">
            <v>790</v>
          </cell>
        </row>
        <row r="7200">
          <cell r="A7200" t="str">
            <v>SN0642-M</v>
          </cell>
          <cell r="B7200" t="str">
            <v>N642</v>
          </cell>
          <cell r="C7200" t="str">
            <v>ซาติน แขนสั้นขาสั้น Miss You Cat พื้นม่วง M</v>
          </cell>
          <cell r="E7200">
            <v>0</v>
          </cell>
          <cell r="F7200">
            <v>790</v>
          </cell>
        </row>
        <row r="7201">
          <cell r="A7201" t="str">
            <v>SN0643-L</v>
          </cell>
          <cell r="B7201" t="str">
            <v>JN643</v>
          </cell>
          <cell r="C7201" t="str">
            <v>ซาติน แขนสั้นขาสั้น Lacy Cat พื้นชมพู L ตัวโชว์</v>
          </cell>
          <cell r="E7201">
            <v>0</v>
          </cell>
          <cell r="F7201">
            <v>790</v>
          </cell>
        </row>
        <row r="7202">
          <cell r="A7202" t="str">
            <v>SN0643-M</v>
          </cell>
          <cell r="B7202" t="str">
            <v>JN643</v>
          </cell>
          <cell r="C7202" t="str">
            <v>ซาติน แขนสั้นขาสั้น Lacy Cat พื้นชมพู M ตัวโชว์</v>
          </cell>
          <cell r="E7202">
            <v>0</v>
          </cell>
          <cell r="F7202">
            <v>790</v>
          </cell>
        </row>
        <row r="7203">
          <cell r="A7203" t="str">
            <v>SN0644-L</v>
          </cell>
          <cell r="B7203" t="str">
            <v>N644</v>
          </cell>
          <cell r="C7203" t="str">
            <v>ซาติน แขนสั้นขาสั้น Lacy Cat พื้นม่วง L</v>
          </cell>
          <cell r="E7203">
            <v>0</v>
          </cell>
          <cell r="F7203">
            <v>790</v>
          </cell>
        </row>
        <row r="7204">
          <cell r="A7204" t="str">
            <v>SN0644-M</v>
          </cell>
          <cell r="B7204" t="str">
            <v>N644</v>
          </cell>
          <cell r="C7204" t="str">
            <v>ซาติน แขนสั้นขาสั้น Lacy Cat พื้นม่วง M</v>
          </cell>
          <cell r="E7204">
            <v>0</v>
          </cell>
          <cell r="F7204">
            <v>790</v>
          </cell>
        </row>
        <row r="7205">
          <cell r="A7205" t="str">
            <v>SN0647-L</v>
          </cell>
          <cell r="B7205" t="str">
            <v>N647</v>
          </cell>
          <cell r="C7205" t="str">
            <v>ซาติน แขนสั้นขาสั้น Happy Time Cat ม่วง L</v>
          </cell>
          <cell r="E7205">
            <v>0</v>
          </cell>
          <cell r="F7205">
            <v>790</v>
          </cell>
        </row>
        <row r="7206">
          <cell r="A7206" t="str">
            <v>SN0647-M</v>
          </cell>
          <cell r="B7206" t="str">
            <v>N647</v>
          </cell>
          <cell r="C7206" t="str">
            <v>ซาติน แขนสั้นขาสั้น Happy Time Cat ม่วง M</v>
          </cell>
          <cell r="E7206">
            <v>0</v>
          </cell>
          <cell r="F7206">
            <v>790</v>
          </cell>
        </row>
        <row r="7207">
          <cell r="A7207" t="str">
            <v>SN0647-S</v>
          </cell>
          <cell r="B7207" t="str">
            <v>QN647</v>
          </cell>
          <cell r="C7207" t="str">
            <v>ซาติน แขนสั้นขาสั้น Happy Time Cat ม่วง S QC</v>
          </cell>
          <cell r="E7207">
            <v>0</v>
          </cell>
          <cell r="F7207">
            <v>790</v>
          </cell>
        </row>
        <row r="7208">
          <cell r="A7208" t="str">
            <v>SN0648-L</v>
          </cell>
          <cell r="B7208" t="str">
            <v>N648</v>
          </cell>
          <cell r="C7208" t="str">
            <v>ซาติน แขนสั้นขาสั้น Happy Time Cat ชมพู L</v>
          </cell>
          <cell r="E7208">
            <v>0</v>
          </cell>
          <cell r="F7208">
            <v>790</v>
          </cell>
        </row>
        <row r="7209">
          <cell r="A7209" t="str">
            <v>SN0648-M</v>
          </cell>
          <cell r="B7209" t="str">
            <v>N648</v>
          </cell>
          <cell r="C7209" t="str">
            <v>ซาติน แขนสั้นขาสั้น Happy Time Cat ชมพู M (กปก)</v>
          </cell>
          <cell r="E7209">
            <v>0</v>
          </cell>
          <cell r="F7209">
            <v>790</v>
          </cell>
        </row>
        <row r="7210">
          <cell r="A7210" t="str">
            <v>SN0648-S</v>
          </cell>
          <cell r="B7210" t="str">
            <v>JN648</v>
          </cell>
          <cell r="C7210" t="str">
            <v>ซาติน แขนสั้นขาสั้น Happy Time Cat ชมพู S (กปก) ตัวโชว์</v>
          </cell>
          <cell r="E7210">
            <v>0</v>
          </cell>
          <cell r="F7210">
            <v>790</v>
          </cell>
        </row>
        <row r="7211">
          <cell r="A7211" t="str">
            <v>SN0649-L</v>
          </cell>
          <cell r="B7211" t="str">
            <v>N649</v>
          </cell>
          <cell r="C7211" t="str">
            <v>ซาติน แขนสั้นขาสั้น น้องเหมียว ชมพู ระบาย L</v>
          </cell>
          <cell r="E7211">
            <v>0</v>
          </cell>
          <cell r="F7211">
            <v>790</v>
          </cell>
        </row>
        <row r="7212">
          <cell r="A7212" t="str">
            <v>SN0649-M</v>
          </cell>
          <cell r="B7212" t="str">
            <v>N649</v>
          </cell>
          <cell r="C7212" t="str">
            <v>ซาติน แขนสั้นขาสั้น น้องเหมียว ชมพู ระบาย M</v>
          </cell>
          <cell r="E7212">
            <v>0</v>
          </cell>
          <cell r="F7212">
            <v>790</v>
          </cell>
        </row>
        <row r="7213">
          <cell r="A7213" t="str">
            <v>SN0649-S</v>
          </cell>
          <cell r="B7213" t="str">
            <v>N649</v>
          </cell>
          <cell r="C7213" t="str">
            <v>ซาติน แขนสั้นขาสั้น น้องเหมียว ชมพู ระบาย S</v>
          </cell>
          <cell r="E7213">
            <v>0</v>
          </cell>
          <cell r="F7213">
            <v>790</v>
          </cell>
        </row>
        <row r="7214">
          <cell r="A7214" t="str">
            <v>SN0650-L</v>
          </cell>
          <cell r="B7214" t="str">
            <v>N650</v>
          </cell>
          <cell r="C7214" t="str">
            <v>ซาติน แขนสั้นขาสั้น น้องเหมียว ฟ้าเขียว ระบาย L</v>
          </cell>
          <cell r="E7214">
            <v>0</v>
          </cell>
          <cell r="F7214">
            <v>790</v>
          </cell>
        </row>
        <row r="7215">
          <cell r="A7215" t="str">
            <v>SN0650-M</v>
          </cell>
          <cell r="B7215" t="str">
            <v>N650</v>
          </cell>
          <cell r="C7215" t="str">
            <v>ซาติน แขนสั้นขาสั้น น้องเหมียว ฟ้าเขียว ระบาย M</v>
          </cell>
          <cell r="E7215">
            <v>0</v>
          </cell>
          <cell r="F7215">
            <v>790</v>
          </cell>
        </row>
        <row r="7216">
          <cell r="A7216" t="str">
            <v>SN0650-S</v>
          </cell>
          <cell r="B7216" t="str">
            <v>N650</v>
          </cell>
          <cell r="C7216" t="str">
            <v>ซาติน แขนสั้นขาสั้น น้องเหมียว ฟ้าเขียว ระบาย S</v>
          </cell>
          <cell r="E7216">
            <v>0</v>
          </cell>
          <cell r="F7216">
            <v>790</v>
          </cell>
        </row>
        <row r="7217">
          <cell r="A7217" t="str">
            <v>SN0651-M</v>
          </cell>
          <cell r="B7217" t="str">
            <v>N651</v>
          </cell>
          <cell r="C7217" t="str">
            <v>ซาติน แขนสั้นขาสั้น พื้นเขียว กระเป๋าเสือดาวขาว M</v>
          </cell>
          <cell r="E7217">
            <v>0</v>
          </cell>
          <cell r="F7217">
            <v>790</v>
          </cell>
        </row>
        <row r="7218">
          <cell r="A7218" t="str">
            <v>SN0652-L</v>
          </cell>
          <cell r="B7218" t="str">
            <v>N652</v>
          </cell>
          <cell r="C7218" t="str">
            <v>ซาติน แขนสั้นขาสั้น ชิโนริเขียว กระเป๋าหมา L</v>
          </cell>
          <cell r="E7218">
            <v>0</v>
          </cell>
          <cell r="F7218">
            <v>790</v>
          </cell>
        </row>
        <row r="7219">
          <cell r="A7219" t="str">
            <v>SN0652-M</v>
          </cell>
          <cell r="B7219" t="str">
            <v>JN652</v>
          </cell>
          <cell r="C7219" t="str">
            <v>ซาติน แขนสั้นขาสั้น ชิโนริเขียว กระเป๋าหมา M ตัวโชว์</v>
          </cell>
          <cell r="E7219">
            <v>0</v>
          </cell>
          <cell r="F7219">
            <v>790</v>
          </cell>
        </row>
        <row r="7220">
          <cell r="A7220" t="str">
            <v>SN0661-L</v>
          </cell>
          <cell r="B7220" t="str">
            <v>N661</v>
          </cell>
          <cell r="C7220" t="str">
            <v>ซาติน แขนสั้นขาสั้น ชิโนริ ชมพู L</v>
          </cell>
          <cell r="E7220">
            <v>0</v>
          </cell>
          <cell r="F7220">
            <v>790</v>
          </cell>
        </row>
        <row r="7221">
          <cell r="A7221" t="str">
            <v>SN0661-M</v>
          </cell>
          <cell r="B7221" t="str">
            <v>N661</v>
          </cell>
          <cell r="C7221" t="str">
            <v>ซาติน แขนสั้นขาสั้น ชิโนริ ชมพู M</v>
          </cell>
          <cell r="E7221">
            <v>0</v>
          </cell>
          <cell r="F7221">
            <v>790</v>
          </cell>
        </row>
        <row r="7222">
          <cell r="A7222" t="str">
            <v>SN0661-S</v>
          </cell>
          <cell r="B7222" t="str">
            <v>N661</v>
          </cell>
          <cell r="C7222" t="str">
            <v>ซาติน แขนสั้นขาสั้น ชิโนริ ชมพู S</v>
          </cell>
          <cell r="E7222">
            <v>0</v>
          </cell>
          <cell r="F7222">
            <v>790</v>
          </cell>
        </row>
        <row r="7223">
          <cell r="A7223" t="str">
            <v>SN0662-L</v>
          </cell>
          <cell r="B7223" t="str">
            <v>N662</v>
          </cell>
          <cell r="C7223" t="str">
            <v>ซาติน แขนสั้นขาสั้น ชิโนริ ดำ L</v>
          </cell>
          <cell r="E7223">
            <v>0</v>
          </cell>
          <cell r="F7223">
            <v>790</v>
          </cell>
        </row>
        <row r="7224">
          <cell r="A7224" t="str">
            <v>SN0662-M</v>
          </cell>
          <cell r="B7224" t="str">
            <v>N662</v>
          </cell>
          <cell r="C7224" t="str">
            <v>ซาติน แขนสั้นขาสั้น ชิโนริ ดำ M</v>
          </cell>
          <cell r="E7224">
            <v>0</v>
          </cell>
          <cell r="F7224">
            <v>790</v>
          </cell>
        </row>
        <row r="7225">
          <cell r="A7225" t="str">
            <v>SN0662-S</v>
          </cell>
          <cell r="B7225" t="str">
            <v>N662</v>
          </cell>
          <cell r="C7225" t="str">
            <v>ซาติน แขนสั้นขาสั้น ชิโนริ ดำ S</v>
          </cell>
          <cell r="E7225">
            <v>0</v>
          </cell>
          <cell r="F7225">
            <v>790</v>
          </cell>
        </row>
        <row r="7226">
          <cell r="A7226" t="str">
            <v>SN0663-2XL</v>
          </cell>
          <cell r="B7226" t="str">
            <v>N663</v>
          </cell>
          <cell r="C7226" t="str">
            <v>ซาติน แขนสั้นขาสั้น Black Rose 2XL</v>
          </cell>
          <cell r="E7226">
            <v>0</v>
          </cell>
          <cell r="F7226">
            <v>790</v>
          </cell>
        </row>
        <row r="7227">
          <cell r="A7227" t="str">
            <v>SN0663-L</v>
          </cell>
          <cell r="B7227" t="str">
            <v>N663</v>
          </cell>
          <cell r="C7227" t="str">
            <v>ซาติน แขนสั้นขาสั้น Black Rose L</v>
          </cell>
          <cell r="E7227">
            <v>0</v>
          </cell>
          <cell r="F7227">
            <v>790</v>
          </cell>
        </row>
        <row r="7228">
          <cell r="A7228" t="str">
            <v>SN0663-M</v>
          </cell>
          <cell r="B7228" t="str">
            <v>N663</v>
          </cell>
          <cell r="C7228" t="str">
            <v>ซาติน แขนสั้นขาสั้น Black Rose M</v>
          </cell>
          <cell r="E7228">
            <v>0</v>
          </cell>
          <cell r="F7228">
            <v>790</v>
          </cell>
        </row>
        <row r="7229">
          <cell r="A7229" t="str">
            <v>SN0663-XL</v>
          </cell>
          <cell r="B7229" t="str">
            <v>N663</v>
          </cell>
          <cell r="C7229" t="str">
            <v>ซาติน แขนสั้นขาสั้น Black Rose XL</v>
          </cell>
          <cell r="E7229">
            <v>0</v>
          </cell>
          <cell r="F7229">
            <v>790</v>
          </cell>
        </row>
        <row r="7230">
          <cell r="A7230" t="str">
            <v>SN0665-L</v>
          </cell>
          <cell r="B7230" t="str">
            <v>N665</v>
          </cell>
          <cell r="C7230" t="str">
            <v>ซาติน แขนสั้นขาสั้น เสือเขียว พื้นครีม L</v>
          </cell>
          <cell r="E7230">
            <v>0</v>
          </cell>
          <cell r="F7230">
            <v>790</v>
          </cell>
        </row>
        <row r="7231">
          <cell r="A7231" t="str">
            <v>SN0665-M</v>
          </cell>
          <cell r="B7231" t="str">
            <v>N665</v>
          </cell>
          <cell r="C7231" t="str">
            <v>ซาติน แขนสั้นขาสั้น เสือเขียว พื้นครีม M</v>
          </cell>
          <cell r="E7231">
            <v>0</v>
          </cell>
          <cell r="F7231">
            <v>790</v>
          </cell>
        </row>
        <row r="7232">
          <cell r="A7232" t="str">
            <v>SN0665-S</v>
          </cell>
          <cell r="B7232" t="str">
            <v>N665</v>
          </cell>
          <cell r="C7232" t="str">
            <v>ซาติน แขนสั้นขาสั้น เสือเขียว พื้นครีม S</v>
          </cell>
          <cell r="E7232">
            <v>0</v>
          </cell>
          <cell r="F7232">
            <v>790</v>
          </cell>
        </row>
        <row r="7233">
          <cell r="A7233" t="str">
            <v>SN0667-2XL</v>
          </cell>
          <cell r="B7233" t="str">
            <v>JN667</v>
          </cell>
          <cell r="C7233" t="str">
            <v>ซาติน แขนสั้นขาสั้น art พื้นส้ม 2XL ตัวโชว์</v>
          </cell>
          <cell r="E7233">
            <v>0</v>
          </cell>
          <cell r="F7233">
            <v>790</v>
          </cell>
        </row>
        <row r="7234">
          <cell r="A7234" t="str">
            <v>SN0667-L</v>
          </cell>
          <cell r="B7234" t="str">
            <v>JN667</v>
          </cell>
          <cell r="C7234" t="str">
            <v>ซาติน แขนสั้นขาสั้น art พื้นส้ม L ตัวโชว์</v>
          </cell>
          <cell r="E7234">
            <v>0</v>
          </cell>
          <cell r="F7234">
            <v>790</v>
          </cell>
        </row>
        <row r="7235">
          <cell r="A7235" t="str">
            <v>SN0667-M</v>
          </cell>
          <cell r="B7235" t="str">
            <v>JN667</v>
          </cell>
          <cell r="C7235" t="str">
            <v>ซาติน แขนสั้นขาสั้น art พื้นส้ม M ตัวโชว์</v>
          </cell>
          <cell r="E7235">
            <v>0</v>
          </cell>
          <cell r="F7235">
            <v>790</v>
          </cell>
        </row>
        <row r="7236">
          <cell r="A7236" t="str">
            <v>SN0667-XL</v>
          </cell>
          <cell r="B7236" t="str">
            <v>JN667</v>
          </cell>
          <cell r="C7236" t="str">
            <v>ซาติน แขนสั้นขาสั้น art พื้นส้ม XL ตัวโชว์</v>
          </cell>
          <cell r="E7236">
            <v>0</v>
          </cell>
          <cell r="F7236">
            <v>790</v>
          </cell>
        </row>
        <row r="7237">
          <cell r="A7237" t="str">
            <v>SN0668-2XL</v>
          </cell>
          <cell r="B7237" t="str">
            <v>N668</v>
          </cell>
          <cell r="C7237" t="str">
            <v>ซาติน แขนสั้นขาสั้นดอกลีลาวดี พื้นเขียว ปกเขียว 2XL</v>
          </cell>
          <cell r="E7237">
            <v>0</v>
          </cell>
          <cell r="F7237">
            <v>790</v>
          </cell>
        </row>
        <row r="7238">
          <cell r="A7238" t="str">
            <v>SN0668-L</v>
          </cell>
          <cell r="B7238" t="str">
            <v>N668</v>
          </cell>
          <cell r="C7238" t="str">
            <v>ซาติน แขนสั้นขาสั้นดอกลีลาวดี พื้นเขียว ปกเขียว L</v>
          </cell>
          <cell r="E7238">
            <v>0</v>
          </cell>
          <cell r="F7238">
            <v>790</v>
          </cell>
        </row>
        <row r="7239">
          <cell r="A7239" t="str">
            <v>SN0668-M</v>
          </cell>
          <cell r="B7239" t="str">
            <v>N668</v>
          </cell>
          <cell r="C7239" t="str">
            <v>ซาติน แขนสั้นขาสั้นดอกลีลาวดี พื้นเขียว ปกเขียว M</v>
          </cell>
          <cell r="E7239">
            <v>0</v>
          </cell>
          <cell r="F7239">
            <v>790</v>
          </cell>
        </row>
        <row r="7240">
          <cell r="A7240" t="str">
            <v>SN0668-XL</v>
          </cell>
          <cell r="B7240" t="str">
            <v>N668</v>
          </cell>
          <cell r="C7240" t="str">
            <v>ซาติน แขนสั้นขาสั้นดอกลีลาวดี พื้นเขียว ปกเขียว XL</v>
          </cell>
          <cell r="E7240">
            <v>0</v>
          </cell>
          <cell r="F7240">
            <v>790</v>
          </cell>
        </row>
        <row r="7241">
          <cell r="A7241" t="str">
            <v>SN0669-F</v>
          </cell>
          <cell r="B7241" t="str">
            <v>N669</v>
          </cell>
          <cell r="C7241" t="str">
            <v>ซิลค์แจ็คการ์ด แขนสั้นขาสั้น ดอกทานตะวัน ม่วง F</v>
          </cell>
          <cell r="E7241">
            <v>0</v>
          </cell>
          <cell r="F7241">
            <v>790</v>
          </cell>
        </row>
        <row r="7242">
          <cell r="A7242" t="str">
            <v>SN0674-L</v>
          </cell>
          <cell r="B7242" t="str">
            <v>N674</v>
          </cell>
          <cell r="C7242" t="str">
            <v>ซาติน แขนสั้นขาสั้น ดอกไม้ แดงน้ำเงิน พื้นครีม L (กปก)</v>
          </cell>
          <cell r="E7242">
            <v>0</v>
          </cell>
          <cell r="F7242">
            <v>790</v>
          </cell>
        </row>
        <row r="7243">
          <cell r="A7243" t="str">
            <v>SN0674-M</v>
          </cell>
          <cell r="B7243" t="str">
            <v>N674</v>
          </cell>
          <cell r="C7243" t="str">
            <v>ซาติน แขนสั้นขาสั้น ดอกไม้ แดงน้ำเงิน พื้นครีม M (กปก)</v>
          </cell>
          <cell r="E7243">
            <v>0</v>
          </cell>
          <cell r="F7243">
            <v>790</v>
          </cell>
        </row>
        <row r="7244">
          <cell r="A7244" t="str">
            <v>SN0674-XL</v>
          </cell>
          <cell r="B7244" t="str">
            <v>N674</v>
          </cell>
          <cell r="C7244" t="str">
            <v>ซาติน แขนสั้นขาสั้น ดอกไม้ แดงน้ำเงิน พื้นครีม XL (กปก)</v>
          </cell>
          <cell r="E7244">
            <v>0</v>
          </cell>
          <cell r="F7244">
            <v>790</v>
          </cell>
        </row>
        <row r="7245">
          <cell r="A7245" t="str">
            <v>SN0675-L</v>
          </cell>
          <cell r="B7245" t="str">
            <v>N675</v>
          </cell>
          <cell r="C7245" t="str">
            <v>ซาติน แขนสั้นขาสั้น Blue Sky L</v>
          </cell>
          <cell r="E7245">
            <v>0</v>
          </cell>
          <cell r="F7245">
            <v>790</v>
          </cell>
        </row>
        <row r="7246">
          <cell r="A7246" t="str">
            <v>SN0675-M</v>
          </cell>
          <cell r="B7246" t="str">
            <v>N675</v>
          </cell>
          <cell r="C7246" t="str">
            <v>ซาติน แขนสั้นขาสั้น Blue Sky M</v>
          </cell>
          <cell r="E7246">
            <v>0</v>
          </cell>
          <cell r="F7246">
            <v>790</v>
          </cell>
        </row>
        <row r="7247">
          <cell r="A7247" t="str">
            <v>SN0675-XL</v>
          </cell>
          <cell r="B7247" t="str">
            <v>N675</v>
          </cell>
          <cell r="C7247" t="str">
            <v>ซาติน แขนสั้นขาสั้น Blue Sky XL</v>
          </cell>
          <cell r="E7247">
            <v>0</v>
          </cell>
          <cell r="F7247">
            <v>790</v>
          </cell>
        </row>
        <row r="7248">
          <cell r="A7248" t="str">
            <v>SN0676-L</v>
          </cell>
          <cell r="B7248" t="str">
            <v>N676</v>
          </cell>
          <cell r="C7248" t="str">
            <v>ซาติน แขนสั้นขาสั้น Pink Sky L (กปก)</v>
          </cell>
          <cell r="E7248">
            <v>0</v>
          </cell>
          <cell r="F7248">
            <v>790</v>
          </cell>
        </row>
        <row r="7249">
          <cell r="A7249" t="str">
            <v>SN0676-M</v>
          </cell>
          <cell r="B7249" t="str">
            <v>N676</v>
          </cell>
          <cell r="C7249" t="str">
            <v>ซาติน แขนสั้นขาสั้น Pink Sky M (กปก)</v>
          </cell>
          <cell r="E7249">
            <v>0</v>
          </cell>
          <cell r="F7249">
            <v>790</v>
          </cell>
        </row>
        <row r="7250">
          <cell r="A7250" t="str">
            <v>SN0676-XL</v>
          </cell>
          <cell r="B7250" t="str">
            <v>N676</v>
          </cell>
          <cell r="C7250" t="str">
            <v>ซาติน แขนสั้นขาสั้น Pink Sky XL (กปก)</v>
          </cell>
          <cell r="E7250">
            <v>0</v>
          </cell>
          <cell r="F7250">
            <v>790</v>
          </cell>
        </row>
        <row r="7251">
          <cell r="A7251" t="str">
            <v>SN0677-L</v>
          </cell>
          <cell r="B7251" t="str">
            <v>N677</v>
          </cell>
          <cell r="C7251" t="str">
            <v>ซาติน แขนสั้นขาสั้น Golden Leaf พื้นกรม L</v>
          </cell>
          <cell r="E7251">
            <v>0</v>
          </cell>
          <cell r="F7251">
            <v>790</v>
          </cell>
        </row>
        <row r="7252">
          <cell r="A7252" t="str">
            <v>SN0677-M</v>
          </cell>
          <cell r="B7252" t="str">
            <v>N677</v>
          </cell>
          <cell r="C7252" t="str">
            <v>ซาติน แขนสั้นขาสั้น Golden Leaf พื้นกรม M</v>
          </cell>
          <cell r="E7252">
            <v>0</v>
          </cell>
          <cell r="F7252">
            <v>790</v>
          </cell>
        </row>
        <row r="7253">
          <cell r="A7253" t="str">
            <v>SN0677-XL</v>
          </cell>
          <cell r="B7253" t="str">
            <v>N677</v>
          </cell>
          <cell r="C7253" t="str">
            <v>ซาติน แขนสั้นขาสั้น Golden Leaf พื้นกรม XL</v>
          </cell>
          <cell r="E7253">
            <v>0</v>
          </cell>
          <cell r="F7253">
            <v>790</v>
          </cell>
        </row>
        <row r="7254">
          <cell r="A7254" t="str">
            <v>SN0678-L</v>
          </cell>
          <cell r="B7254" t="str">
            <v>N678</v>
          </cell>
          <cell r="C7254" t="str">
            <v>ซาติน แขนสั้นขาสั้น ดอกไม้น้ำตาล พื้นฟ้า คอวี L</v>
          </cell>
          <cell r="E7254">
            <v>0</v>
          </cell>
          <cell r="F7254">
            <v>790</v>
          </cell>
        </row>
        <row r="7255">
          <cell r="A7255" t="str">
            <v>SN0678-M</v>
          </cell>
          <cell r="B7255" t="str">
            <v>N678</v>
          </cell>
          <cell r="C7255" t="str">
            <v>ซาติน แขนสั้นขาสั้น ดอกไม้น้ำตาล พื้นฟ้า คอวี M</v>
          </cell>
          <cell r="E7255">
            <v>0</v>
          </cell>
          <cell r="F7255">
            <v>790</v>
          </cell>
        </row>
        <row r="7256">
          <cell r="A7256" t="str">
            <v>SN0678-XL</v>
          </cell>
          <cell r="B7256" t="str">
            <v>N678</v>
          </cell>
          <cell r="C7256" t="str">
            <v>ซาติน แขนสั้นขาสั้น ดอกไม้น้ำตาล พื้นฟ้า คอวี XL</v>
          </cell>
          <cell r="E7256">
            <v>0</v>
          </cell>
          <cell r="F7256">
            <v>790</v>
          </cell>
        </row>
        <row r="7257">
          <cell r="A7257" t="str">
            <v>SN0679-L</v>
          </cell>
          <cell r="B7257" t="str">
            <v>N679</v>
          </cell>
          <cell r="C7257" t="str">
            <v>ซาติน แขนสั้นขาสั้น กุหลาบ พื้นครีม L</v>
          </cell>
          <cell r="E7257">
            <v>0</v>
          </cell>
          <cell r="F7257">
            <v>790</v>
          </cell>
        </row>
        <row r="7258">
          <cell r="A7258" t="str">
            <v>SN0679-M</v>
          </cell>
          <cell r="B7258" t="str">
            <v>N679</v>
          </cell>
          <cell r="C7258" t="str">
            <v>ซาติน แขนสั้นขาสั้น กุหลาบ พื้นครีม M</v>
          </cell>
          <cell r="E7258">
            <v>0</v>
          </cell>
          <cell r="F7258">
            <v>790</v>
          </cell>
        </row>
        <row r="7259">
          <cell r="A7259" t="str">
            <v>SN0679-XL</v>
          </cell>
          <cell r="B7259" t="str">
            <v>N679</v>
          </cell>
          <cell r="C7259" t="str">
            <v>ซาติน แขนสั้นขาสั้น กุหลาบ พื้นครีม XL</v>
          </cell>
          <cell r="E7259">
            <v>0</v>
          </cell>
          <cell r="F7259">
            <v>790</v>
          </cell>
        </row>
        <row r="7260">
          <cell r="A7260" t="str">
            <v>SN0680-L</v>
          </cell>
          <cell r="B7260" t="str">
            <v>N680</v>
          </cell>
          <cell r="C7260" t="str">
            <v>ซาติน แขนสั้นขาสั้น ตาราง หมี ฟ้า L (กปก)</v>
          </cell>
          <cell r="E7260">
            <v>0</v>
          </cell>
          <cell r="F7260">
            <v>790</v>
          </cell>
        </row>
        <row r="7261">
          <cell r="A7261" t="str">
            <v>SN0680-M</v>
          </cell>
          <cell r="B7261" t="str">
            <v>N680</v>
          </cell>
          <cell r="C7261" t="str">
            <v>ซาติน แขนสั้นขาสั้น ตาราง หมี ฟ้า M</v>
          </cell>
          <cell r="E7261">
            <v>0</v>
          </cell>
          <cell r="F7261">
            <v>790</v>
          </cell>
        </row>
        <row r="7262">
          <cell r="A7262" t="str">
            <v>SN0680-XL</v>
          </cell>
          <cell r="B7262" t="str">
            <v>N680</v>
          </cell>
          <cell r="C7262" t="str">
            <v>ซาติน แขนสั้นขาสั้น ตาราง หมี ฟ้า XL</v>
          </cell>
          <cell r="E7262">
            <v>0</v>
          </cell>
          <cell r="F7262">
            <v>790</v>
          </cell>
        </row>
        <row r="7263">
          <cell r="A7263" t="str">
            <v>SN0681-L</v>
          </cell>
          <cell r="B7263" t="str">
            <v>N681</v>
          </cell>
          <cell r="C7263" t="str">
            <v>ซาติน แขนสั้นขาสั้น ตาราง หมี ชมพู L (กปก)</v>
          </cell>
          <cell r="E7263">
            <v>0</v>
          </cell>
          <cell r="F7263">
            <v>790</v>
          </cell>
        </row>
        <row r="7264">
          <cell r="A7264" t="str">
            <v>SN0681-M</v>
          </cell>
          <cell r="B7264" t="str">
            <v>N681</v>
          </cell>
          <cell r="C7264" t="str">
            <v>ซาติน แขนสั้นขาสั้น ตาราง หมี ชมพู M (กปก)</v>
          </cell>
          <cell r="E7264">
            <v>0</v>
          </cell>
          <cell r="F7264">
            <v>790</v>
          </cell>
        </row>
        <row r="7265">
          <cell r="A7265" t="str">
            <v>SN0681-XL</v>
          </cell>
          <cell r="B7265" t="str">
            <v>N681</v>
          </cell>
          <cell r="C7265" t="str">
            <v>ซาติน แขนสั้นขาสั้น ตาราง หมี ชมพู XL</v>
          </cell>
          <cell r="E7265">
            <v>0</v>
          </cell>
          <cell r="F7265">
            <v>790</v>
          </cell>
        </row>
        <row r="7266">
          <cell r="A7266" t="str">
            <v>SN0682-L</v>
          </cell>
          <cell r="B7266" t="str">
            <v>N682</v>
          </cell>
          <cell r="C7266" t="str">
            <v>ซาติน แขนสั้นขาสั้น หมีคู่ พื้นกรม L</v>
          </cell>
          <cell r="E7266">
            <v>0</v>
          </cell>
          <cell r="F7266">
            <v>790</v>
          </cell>
        </row>
        <row r="7267">
          <cell r="A7267" t="str">
            <v>SN0682-M</v>
          </cell>
          <cell r="B7267" t="str">
            <v>N682</v>
          </cell>
          <cell r="C7267" t="str">
            <v>ซาติน แขนสั้นขาสั้น หมีคู่ พื้นกรม M</v>
          </cell>
          <cell r="E7267">
            <v>0</v>
          </cell>
          <cell r="F7267">
            <v>790</v>
          </cell>
        </row>
        <row r="7268">
          <cell r="A7268" t="str">
            <v>SN0683-L</v>
          </cell>
          <cell r="B7268" t="str">
            <v>N683</v>
          </cell>
          <cell r="C7268" t="str">
            <v>ซาติน แขนสั้นขาสั้น หมีคู่ พื้นครีม L</v>
          </cell>
          <cell r="E7268">
            <v>0</v>
          </cell>
          <cell r="F7268">
            <v>790</v>
          </cell>
        </row>
        <row r="7269">
          <cell r="A7269" t="str">
            <v>SN0683-M</v>
          </cell>
          <cell r="B7269" t="str">
            <v>JN683</v>
          </cell>
          <cell r="C7269" t="str">
            <v>ซาติน แขนสั้นขาสั้น หมีคู่ พื้นครีม M ตัวโชว์</v>
          </cell>
          <cell r="E7269">
            <v>0</v>
          </cell>
          <cell r="F7269">
            <v>790</v>
          </cell>
        </row>
        <row r="7270">
          <cell r="A7270" t="str">
            <v>SN0697-L</v>
          </cell>
          <cell r="B7270" t="str">
            <v>N697</v>
          </cell>
          <cell r="C7270" t="str">
            <v>ซาติน แขนสั้นขาสั้น ชิโนริ เขียว กระเป๋าหมี L (กปก)</v>
          </cell>
          <cell r="E7270">
            <v>0</v>
          </cell>
          <cell r="F7270">
            <v>790</v>
          </cell>
        </row>
        <row r="7271">
          <cell r="A7271" t="str">
            <v>SN0697-M</v>
          </cell>
          <cell r="B7271" t="str">
            <v>N697</v>
          </cell>
          <cell r="C7271" t="str">
            <v>ซาติน แขนสั้นขาสั้น ชิโนริ เขียว กระเป๋าหมี M (กปก)</v>
          </cell>
          <cell r="E7271">
            <v>0</v>
          </cell>
          <cell r="F7271">
            <v>790</v>
          </cell>
        </row>
        <row r="7272">
          <cell r="A7272" t="str">
            <v>SN0697-XL</v>
          </cell>
          <cell r="B7272" t="str">
            <v>N697</v>
          </cell>
          <cell r="C7272" t="str">
            <v>ซาติน แขนสั้นขาสั้น ชิโนริ เขียว กระเป๋าหมี XL</v>
          </cell>
          <cell r="E7272">
            <v>0</v>
          </cell>
          <cell r="F7272">
            <v>790</v>
          </cell>
        </row>
        <row r="7273">
          <cell r="A7273" t="str">
            <v>SN0698-L</v>
          </cell>
          <cell r="B7273" t="str">
            <v>N698</v>
          </cell>
          <cell r="C7273" t="str">
            <v>ซาติน แขนสั้นขาสั้น ชิโนริ ชมพู กระเป๋าหมี L (กปก)</v>
          </cell>
          <cell r="E7273">
            <v>0</v>
          </cell>
          <cell r="F7273">
            <v>790</v>
          </cell>
        </row>
        <row r="7274">
          <cell r="A7274" t="str">
            <v>SN0698-M</v>
          </cell>
          <cell r="B7274" t="str">
            <v>N698</v>
          </cell>
          <cell r="C7274" t="str">
            <v>ซาติน แขนสั้นขาสั้น ชิโนริ ชมพู กระเป๋าหมี M (กปก)</v>
          </cell>
          <cell r="E7274">
            <v>0</v>
          </cell>
          <cell r="F7274">
            <v>790</v>
          </cell>
        </row>
        <row r="7275">
          <cell r="A7275" t="str">
            <v>SN0698-XL</v>
          </cell>
          <cell r="B7275" t="str">
            <v>JN698</v>
          </cell>
          <cell r="C7275" t="str">
            <v>ซาติน แขนสั้นขาสั้น ชิโนริ ชมพู กระเป๋าหมี XL (กปก) ตัวโชว์</v>
          </cell>
          <cell r="E7275">
            <v>0</v>
          </cell>
          <cell r="F7275">
            <v>790</v>
          </cell>
        </row>
        <row r="7276">
          <cell r="A7276" t="str">
            <v>SN0699-L</v>
          </cell>
          <cell r="B7276" t="str">
            <v>N699</v>
          </cell>
          <cell r="C7276" t="str">
            <v>ซาติน แขนสั้นขาสั้น ชิโนริ ดำ กระเป๋าหมี L (กปก)</v>
          </cell>
          <cell r="E7276">
            <v>0</v>
          </cell>
          <cell r="F7276">
            <v>790</v>
          </cell>
        </row>
        <row r="7277">
          <cell r="A7277" t="str">
            <v>SN0699-M</v>
          </cell>
          <cell r="B7277" t="str">
            <v>N699</v>
          </cell>
          <cell r="C7277" t="str">
            <v>ซาติน แขนสั้นขาสั้น ชิโนริ ดำ กระเป๋าหมี M (กปก)</v>
          </cell>
          <cell r="E7277">
            <v>0</v>
          </cell>
          <cell r="F7277">
            <v>790</v>
          </cell>
        </row>
        <row r="7278">
          <cell r="A7278" t="str">
            <v>SN0699-XL</v>
          </cell>
          <cell r="B7278" t="str">
            <v>N699</v>
          </cell>
          <cell r="C7278" t="str">
            <v>ซาติน แขนสั้นขาสั้น ชิโนริ ดำ กระเป๋าหมี XL (กปก)</v>
          </cell>
          <cell r="E7278">
            <v>0</v>
          </cell>
          <cell r="F7278">
            <v>790</v>
          </cell>
        </row>
        <row r="7279">
          <cell r="A7279" t="str">
            <v>SN0700-2XL</v>
          </cell>
          <cell r="B7279" t="str">
            <v>N700</v>
          </cell>
          <cell r="C7279" t="str">
            <v>ซาติน แขนสั้นขาสั้น Royal Rabbit 2XL</v>
          </cell>
          <cell r="E7279">
            <v>0</v>
          </cell>
          <cell r="F7279">
            <v>790</v>
          </cell>
        </row>
        <row r="7280">
          <cell r="A7280" t="str">
            <v>SN0700-L</v>
          </cell>
          <cell r="B7280" t="str">
            <v>N700</v>
          </cell>
          <cell r="C7280" t="str">
            <v>ซาติน แขนสั้นขาสั้น Royal Rabbit L</v>
          </cell>
          <cell r="E7280">
            <v>0</v>
          </cell>
          <cell r="F7280">
            <v>790</v>
          </cell>
        </row>
        <row r="7281">
          <cell r="A7281" t="str">
            <v>SN0700-M</v>
          </cell>
          <cell r="B7281" t="str">
            <v>N700</v>
          </cell>
          <cell r="C7281" t="str">
            <v>ซาติน แขนสั้นขาสั้น Royal Rabbit M</v>
          </cell>
          <cell r="E7281">
            <v>0</v>
          </cell>
          <cell r="F7281">
            <v>790</v>
          </cell>
        </row>
        <row r="7282">
          <cell r="A7282" t="str">
            <v>SN0700-XL</v>
          </cell>
          <cell r="B7282" t="str">
            <v>N700</v>
          </cell>
          <cell r="C7282" t="str">
            <v>ซาติน แขนสั้นขาสั้น Royal Rabbit XL</v>
          </cell>
          <cell r="E7282">
            <v>0</v>
          </cell>
          <cell r="F7282">
            <v>790</v>
          </cell>
        </row>
        <row r="7283">
          <cell r="A7283" t="str">
            <v>SN0701-2XL</v>
          </cell>
          <cell r="B7283" t="str">
            <v>N701</v>
          </cell>
          <cell r="C7283" t="str">
            <v>ซาติน แขนสั้นขาสั้น คณะแมว 2XL</v>
          </cell>
          <cell r="E7283">
            <v>0</v>
          </cell>
          <cell r="F7283">
            <v>790</v>
          </cell>
        </row>
        <row r="7284">
          <cell r="A7284" t="str">
            <v>SN0701-L</v>
          </cell>
          <cell r="B7284" t="str">
            <v>N701</v>
          </cell>
          <cell r="C7284" t="str">
            <v>ซาติน แขนสั้นขาสั้น คณะแมว L</v>
          </cell>
          <cell r="E7284">
            <v>0</v>
          </cell>
          <cell r="F7284">
            <v>790</v>
          </cell>
        </row>
        <row r="7285">
          <cell r="A7285" t="str">
            <v>SN0701-M</v>
          </cell>
          <cell r="B7285" t="str">
            <v>N701</v>
          </cell>
          <cell r="C7285" t="str">
            <v>ซาติน แขนสั้นขาสั้น คณะแมว M</v>
          </cell>
          <cell r="E7285">
            <v>0</v>
          </cell>
          <cell r="F7285">
            <v>790</v>
          </cell>
        </row>
        <row r="7286">
          <cell r="A7286" t="str">
            <v>SN0701-XL</v>
          </cell>
          <cell r="B7286" t="str">
            <v>N701</v>
          </cell>
          <cell r="C7286" t="str">
            <v>ซาติน แขนสั้นขาสั้น คณะแมว XL</v>
          </cell>
          <cell r="E7286">
            <v>0</v>
          </cell>
          <cell r="F7286">
            <v>790</v>
          </cell>
        </row>
        <row r="7287">
          <cell r="A7287" t="str">
            <v>SN0702-L</v>
          </cell>
          <cell r="B7287" t="str">
            <v>N702</v>
          </cell>
          <cell r="C7287" t="str">
            <v>ซาติน แขนสั้นขาสั้น น้องหมา จิ๊กซอว์ ฟ้า L</v>
          </cell>
          <cell r="E7287">
            <v>0</v>
          </cell>
          <cell r="F7287">
            <v>790</v>
          </cell>
        </row>
        <row r="7288">
          <cell r="A7288" t="str">
            <v>SN0702-M</v>
          </cell>
          <cell r="B7288" t="str">
            <v>N702</v>
          </cell>
          <cell r="C7288" t="str">
            <v>ซาติน แขนสั้นขาสั้น น้องหมา จิ๊กซอว์ ฟ้า M</v>
          </cell>
          <cell r="E7288">
            <v>0</v>
          </cell>
          <cell r="F7288">
            <v>790</v>
          </cell>
        </row>
        <row r="7289">
          <cell r="A7289" t="str">
            <v>SN0716-L</v>
          </cell>
          <cell r="B7289" t="str">
            <v>N716</v>
          </cell>
          <cell r="C7289" t="str">
            <v>ซาติน แขนสั้นขาสั้น พื้นดำ หัวใจหลากสี L (กปก)</v>
          </cell>
          <cell r="E7289">
            <v>0</v>
          </cell>
          <cell r="F7289">
            <v>790</v>
          </cell>
        </row>
        <row r="7290">
          <cell r="A7290" t="str">
            <v>SN0716-M</v>
          </cell>
          <cell r="B7290" t="str">
            <v>N716</v>
          </cell>
          <cell r="C7290" t="str">
            <v>ซาติน แขนสั้นขาสั้น พื้นดำ หัวใจหลากสี M (กปก)</v>
          </cell>
          <cell r="E7290">
            <v>0</v>
          </cell>
          <cell r="F7290">
            <v>790</v>
          </cell>
        </row>
        <row r="7291">
          <cell r="A7291" t="str">
            <v>SN0716-XL</v>
          </cell>
          <cell r="B7291" t="str">
            <v>N716</v>
          </cell>
          <cell r="C7291" t="str">
            <v>ซาติน แขนสั้นขาสั้น พื้นดำ หัวใจหลากสี XL</v>
          </cell>
          <cell r="E7291">
            <v>0</v>
          </cell>
          <cell r="F7291">
            <v>790</v>
          </cell>
        </row>
        <row r="7292">
          <cell r="A7292" t="str">
            <v>SN0717-L</v>
          </cell>
          <cell r="B7292" t="str">
            <v>JN717</v>
          </cell>
          <cell r="C7292" t="str">
            <v>ซาติน แขนสั้นขาสั้น Lovely Cat พื้นชมพู L (กปก) ตัวโชว์</v>
          </cell>
          <cell r="E7292">
            <v>0</v>
          </cell>
          <cell r="F7292">
            <v>790</v>
          </cell>
        </row>
        <row r="7293">
          <cell r="A7293" t="str">
            <v>SN0717-M</v>
          </cell>
          <cell r="B7293" t="str">
            <v>JN717</v>
          </cell>
          <cell r="C7293" t="str">
            <v>ซาติน แขนสั้นขาสั้น Lovely Cat พื้นชมพู M (กปก) ตัวโชว์</v>
          </cell>
          <cell r="E7293">
            <v>0</v>
          </cell>
          <cell r="F7293">
            <v>790</v>
          </cell>
        </row>
        <row r="7294">
          <cell r="A7294" t="str">
            <v>SN0718-M</v>
          </cell>
          <cell r="B7294" t="str">
            <v>JN718</v>
          </cell>
          <cell r="C7294" t="str">
            <v>ซาติน แขนสั้นขาสั้น Lovely Cat พื้นขาว M (กปก) ตัวโชว์</v>
          </cell>
          <cell r="E7294">
            <v>0</v>
          </cell>
          <cell r="F7294">
            <v>790</v>
          </cell>
        </row>
        <row r="7295">
          <cell r="A7295" t="str">
            <v>SN0719-L</v>
          </cell>
          <cell r="B7295" t="str">
            <v>N719</v>
          </cell>
          <cell r="C7295" t="str">
            <v>ซาติน แขนสั้นขาสั้น เสือ ชมพู ลูกไม้ L</v>
          </cell>
          <cell r="E7295">
            <v>0</v>
          </cell>
          <cell r="F7295">
            <v>790</v>
          </cell>
        </row>
        <row r="7296">
          <cell r="A7296" t="str">
            <v>SN0719-M</v>
          </cell>
          <cell r="B7296" t="str">
            <v>N719</v>
          </cell>
          <cell r="C7296" t="str">
            <v>ซาติน แขนสั้นขาสั้น เสือ ชมพู ลูกไม้ M</v>
          </cell>
          <cell r="E7296">
            <v>0</v>
          </cell>
          <cell r="F7296">
            <v>790</v>
          </cell>
        </row>
        <row r="7297">
          <cell r="A7297" t="str">
            <v>SN0720-L</v>
          </cell>
          <cell r="B7297" t="str">
            <v>N720</v>
          </cell>
          <cell r="C7297" t="str">
            <v>ซาติน แขนสั้นขาสั้น เสือ ขาว ลูกไม้ L</v>
          </cell>
          <cell r="E7297">
            <v>0</v>
          </cell>
          <cell r="F7297">
            <v>790</v>
          </cell>
        </row>
        <row r="7298">
          <cell r="A7298" t="str">
            <v>SN0720-M</v>
          </cell>
          <cell r="B7298" t="str">
            <v>QN720</v>
          </cell>
          <cell r="C7298" t="str">
            <v>[AA]    ซาติน แขนสั้นขาสั้น เสือ ขาว ลูกไม้ M QC</v>
          </cell>
          <cell r="E7298">
            <v>0</v>
          </cell>
          <cell r="F7298">
            <v>790</v>
          </cell>
        </row>
        <row r="7299">
          <cell r="A7299" t="str">
            <v>SN0721-L</v>
          </cell>
          <cell r="B7299" t="str">
            <v>N721</v>
          </cell>
          <cell r="C7299" t="str">
            <v>ซาติน แขนสั้นขาสั้น ยูนิคอร์น ขาวดำ L</v>
          </cell>
          <cell r="E7299">
            <v>0</v>
          </cell>
          <cell r="F7299">
            <v>790</v>
          </cell>
        </row>
        <row r="7300">
          <cell r="A7300" t="str">
            <v>SN0721-M</v>
          </cell>
          <cell r="B7300" t="str">
            <v>N721</v>
          </cell>
          <cell r="C7300" t="str">
            <v>ซาติน แขนสั้นขาสั้น ยูนิคอร์น ขาวดำ M</v>
          </cell>
          <cell r="E7300">
            <v>0</v>
          </cell>
          <cell r="F7300">
            <v>790</v>
          </cell>
        </row>
        <row r="7301">
          <cell r="A7301" t="str">
            <v>SN0721-XL</v>
          </cell>
          <cell r="B7301" t="str">
            <v>N721</v>
          </cell>
          <cell r="C7301" t="str">
            <v>ซาติน แขนสั้นขาสั้น ยูนิคอร์น ขาวดำ XL</v>
          </cell>
          <cell r="E7301">
            <v>0</v>
          </cell>
          <cell r="F7301">
            <v>790</v>
          </cell>
        </row>
        <row r="7302">
          <cell r="A7302" t="str">
            <v>SN0742-L</v>
          </cell>
          <cell r="B7302" t="str">
            <v>N742</v>
          </cell>
          <cell r="C7302" t="str">
            <v>ซาติน แขนสั้นขาสั้น พื้นม่วงล้วน ขอบขาว L</v>
          </cell>
          <cell r="E7302">
            <v>0</v>
          </cell>
          <cell r="F7302">
            <v>790</v>
          </cell>
        </row>
        <row r="7303">
          <cell r="A7303" t="str">
            <v>SN0742-M</v>
          </cell>
          <cell r="B7303" t="str">
            <v>N742</v>
          </cell>
          <cell r="C7303" t="str">
            <v>ซาติน แขนสั้นขาสั้น พื้นม่วงล้วน ขอบขาว M</v>
          </cell>
          <cell r="E7303">
            <v>0</v>
          </cell>
          <cell r="F7303">
            <v>790</v>
          </cell>
        </row>
        <row r="7304">
          <cell r="A7304" t="str">
            <v>SN0742-S</v>
          </cell>
          <cell r="B7304" t="str">
            <v>N742</v>
          </cell>
          <cell r="C7304" t="str">
            <v>ซาติน แขนสั้นขาสั้น พื้นม่วงล้วน ขอบขาว S</v>
          </cell>
          <cell r="E7304">
            <v>0</v>
          </cell>
          <cell r="F7304">
            <v>790</v>
          </cell>
        </row>
        <row r="7305">
          <cell r="A7305" t="str">
            <v>SN0743-L</v>
          </cell>
          <cell r="B7305" t="str">
            <v>N743</v>
          </cell>
          <cell r="C7305" t="str">
            <v>ซาติน แขนสั้นขาสั้น พื้นขาวล้วน ขอบดำ L</v>
          </cell>
          <cell r="E7305">
            <v>0</v>
          </cell>
          <cell r="F7305">
            <v>790</v>
          </cell>
        </row>
        <row r="7306">
          <cell r="A7306" t="str">
            <v>SN0743-M</v>
          </cell>
          <cell r="B7306" t="str">
            <v>N743</v>
          </cell>
          <cell r="C7306" t="str">
            <v>ซาติน แขนสั้นขาสั้น พื้นขาวล้วน ขอบดำ M</v>
          </cell>
          <cell r="E7306">
            <v>0</v>
          </cell>
          <cell r="F7306">
            <v>790</v>
          </cell>
        </row>
        <row r="7307">
          <cell r="A7307" t="str">
            <v>SN0743-S</v>
          </cell>
          <cell r="B7307" t="str">
            <v>N743</v>
          </cell>
          <cell r="C7307" t="str">
            <v>ซาติน แขนสั้นขาสั้น พื้นขาวล้วน ขอบดำ S</v>
          </cell>
          <cell r="E7307">
            <v>0</v>
          </cell>
          <cell r="F7307">
            <v>790</v>
          </cell>
        </row>
        <row r="7308">
          <cell r="A7308" t="str">
            <v>SN0744-L</v>
          </cell>
          <cell r="B7308" t="str">
            <v>N744</v>
          </cell>
          <cell r="C7308" t="str">
            <v>ซาติน แขนสั้นขาสั้น Black Flower tropical พื้นครีม L</v>
          </cell>
          <cell r="E7308">
            <v>0</v>
          </cell>
          <cell r="F7308">
            <v>790</v>
          </cell>
        </row>
        <row r="7309">
          <cell r="A7309" t="str">
            <v>SN0744-M</v>
          </cell>
          <cell r="B7309" t="str">
            <v>N744</v>
          </cell>
          <cell r="C7309" t="str">
            <v>ซาติน แขนสั้นขาสั้น Black Flower tropical พื้นครีม M</v>
          </cell>
          <cell r="E7309">
            <v>0</v>
          </cell>
          <cell r="F7309">
            <v>790</v>
          </cell>
        </row>
        <row r="7310">
          <cell r="A7310" t="str">
            <v>SN0745-L</v>
          </cell>
          <cell r="B7310" t="str">
            <v>N745</v>
          </cell>
          <cell r="C7310" t="str">
            <v>ซาติน แขนสั้นขาสั้น Cow พื้นดำ (กปก) L</v>
          </cell>
          <cell r="E7310">
            <v>0</v>
          </cell>
          <cell r="F7310">
            <v>790</v>
          </cell>
        </row>
        <row r="7311">
          <cell r="A7311" t="str">
            <v>SN0745-M</v>
          </cell>
          <cell r="B7311" t="str">
            <v>JN745</v>
          </cell>
          <cell r="C7311" t="str">
            <v>ซาติน แขนสั้นขาสั้น Cow พื้นดำ (กปก) M ตัวโชว์</v>
          </cell>
          <cell r="E7311">
            <v>0</v>
          </cell>
          <cell r="F7311">
            <v>790</v>
          </cell>
        </row>
        <row r="7312">
          <cell r="A7312" t="str">
            <v>SN0746-L</v>
          </cell>
          <cell r="B7312" t="str">
            <v>N746</v>
          </cell>
          <cell r="C7312" t="str">
            <v>ซาติน แขนสั้นขาสั้น Cow พื้นชมพู (กปก) L</v>
          </cell>
          <cell r="E7312">
            <v>0</v>
          </cell>
          <cell r="F7312">
            <v>790</v>
          </cell>
        </row>
        <row r="7313">
          <cell r="A7313" t="str">
            <v>SN0746-M</v>
          </cell>
          <cell r="B7313" t="str">
            <v>N746</v>
          </cell>
          <cell r="C7313" t="str">
            <v>ซาติน แขนสั้นขาสั้น Cow พื้นชมพู (กปก) M</v>
          </cell>
          <cell r="E7313">
            <v>0</v>
          </cell>
          <cell r="F7313">
            <v>790</v>
          </cell>
        </row>
        <row r="7314">
          <cell r="A7314" t="str">
            <v>SN0751-L</v>
          </cell>
          <cell r="B7314" t="str">
            <v>N751</v>
          </cell>
          <cell r="C7314" t="str">
            <v>ซาติน แขนสั้นขาสั้น กุหลาบจิ๋ว พื้นครีม L</v>
          </cell>
          <cell r="E7314">
            <v>0</v>
          </cell>
          <cell r="F7314">
            <v>790</v>
          </cell>
        </row>
        <row r="7315">
          <cell r="A7315" t="str">
            <v>SN0751-M</v>
          </cell>
          <cell r="B7315" t="str">
            <v>N751</v>
          </cell>
          <cell r="C7315" t="str">
            <v>ซาติน แขนสั้นขาสั้น กุหลาบจิ๋ว พื้นครีม M</v>
          </cell>
          <cell r="E7315">
            <v>0</v>
          </cell>
          <cell r="F7315">
            <v>790</v>
          </cell>
        </row>
        <row r="7316">
          <cell r="A7316" t="str">
            <v>SN0755-2XL</v>
          </cell>
          <cell r="B7316" t="str">
            <v>N755</v>
          </cell>
          <cell r="C7316" t="str">
            <v>ซิลค์แจ็คการ์ด แขนสั้นขาสั้น เสือ พืนชมพู ปกส้มฟ้า 2XL</v>
          </cell>
          <cell r="E7316">
            <v>0</v>
          </cell>
          <cell r="F7316">
            <v>790</v>
          </cell>
        </row>
        <row r="7317">
          <cell r="A7317" t="str">
            <v>SN0755-L</v>
          </cell>
          <cell r="B7317" t="str">
            <v>N755</v>
          </cell>
          <cell r="C7317" t="str">
            <v>ซิลค์แจ็คการ์ด แขนสั้นขาสั้น เสือ พืนชมพู ปกส้มฟ้า L</v>
          </cell>
          <cell r="E7317">
            <v>0</v>
          </cell>
          <cell r="F7317">
            <v>790</v>
          </cell>
        </row>
        <row r="7318">
          <cell r="A7318" t="str">
            <v>SN0755-M</v>
          </cell>
          <cell r="B7318" t="str">
            <v>N755</v>
          </cell>
          <cell r="C7318" t="str">
            <v>ซิลค์แจ็คการ์ด แขนสั้นขาสั้น เสือ พืนชมพู ปกส้มฟ้า M</v>
          </cell>
          <cell r="E7318">
            <v>0</v>
          </cell>
          <cell r="F7318">
            <v>790</v>
          </cell>
        </row>
        <row r="7319">
          <cell r="A7319" t="str">
            <v>SN0755-XL</v>
          </cell>
          <cell r="B7319" t="str">
            <v>N755</v>
          </cell>
          <cell r="C7319" t="str">
            <v>ซิลค์แจ็คการ์ด แขนสั้นขาสั้น เสือ พืนชมพู ปกส้มฟ้า XL</v>
          </cell>
          <cell r="E7319">
            <v>0</v>
          </cell>
          <cell r="F7319">
            <v>790</v>
          </cell>
        </row>
        <row r="7320">
          <cell r="A7320" t="str">
            <v>SN0761-L</v>
          </cell>
          <cell r="B7320" t="str">
            <v>N761</v>
          </cell>
          <cell r="C7320" t="str">
            <v>ซาติน แขนสั้นขาสั้น Happy พื้นชมพู L</v>
          </cell>
          <cell r="E7320">
            <v>0</v>
          </cell>
          <cell r="F7320">
            <v>790</v>
          </cell>
        </row>
        <row r="7321">
          <cell r="A7321" t="str">
            <v>SN0761-M</v>
          </cell>
          <cell r="B7321" t="str">
            <v>N761</v>
          </cell>
          <cell r="C7321" t="str">
            <v>ซาติน แขนสั้นขาสั้น Happy พื้นชมพู M</v>
          </cell>
          <cell r="E7321">
            <v>0</v>
          </cell>
          <cell r="F7321">
            <v>790</v>
          </cell>
        </row>
        <row r="7322">
          <cell r="A7322" t="str">
            <v>SN0762-L</v>
          </cell>
          <cell r="B7322" t="str">
            <v>N762</v>
          </cell>
          <cell r="C7322" t="str">
            <v>ซาติน แขนสั้นขาสั้น ลูกพีช คอระบาย L</v>
          </cell>
          <cell r="E7322">
            <v>0</v>
          </cell>
          <cell r="F7322">
            <v>790</v>
          </cell>
        </row>
        <row r="7323">
          <cell r="A7323" t="str">
            <v>SN0762-M</v>
          </cell>
          <cell r="B7323" t="str">
            <v>N762</v>
          </cell>
          <cell r="C7323" t="str">
            <v>ซาติน แขนสั้นขาสั้น ลูกพีช คอระบาย M</v>
          </cell>
          <cell r="E7323">
            <v>0</v>
          </cell>
          <cell r="F7323">
            <v>590</v>
          </cell>
        </row>
        <row r="7324">
          <cell r="A7324" t="str">
            <v>SN0763-L</v>
          </cell>
          <cell r="B7324" t="str">
            <v>N763</v>
          </cell>
          <cell r="C7324" t="str">
            <v>ซาติน แขนสั้นขาสั้น ก้อนเมฆ ลายพราง พื้นฟ้า L</v>
          </cell>
          <cell r="E7324">
            <v>0</v>
          </cell>
          <cell r="F7324">
            <v>790</v>
          </cell>
        </row>
        <row r="7325">
          <cell r="A7325" t="str">
            <v>SN0763-M</v>
          </cell>
          <cell r="B7325" t="str">
            <v>N763</v>
          </cell>
          <cell r="C7325" t="str">
            <v>ซาติน แขนสั้นขาสั้น ก้อนเมฆ ลายพราง พื้นฟ้า M</v>
          </cell>
          <cell r="E7325">
            <v>0</v>
          </cell>
          <cell r="F7325">
            <v>790</v>
          </cell>
        </row>
        <row r="7326">
          <cell r="A7326" t="str">
            <v>SN0764-L</v>
          </cell>
          <cell r="B7326" t="str">
            <v>N764</v>
          </cell>
          <cell r="C7326" t="str">
            <v>ซาติน แขนสั้นขาสั้น ก้อนเมฆ ลายพราง พื้นเหลือง L</v>
          </cell>
          <cell r="E7326">
            <v>0</v>
          </cell>
          <cell r="F7326">
            <v>790</v>
          </cell>
        </row>
        <row r="7327">
          <cell r="A7327" t="str">
            <v>SN0764-M</v>
          </cell>
          <cell r="B7327" t="str">
            <v>QN764</v>
          </cell>
          <cell r="C7327" t="str">
            <v>ซาติน แขนสั้นขาสั้น ก้อนเมฆ ลายพราง พื้นเหลือง M QC</v>
          </cell>
          <cell r="E7327">
            <v>0</v>
          </cell>
          <cell r="F7327">
            <v>790</v>
          </cell>
        </row>
        <row r="7328">
          <cell r="A7328" t="str">
            <v>SN0765-L</v>
          </cell>
          <cell r="B7328" t="str">
            <v>N765</v>
          </cell>
          <cell r="C7328" t="str">
            <v>ซาติน แขนสั้นขาสั้น โซ่ พื้นดำ L</v>
          </cell>
          <cell r="E7328">
            <v>0</v>
          </cell>
          <cell r="F7328">
            <v>790</v>
          </cell>
        </row>
        <row r="7329">
          <cell r="A7329" t="str">
            <v>SN0765-M</v>
          </cell>
          <cell r="B7329" t="str">
            <v>N765</v>
          </cell>
          <cell r="C7329" t="str">
            <v>ซาติน แขนสั้นขาสั้น โซ่ พื้นดำ M</v>
          </cell>
          <cell r="E7329">
            <v>0</v>
          </cell>
          <cell r="F7329">
            <v>790</v>
          </cell>
        </row>
        <row r="7330">
          <cell r="A7330" t="str">
            <v>SN0765-XL</v>
          </cell>
          <cell r="B7330" t="str">
            <v>N765</v>
          </cell>
          <cell r="C7330" t="str">
            <v>ซาติน แขนสั้นขาสั้น โซ่ พื้นดำ XL</v>
          </cell>
          <cell r="E7330">
            <v>0</v>
          </cell>
          <cell r="F7330">
            <v>790</v>
          </cell>
        </row>
        <row r="7331">
          <cell r="A7331" t="str">
            <v>SN0766-L</v>
          </cell>
          <cell r="B7331" t="str">
            <v>N766</v>
          </cell>
          <cell r="C7331" t="str">
            <v>ซาติน แขนสั้นขาสั้น Pinky Rose พื้นครีม L</v>
          </cell>
          <cell r="E7331">
            <v>0</v>
          </cell>
          <cell r="F7331">
            <v>790</v>
          </cell>
        </row>
        <row r="7332">
          <cell r="A7332" t="str">
            <v>SN0766-M</v>
          </cell>
          <cell r="B7332" t="str">
            <v>N766</v>
          </cell>
          <cell r="C7332" t="str">
            <v>ซาติน แขนสั้นขาสั้น Pinky Rose พื้นครีม M</v>
          </cell>
          <cell r="E7332">
            <v>0</v>
          </cell>
          <cell r="F7332">
            <v>790</v>
          </cell>
        </row>
        <row r="7333">
          <cell r="A7333" t="str">
            <v>SN0766-XL</v>
          </cell>
          <cell r="B7333" t="str">
            <v>N766</v>
          </cell>
          <cell r="C7333" t="str">
            <v>ซาติน แขนสั้นขาสั้น Pinky Rose พื้นครีม XL</v>
          </cell>
          <cell r="E7333">
            <v>0</v>
          </cell>
          <cell r="F7333">
            <v>790</v>
          </cell>
        </row>
        <row r="7334">
          <cell r="A7334" t="str">
            <v>SN0767-L</v>
          </cell>
          <cell r="B7334" t="str">
            <v>N767</v>
          </cell>
          <cell r="C7334" t="str">
            <v>ซาติน แขนสั้นขาสั้น Blue Flower L</v>
          </cell>
          <cell r="E7334">
            <v>0</v>
          </cell>
          <cell r="F7334">
            <v>790</v>
          </cell>
        </row>
        <row r="7335">
          <cell r="A7335" t="str">
            <v>SN0767-M</v>
          </cell>
          <cell r="B7335" t="str">
            <v>N767</v>
          </cell>
          <cell r="C7335" t="str">
            <v>ซาติน แขนสั้นขาสั้น Blue Flower M</v>
          </cell>
          <cell r="E7335">
            <v>0</v>
          </cell>
          <cell r="F7335">
            <v>790</v>
          </cell>
        </row>
        <row r="7336">
          <cell r="A7336" t="str">
            <v>SN0767-XL</v>
          </cell>
          <cell r="B7336" t="str">
            <v>N767</v>
          </cell>
          <cell r="C7336" t="str">
            <v>ซาติน แขนสั้นขาสั้น Blue Flower XL</v>
          </cell>
          <cell r="E7336">
            <v>0</v>
          </cell>
          <cell r="F7336">
            <v>790</v>
          </cell>
        </row>
        <row r="7337">
          <cell r="A7337" t="str">
            <v>SN0768-L</v>
          </cell>
          <cell r="B7337" t="str">
            <v>N768</v>
          </cell>
          <cell r="C7337" t="str">
            <v>ซาติน แขนสั้นขาสั้น ใบไม้ เส้นฟ้า L</v>
          </cell>
          <cell r="E7337">
            <v>0</v>
          </cell>
          <cell r="F7337">
            <v>790</v>
          </cell>
        </row>
        <row r="7338">
          <cell r="A7338" t="str">
            <v>SN0768-M</v>
          </cell>
          <cell r="B7338" t="str">
            <v>N768</v>
          </cell>
          <cell r="C7338" t="str">
            <v>ซาติน แขนสั้นขาสั้น ใบไม้ เส้นฟ้า M</v>
          </cell>
          <cell r="E7338">
            <v>0</v>
          </cell>
          <cell r="F7338">
            <v>790</v>
          </cell>
        </row>
        <row r="7339">
          <cell r="A7339" t="str">
            <v>SN0768-XL</v>
          </cell>
          <cell r="B7339" t="str">
            <v>N768</v>
          </cell>
          <cell r="C7339" t="str">
            <v>ซาติน แขนสั้นขาสั้น ใบไม้ เส้นฟ้า XL</v>
          </cell>
          <cell r="E7339">
            <v>0</v>
          </cell>
          <cell r="F7339">
            <v>790</v>
          </cell>
        </row>
        <row r="7340">
          <cell r="A7340" t="str">
            <v>SN0769-L</v>
          </cell>
          <cell r="B7340" t="str">
            <v>N769</v>
          </cell>
          <cell r="C7340" t="str">
            <v>ซาติน แขนสั้นขาสั้น พื้นเขียว จุดขาว L</v>
          </cell>
          <cell r="E7340">
            <v>0</v>
          </cell>
          <cell r="F7340">
            <v>790</v>
          </cell>
        </row>
        <row r="7341">
          <cell r="A7341" t="str">
            <v>SN0769-M</v>
          </cell>
          <cell r="B7341" t="str">
            <v>N769</v>
          </cell>
          <cell r="C7341" t="str">
            <v>ซาติน แขนสั้นขาสั้น พื้นเขียว จุดขาว M</v>
          </cell>
          <cell r="E7341">
            <v>0</v>
          </cell>
          <cell r="F7341">
            <v>790</v>
          </cell>
        </row>
        <row r="7342">
          <cell r="A7342" t="str">
            <v>SN0769-XL</v>
          </cell>
          <cell r="B7342" t="str">
            <v>N769</v>
          </cell>
          <cell r="C7342" t="str">
            <v>ซาติน แขนสั้นขาสั้น พื้นเขียว จุดขาว XL</v>
          </cell>
          <cell r="E7342">
            <v>0</v>
          </cell>
          <cell r="F7342">
            <v>790</v>
          </cell>
        </row>
        <row r="7343">
          <cell r="A7343" t="str">
            <v>SN0770-L</v>
          </cell>
          <cell r="B7343" t="str">
            <v>N770</v>
          </cell>
          <cell r="C7343" t="str">
            <v>ซาติน แขนสั้นขาสั้น พื้นเขียว หมีมุก L</v>
          </cell>
          <cell r="E7343">
            <v>0</v>
          </cell>
          <cell r="F7343">
            <v>790</v>
          </cell>
        </row>
        <row r="7344">
          <cell r="A7344" t="str">
            <v>SN0770-M</v>
          </cell>
          <cell r="B7344" t="str">
            <v>N770</v>
          </cell>
          <cell r="C7344" t="str">
            <v>ซาติน แขนสั้นขาสั้น พื้นเขียว หมีมุก M</v>
          </cell>
          <cell r="E7344">
            <v>0</v>
          </cell>
          <cell r="F7344">
            <v>790</v>
          </cell>
        </row>
        <row r="7345">
          <cell r="A7345" t="str">
            <v>SN0771-L</v>
          </cell>
          <cell r="B7345" t="str">
            <v>N771</v>
          </cell>
          <cell r="C7345" t="str">
            <v>ซาติน แขนสั้นขาสั้น ตาราง หัวใจ เขียว L</v>
          </cell>
          <cell r="E7345">
            <v>0</v>
          </cell>
          <cell r="F7345">
            <v>790</v>
          </cell>
        </row>
        <row r="7346">
          <cell r="A7346" t="str">
            <v>SN0771-M</v>
          </cell>
          <cell r="B7346" t="str">
            <v>N771</v>
          </cell>
          <cell r="C7346" t="str">
            <v>ซาติน แขนสั้นขาสั้น ตาราง หัวใจ เขียว M</v>
          </cell>
          <cell r="E7346">
            <v>0</v>
          </cell>
          <cell r="F7346">
            <v>790</v>
          </cell>
        </row>
        <row r="7347">
          <cell r="A7347" t="str">
            <v>SN0772-L</v>
          </cell>
          <cell r="B7347" t="str">
            <v>N772</v>
          </cell>
          <cell r="C7347" t="str">
            <v>ซาติน แขนสั้นขาสั้น พื้นชมพู strawberry summer L</v>
          </cell>
          <cell r="E7347">
            <v>0</v>
          </cell>
          <cell r="F7347">
            <v>790</v>
          </cell>
        </row>
        <row r="7348">
          <cell r="A7348" t="str">
            <v>SN0772-M</v>
          </cell>
          <cell r="B7348" t="str">
            <v>N772</v>
          </cell>
          <cell r="C7348" t="str">
            <v>ซาติน แขนสั้นขาสั้น พื้นชมพู strawberry summer M</v>
          </cell>
          <cell r="E7348">
            <v>0</v>
          </cell>
          <cell r="F7348">
            <v>790</v>
          </cell>
        </row>
        <row r="7349">
          <cell r="A7349" t="str">
            <v>SN0776-L</v>
          </cell>
          <cell r="B7349" t="str">
            <v>JN776</v>
          </cell>
          <cell r="C7349" t="str">
            <v>ซาติน แขนสั้นขาสั้น Cloundy Moon L ตัวโชว์</v>
          </cell>
          <cell r="E7349">
            <v>0</v>
          </cell>
          <cell r="F7349">
            <v>790</v>
          </cell>
        </row>
        <row r="7350">
          <cell r="A7350" t="str">
            <v>SN0776-M</v>
          </cell>
          <cell r="B7350" t="str">
            <v>N776</v>
          </cell>
          <cell r="C7350" t="str">
            <v>ซาติน แขนสั้นขาสั้น Cloundy Moon M</v>
          </cell>
          <cell r="E7350">
            <v>0</v>
          </cell>
          <cell r="F7350">
            <v>790</v>
          </cell>
        </row>
        <row r="7351">
          <cell r="A7351" t="str">
            <v>SN0780-2XL</v>
          </cell>
          <cell r="B7351" t="str">
            <v>N780</v>
          </cell>
          <cell r="C7351" t="str">
            <v>ซาติน แขนสั้นขาสั้น พื้นฟ้า เถาวัลย์ฟ้า 2XL</v>
          </cell>
          <cell r="E7351">
            <v>5</v>
          </cell>
          <cell r="F7351">
            <v>790</v>
          </cell>
        </row>
        <row r="7352">
          <cell r="A7352" t="str">
            <v>SN0780-L</v>
          </cell>
          <cell r="B7352" t="str">
            <v>N780</v>
          </cell>
          <cell r="C7352" t="str">
            <v>ซาติน แขนสั้นขาสั้น พื้นฟ้า เถาวัลย์ฟ้า L</v>
          </cell>
          <cell r="E7352">
            <v>0</v>
          </cell>
          <cell r="F7352">
            <v>790</v>
          </cell>
        </row>
        <row r="7353">
          <cell r="A7353" t="str">
            <v>SN0780-M</v>
          </cell>
          <cell r="B7353" t="str">
            <v>QN780</v>
          </cell>
          <cell r="C7353" t="str">
            <v>ซาติน แขนสั้นขาสั้น พื้นฟ้า เถาวัลย์ฟ้า M QC</v>
          </cell>
          <cell r="E7353">
            <v>0</v>
          </cell>
          <cell r="F7353">
            <v>790</v>
          </cell>
        </row>
        <row r="7354">
          <cell r="A7354" t="str">
            <v>SN0780-XL</v>
          </cell>
          <cell r="B7354" t="str">
            <v>QN780</v>
          </cell>
          <cell r="C7354" t="str">
            <v>ซาติน แขนสั้นขาสั้น พื้นฟ้า เถาวัลย์ฟ้า XL QC</v>
          </cell>
          <cell r="E7354">
            <v>0</v>
          </cell>
          <cell r="F7354">
            <v>790</v>
          </cell>
        </row>
        <row r="7355">
          <cell r="A7355" t="str">
            <v>SN0781-2XL</v>
          </cell>
          <cell r="B7355" t="str">
            <v>N781</v>
          </cell>
          <cell r="C7355" t="str">
            <v>ซาติน แขนสั้นขาสั้น ดอกท้อ พื้นเขียว 2XL</v>
          </cell>
          <cell r="E7355">
            <v>0</v>
          </cell>
          <cell r="F7355">
            <v>790</v>
          </cell>
        </row>
        <row r="7356">
          <cell r="A7356" t="str">
            <v>SN0781-3XL</v>
          </cell>
          <cell r="B7356" t="str">
            <v>N781</v>
          </cell>
          <cell r="C7356" t="str">
            <v>ซาติน แขนสั้นขาสั้น ดอกท้อ พื้นเขียว 3XL</v>
          </cell>
          <cell r="E7356">
            <v>0</v>
          </cell>
          <cell r="F7356">
            <v>790</v>
          </cell>
        </row>
        <row r="7357">
          <cell r="A7357" t="str">
            <v>SN0781-L</v>
          </cell>
          <cell r="B7357" t="str">
            <v>N781</v>
          </cell>
          <cell r="C7357" t="str">
            <v>ซาติน แขนสั้นขาสั้น ดอกท้อ พื้นเขียว L</v>
          </cell>
          <cell r="E7357">
            <v>0</v>
          </cell>
          <cell r="F7357">
            <v>790</v>
          </cell>
        </row>
        <row r="7358">
          <cell r="A7358" t="str">
            <v>SN0781-M</v>
          </cell>
          <cell r="B7358" t="str">
            <v>N781</v>
          </cell>
          <cell r="C7358" t="str">
            <v>ซาติน แขนสั้นขาสั้น ดอกท้อ พื้นเขียว M</v>
          </cell>
          <cell r="E7358">
            <v>0</v>
          </cell>
          <cell r="F7358">
            <v>590</v>
          </cell>
        </row>
        <row r="7359">
          <cell r="A7359" t="str">
            <v>SN0781-XL</v>
          </cell>
          <cell r="B7359" t="str">
            <v>N781</v>
          </cell>
          <cell r="C7359" t="str">
            <v>ซาติน แขนสั้นขาสั้น ดอกท้อ พื้นเขียว XL</v>
          </cell>
          <cell r="E7359">
            <v>0</v>
          </cell>
          <cell r="F7359">
            <v>790</v>
          </cell>
        </row>
        <row r="7360">
          <cell r="A7360" t="str">
            <v>SN0782-L</v>
          </cell>
          <cell r="B7360" t="str">
            <v>N782</v>
          </cell>
          <cell r="C7360" t="str">
            <v>ซาติน แขนสั้นขาสั้น Wild Animal พื้นเขียว L</v>
          </cell>
          <cell r="E7360">
            <v>0</v>
          </cell>
          <cell r="F7360">
            <v>790</v>
          </cell>
        </row>
        <row r="7361">
          <cell r="A7361" t="str">
            <v>SN0782-M</v>
          </cell>
          <cell r="B7361" t="str">
            <v>N782</v>
          </cell>
          <cell r="C7361" t="str">
            <v>ซาติน แขนสั้นขาสั้น Wild Animal พื้นเขียว M</v>
          </cell>
          <cell r="E7361">
            <v>0</v>
          </cell>
          <cell r="F7361">
            <v>790</v>
          </cell>
        </row>
        <row r="7362">
          <cell r="A7362" t="str">
            <v>SN0782-XL</v>
          </cell>
          <cell r="B7362" t="str">
            <v>N782</v>
          </cell>
          <cell r="C7362" t="str">
            <v>ซาติน แขนสั้นขาสั้น Wild Animal พื้นเขียว XL</v>
          </cell>
          <cell r="E7362">
            <v>0</v>
          </cell>
          <cell r="F7362">
            <v>790</v>
          </cell>
        </row>
        <row r="7363">
          <cell r="A7363" t="str">
            <v>SN0783-L</v>
          </cell>
          <cell r="B7363" t="str">
            <v>BN783</v>
          </cell>
          <cell r="C7363" t="str">
            <v>ซาติน แขนสั้นขาสั้น พื้นครีม แขนระบาย L</v>
          </cell>
          <cell r="E7363">
            <v>0</v>
          </cell>
          <cell r="F7363">
            <v>790</v>
          </cell>
        </row>
        <row r="7364">
          <cell r="A7364" t="str">
            <v>SN0783-M</v>
          </cell>
          <cell r="B7364" t="str">
            <v>N783</v>
          </cell>
          <cell r="C7364" t="str">
            <v>ซาติน แขนสั้นขาสั้น พื้นครีม แขนระบาย M</v>
          </cell>
          <cell r="E7364">
            <v>0</v>
          </cell>
          <cell r="F7364">
            <v>790</v>
          </cell>
        </row>
        <row r="7365">
          <cell r="A7365" t="str">
            <v>SN0783-S</v>
          </cell>
          <cell r="B7365" t="str">
            <v>N783</v>
          </cell>
          <cell r="C7365" t="str">
            <v>ซาติน แขนสั้นขาสั้น พื้นครีม แขนระบาย S</v>
          </cell>
          <cell r="E7365">
            <v>0</v>
          </cell>
          <cell r="F7365">
            <v>790</v>
          </cell>
        </row>
        <row r="7366">
          <cell r="A7366" t="str">
            <v>SN0784-L</v>
          </cell>
          <cell r="B7366" t="str">
            <v>N784</v>
          </cell>
          <cell r="C7366" t="str">
            <v>ซาติน แขนสั้นขาสั้น แดง ขอบขาว ผ้าปิดตา L</v>
          </cell>
          <cell r="E7366">
            <v>0</v>
          </cell>
          <cell r="F7366">
            <v>790</v>
          </cell>
        </row>
        <row r="7367">
          <cell r="A7367" t="str">
            <v>SN0784-M</v>
          </cell>
          <cell r="B7367" t="str">
            <v>N784</v>
          </cell>
          <cell r="C7367" t="str">
            <v>ซาติน แขนสั้นขาสั้น แดง ขอบขาว ผ้าปิดตา M</v>
          </cell>
          <cell r="E7367">
            <v>0</v>
          </cell>
          <cell r="F7367">
            <v>790</v>
          </cell>
        </row>
        <row r="7368">
          <cell r="A7368" t="str">
            <v>SN0784-S</v>
          </cell>
          <cell r="B7368" t="str">
            <v>N784</v>
          </cell>
          <cell r="C7368" t="str">
            <v>ซาติน แขนสั้นขาสั้น แดง ขอบขาว ผ้าปิดตา S</v>
          </cell>
          <cell r="E7368">
            <v>0</v>
          </cell>
          <cell r="F7368">
            <v>790</v>
          </cell>
        </row>
        <row r="7369">
          <cell r="A7369" t="str">
            <v>SN0788-L</v>
          </cell>
          <cell r="B7369" t="str">
            <v>N788</v>
          </cell>
          <cell r="C7369" t="str">
            <v>ซาติน แขนสั้นขาสั้น ดอกกุหลาบ ปกชมพู L</v>
          </cell>
          <cell r="E7369">
            <v>0</v>
          </cell>
          <cell r="F7369">
            <v>790</v>
          </cell>
        </row>
        <row r="7370">
          <cell r="A7370" t="str">
            <v>SN0788-M</v>
          </cell>
          <cell r="B7370" t="str">
            <v>N788</v>
          </cell>
          <cell r="C7370" t="str">
            <v>ซาติน แขนสั้นขาสั้น ดอกกุหลาบ ปกชมพู M</v>
          </cell>
          <cell r="E7370">
            <v>0</v>
          </cell>
          <cell r="F7370">
            <v>790</v>
          </cell>
        </row>
        <row r="7371">
          <cell r="A7371" t="str">
            <v>SN0788-XL</v>
          </cell>
          <cell r="B7371" t="str">
            <v>N788</v>
          </cell>
          <cell r="C7371" t="str">
            <v>ซาติน แขนสั้นขาสั้น ดอกกุหลาบ ปกชมพู XL</v>
          </cell>
          <cell r="E7371">
            <v>0</v>
          </cell>
          <cell r="F7371">
            <v>790</v>
          </cell>
        </row>
        <row r="7372">
          <cell r="A7372" t="str">
            <v>SN0790-2XL</v>
          </cell>
          <cell r="B7372" t="str">
            <v>N790</v>
          </cell>
          <cell r="C7372" t="str">
            <v>ซาติน แขนสั้นขาสั้น แฟนซี่ พิ้งค์ 2XL</v>
          </cell>
          <cell r="E7372">
            <v>0</v>
          </cell>
          <cell r="F7372">
            <v>790</v>
          </cell>
        </row>
        <row r="7373">
          <cell r="A7373" t="str">
            <v>SN0790-L</v>
          </cell>
          <cell r="B7373" t="str">
            <v>N790</v>
          </cell>
          <cell r="C7373" t="str">
            <v>ซาติน แขนสั้นขาสั้น แฟนซี่ พิ้งค์ L</v>
          </cell>
          <cell r="E7373">
            <v>0</v>
          </cell>
          <cell r="F7373">
            <v>790</v>
          </cell>
        </row>
        <row r="7374">
          <cell r="A7374" t="str">
            <v>SN0790-M</v>
          </cell>
          <cell r="B7374" t="str">
            <v>N790</v>
          </cell>
          <cell r="C7374" t="str">
            <v>ซาติน แขนสั้นขาสั้น แฟนซี่ พิ้งค์ M</v>
          </cell>
          <cell r="E7374">
            <v>0</v>
          </cell>
          <cell r="F7374">
            <v>790</v>
          </cell>
        </row>
        <row r="7375">
          <cell r="A7375" t="str">
            <v>SN0790-XL</v>
          </cell>
          <cell r="B7375" t="str">
            <v>N790</v>
          </cell>
          <cell r="C7375" t="str">
            <v>ซาติน แขนสั้นขาสั้น แฟนซี่ พิ้งค์ XL</v>
          </cell>
          <cell r="E7375">
            <v>0</v>
          </cell>
          <cell r="F7375">
            <v>790</v>
          </cell>
        </row>
        <row r="7376">
          <cell r="A7376" t="str">
            <v>SN0797-2XL</v>
          </cell>
          <cell r="B7376" t="str">
            <v>N797</v>
          </cell>
          <cell r="C7376" t="str">
            <v>ซาติน แขนสั้นขาสั้น Green Village 2XL</v>
          </cell>
          <cell r="E7376">
            <v>0</v>
          </cell>
          <cell r="F7376">
            <v>790</v>
          </cell>
        </row>
        <row r="7377">
          <cell r="A7377" t="str">
            <v>SN0797-3XL</v>
          </cell>
          <cell r="B7377" t="str">
            <v>N797</v>
          </cell>
          <cell r="C7377" t="str">
            <v>ซาติน แขนสั้นขาสั้น Green Village 3XL</v>
          </cell>
          <cell r="E7377">
            <v>0</v>
          </cell>
          <cell r="F7377">
            <v>790</v>
          </cell>
        </row>
        <row r="7378">
          <cell r="A7378" t="str">
            <v>SN0797-L</v>
          </cell>
          <cell r="B7378" t="str">
            <v>N797</v>
          </cell>
          <cell r="C7378" t="str">
            <v>ซาติน แขนสั้นขาสั้น Green Village L</v>
          </cell>
          <cell r="E7378">
            <v>0</v>
          </cell>
          <cell r="F7378">
            <v>790</v>
          </cell>
        </row>
        <row r="7379">
          <cell r="A7379" t="str">
            <v>SN0797-M</v>
          </cell>
          <cell r="B7379" t="str">
            <v>N797</v>
          </cell>
          <cell r="C7379" t="str">
            <v>ซาติน แขนสั้นขาสั้น Green Village M</v>
          </cell>
          <cell r="E7379">
            <v>0</v>
          </cell>
          <cell r="F7379">
            <v>790</v>
          </cell>
        </row>
        <row r="7380">
          <cell r="A7380" t="str">
            <v>SN0797-XL</v>
          </cell>
          <cell r="B7380" t="str">
            <v>N797</v>
          </cell>
          <cell r="C7380" t="str">
            <v>ซาติน แขนสั้นขาสั้น Green Village XL</v>
          </cell>
          <cell r="E7380">
            <v>0</v>
          </cell>
          <cell r="F7380">
            <v>790</v>
          </cell>
        </row>
        <row r="7381">
          <cell r="A7381" t="str">
            <v>SN0798-2XL</v>
          </cell>
          <cell r="B7381" t="str">
            <v>N798</v>
          </cell>
          <cell r="C7381" t="str">
            <v>ซาติน แขนสั้นขาสั้น Red Village 2XL</v>
          </cell>
          <cell r="E7381">
            <v>0</v>
          </cell>
          <cell r="F7381">
            <v>790</v>
          </cell>
        </row>
        <row r="7382">
          <cell r="A7382" t="str">
            <v>SN0798-3XL</v>
          </cell>
          <cell r="B7382" t="str">
            <v>QN798</v>
          </cell>
          <cell r="C7382" t="str">
            <v>ซาติน แขนสั้นขาสั้น Red Village 3XL QC</v>
          </cell>
          <cell r="E7382">
            <v>0</v>
          </cell>
          <cell r="F7382">
            <v>790</v>
          </cell>
        </row>
        <row r="7383">
          <cell r="A7383" t="str">
            <v>SN0798-L</v>
          </cell>
          <cell r="B7383" t="str">
            <v>N798</v>
          </cell>
          <cell r="C7383" t="str">
            <v>ซาติน แขนสั้นขาสั้น Red Village L</v>
          </cell>
          <cell r="E7383">
            <v>0</v>
          </cell>
          <cell r="F7383">
            <v>790</v>
          </cell>
        </row>
        <row r="7384">
          <cell r="A7384" t="str">
            <v>SN0798-M</v>
          </cell>
          <cell r="B7384" t="str">
            <v>N798</v>
          </cell>
          <cell r="C7384" t="str">
            <v>ซาติน แขนสั้นขาสั้น Red Village M</v>
          </cell>
          <cell r="E7384">
            <v>0</v>
          </cell>
          <cell r="F7384">
            <v>790</v>
          </cell>
        </row>
        <row r="7385">
          <cell r="A7385" t="str">
            <v>SN0798-XL</v>
          </cell>
          <cell r="B7385" t="str">
            <v>N798</v>
          </cell>
          <cell r="C7385" t="str">
            <v>ซาติน แขนสั้นขาสั้น Red Village XL</v>
          </cell>
          <cell r="E7385">
            <v>0</v>
          </cell>
          <cell r="F7385">
            <v>790</v>
          </cell>
        </row>
        <row r="7386">
          <cell r="A7386" t="str">
            <v>SN0800-2XL</v>
          </cell>
          <cell r="B7386" t="str">
            <v>N800</v>
          </cell>
          <cell r="C7386" t="str">
            <v>ซิลค์แจ็คการ์ด แขนสั้นขาขาสั้น กุหลาบ พื้นขาว ปกชมพู 2XL</v>
          </cell>
          <cell r="E7386">
            <v>0</v>
          </cell>
          <cell r="F7386">
            <v>790</v>
          </cell>
        </row>
        <row r="7387">
          <cell r="A7387" t="str">
            <v>SN0800-3XL</v>
          </cell>
          <cell r="B7387" t="str">
            <v>N800</v>
          </cell>
          <cell r="C7387" t="str">
            <v>ซิลค์แจ็คการ์ด แขนสั้นขาขาสั้น กุหลาบ พื้นขาว ปกชมพู 3XL</v>
          </cell>
          <cell r="E7387">
            <v>0</v>
          </cell>
          <cell r="F7387">
            <v>790</v>
          </cell>
        </row>
        <row r="7388">
          <cell r="A7388" t="str">
            <v>SN0800-L</v>
          </cell>
          <cell r="B7388" t="str">
            <v>N800</v>
          </cell>
          <cell r="C7388" t="str">
            <v>ซิลค์แจ็คการ์ด แขนสั้นขาสั้น กุหลาบ พื้นขาว ปกชมพู L</v>
          </cell>
          <cell r="E7388">
            <v>0</v>
          </cell>
          <cell r="F7388">
            <v>790</v>
          </cell>
        </row>
        <row r="7389">
          <cell r="A7389" t="str">
            <v>SN0800-M</v>
          </cell>
          <cell r="B7389" t="str">
            <v>N800</v>
          </cell>
          <cell r="C7389" t="str">
            <v>ซิลค์แจ็คการ์ด แขนสั้นขาสั้น กุหลาบ พื้นขาว ปกชมพู M</v>
          </cell>
          <cell r="E7389">
            <v>0</v>
          </cell>
          <cell r="F7389">
            <v>790</v>
          </cell>
        </row>
        <row r="7390">
          <cell r="A7390" t="str">
            <v>SN0800-XL</v>
          </cell>
          <cell r="B7390" t="str">
            <v>N800</v>
          </cell>
          <cell r="C7390" t="str">
            <v>ซิลค์แจ็คการ์ด แขนสั้นขาสั้น กุหลาบ พื้นขาว ปกชมพู XL</v>
          </cell>
          <cell r="E7390">
            <v>0</v>
          </cell>
          <cell r="F7390">
            <v>790</v>
          </cell>
        </row>
        <row r="7391">
          <cell r="A7391" t="str">
            <v>SN0801-L</v>
          </cell>
          <cell r="B7391" t="str">
            <v>JN801</v>
          </cell>
          <cell r="C7391" t="str">
            <v>ซาติน แขนสั้นขาสั้น พื้นฟ้าคราม สีครีม L ตัวโชว์</v>
          </cell>
          <cell r="E7391">
            <v>0</v>
          </cell>
          <cell r="F7391">
            <v>790</v>
          </cell>
        </row>
        <row r="7392">
          <cell r="A7392" t="str">
            <v>SN0801-M</v>
          </cell>
          <cell r="B7392" t="str">
            <v>JN801</v>
          </cell>
          <cell r="C7392" t="str">
            <v>ซาติน แขนสั้นขาสั้น พื้นฟ้าคราม สีครีม M ตัวโชว์</v>
          </cell>
          <cell r="E7392">
            <v>0</v>
          </cell>
          <cell r="F7392">
            <v>790</v>
          </cell>
        </row>
        <row r="7393">
          <cell r="A7393" t="str">
            <v>SN0801-XL</v>
          </cell>
          <cell r="B7393" t="str">
            <v>JN801</v>
          </cell>
          <cell r="C7393" t="str">
            <v>ซาติน แขนสั้นขาสั้น พื้นฟ้าคราม สีครีม XL ตัวโชว์</v>
          </cell>
          <cell r="E7393">
            <v>0</v>
          </cell>
          <cell r="F7393">
            <v>790</v>
          </cell>
        </row>
        <row r="7394">
          <cell r="A7394" t="str">
            <v>SN0802-L</v>
          </cell>
          <cell r="B7394" t="str">
            <v>N802</v>
          </cell>
          <cell r="C7394" t="str">
            <v>ซิลค์แจ็คการ์ด แขนสั้นขาสั้น พื้นเขียว ดอกไม้ฟ้าขาว L</v>
          </cell>
          <cell r="E7394">
            <v>0</v>
          </cell>
          <cell r="F7394">
            <v>790</v>
          </cell>
        </row>
        <row r="7395">
          <cell r="A7395" t="str">
            <v>SN0802-M</v>
          </cell>
          <cell r="B7395" t="str">
            <v>N802</v>
          </cell>
          <cell r="C7395" t="str">
            <v>ซิลค์แจ็คการ์ด แขนสั้นขาสั้น พื้นเขียว ดอกไม้ฟ้าขาว M</v>
          </cell>
          <cell r="E7395">
            <v>0</v>
          </cell>
          <cell r="F7395">
            <v>790</v>
          </cell>
        </row>
        <row r="7396">
          <cell r="A7396" t="str">
            <v>SN0802-XL</v>
          </cell>
          <cell r="B7396" t="str">
            <v>N802</v>
          </cell>
          <cell r="C7396" t="str">
            <v>ซิลค์แจ็คการ์ด แขนสั้นขาสั้น พื้นเขียว ดอกไม้ฟ้าขาว XL</v>
          </cell>
          <cell r="E7396">
            <v>0</v>
          </cell>
          <cell r="F7396">
            <v>790</v>
          </cell>
        </row>
        <row r="7397">
          <cell r="A7397" t="str">
            <v>SN0803-2XL</v>
          </cell>
          <cell r="B7397" t="str">
            <v>JN803</v>
          </cell>
          <cell r="C7397" t="str">
            <v>ซาติน แขนสั้นขาสั้น Mini Black Heart 2XL ตัวโชว์</v>
          </cell>
          <cell r="E7397">
            <v>0</v>
          </cell>
          <cell r="F7397">
            <v>790</v>
          </cell>
        </row>
        <row r="7398">
          <cell r="A7398" t="str">
            <v>SN0803-L</v>
          </cell>
          <cell r="B7398" t="str">
            <v>JN803</v>
          </cell>
          <cell r="C7398" t="str">
            <v>ซาติน แขนสั้นขาสั้น Mini Black Heart L ตัวโชว์</v>
          </cell>
          <cell r="E7398">
            <v>0</v>
          </cell>
          <cell r="F7398">
            <v>790</v>
          </cell>
        </row>
        <row r="7399">
          <cell r="A7399" t="str">
            <v>SN0803-M</v>
          </cell>
          <cell r="B7399" t="str">
            <v>N803</v>
          </cell>
          <cell r="C7399" t="str">
            <v>ซาติน แขนสั้นขาสั้น Mini Black Heart M</v>
          </cell>
          <cell r="E7399">
            <v>0</v>
          </cell>
          <cell r="F7399">
            <v>790</v>
          </cell>
        </row>
        <row r="7400">
          <cell r="A7400" t="str">
            <v>SN0803-XL</v>
          </cell>
          <cell r="B7400" t="str">
            <v>JN803</v>
          </cell>
          <cell r="C7400" t="str">
            <v>ซาติน แขนสั้นขาสั้น Mini Black Heart XL ตัวโชว์</v>
          </cell>
          <cell r="E7400">
            <v>0</v>
          </cell>
          <cell r="F7400">
            <v>790</v>
          </cell>
        </row>
        <row r="7401">
          <cell r="A7401" t="str">
            <v>SN0804-L</v>
          </cell>
          <cell r="B7401" t="str">
            <v>N804</v>
          </cell>
          <cell r="C7401" t="str">
            <v>ซาติน แขนสั้นขาสั้น พื้นชมพูคราม สีครีม L</v>
          </cell>
          <cell r="E7401">
            <v>0</v>
          </cell>
          <cell r="F7401">
            <v>790</v>
          </cell>
        </row>
        <row r="7402">
          <cell r="A7402" t="str">
            <v>SN0804-M</v>
          </cell>
          <cell r="B7402" t="str">
            <v>N804</v>
          </cell>
          <cell r="C7402" t="str">
            <v>ซาติน แขนสั้นขาสั้น พื้นชมพูคราม สีครีม M</v>
          </cell>
          <cell r="E7402">
            <v>0</v>
          </cell>
          <cell r="F7402">
            <v>790</v>
          </cell>
        </row>
        <row r="7403">
          <cell r="A7403" t="str">
            <v>SN0804-XL</v>
          </cell>
          <cell r="B7403" t="str">
            <v>N804</v>
          </cell>
          <cell r="C7403" t="str">
            <v>ซาติน แขนสั้นขาสั้น พื้นชมพูคราม สีครีม XL</v>
          </cell>
          <cell r="E7403">
            <v>0</v>
          </cell>
          <cell r="F7403">
            <v>790</v>
          </cell>
        </row>
        <row r="7404">
          <cell r="A7404" t="str">
            <v>SN0813-2XL</v>
          </cell>
          <cell r="B7404" t="str">
            <v>N813</v>
          </cell>
          <cell r="C7404" t="str">
            <v>ซาติน แขนสั้นขาสั้น ดอกโสน พื้นฟ้า 2XL</v>
          </cell>
          <cell r="E7404">
            <v>0</v>
          </cell>
          <cell r="F7404">
            <v>790</v>
          </cell>
        </row>
        <row r="7405">
          <cell r="A7405" t="str">
            <v>SN0813-3XL</v>
          </cell>
          <cell r="B7405" t="str">
            <v>N813</v>
          </cell>
          <cell r="C7405" t="str">
            <v>ซาติน แขนสั้นขาสั้น ดอกโสน พื้นฟ้า 3XL</v>
          </cell>
          <cell r="E7405">
            <v>0</v>
          </cell>
          <cell r="F7405">
            <v>790</v>
          </cell>
        </row>
        <row r="7406">
          <cell r="A7406" t="str">
            <v>SN0813-L</v>
          </cell>
          <cell r="B7406" t="str">
            <v>N813</v>
          </cell>
          <cell r="C7406" t="str">
            <v>ซาติน แขนสั้นขาสั้น ดอกโสน พื้นฟ้า L</v>
          </cell>
          <cell r="E7406">
            <v>0</v>
          </cell>
          <cell r="F7406">
            <v>790</v>
          </cell>
        </row>
        <row r="7407">
          <cell r="A7407" t="str">
            <v>SN0813-M</v>
          </cell>
          <cell r="B7407" t="str">
            <v>N813</v>
          </cell>
          <cell r="C7407" t="str">
            <v>ซาติน แขนสั้นขาสั้น ดอกโสน พื้นฟ้า M</v>
          </cell>
          <cell r="E7407">
            <v>0</v>
          </cell>
          <cell r="F7407">
            <v>790</v>
          </cell>
        </row>
        <row r="7408">
          <cell r="A7408" t="str">
            <v>SN0813-XL</v>
          </cell>
          <cell r="B7408" t="str">
            <v>N813</v>
          </cell>
          <cell r="C7408" t="str">
            <v>ซาติน แขนสั้นขาสั้น ดอกโสน พื้นฟ้า XL</v>
          </cell>
          <cell r="E7408">
            <v>0</v>
          </cell>
          <cell r="F7408">
            <v>790</v>
          </cell>
        </row>
        <row r="7409">
          <cell r="A7409" t="str">
            <v>SN0818-2XL</v>
          </cell>
          <cell r="B7409" t="str">
            <v>QN818</v>
          </cell>
          <cell r="C7409" t="str">
            <v>ซาติน แขนสั้นขาสั้น Royal Green Art 2XL QC</v>
          </cell>
          <cell r="E7409">
            <v>0</v>
          </cell>
          <cell r="F7409">
            <v>790</v>
          </cell>
        </row>
        <row r="7410">
          <cell r="A7410" t="str">
            <v>SN0818-3XL</v>
          </cell>
          <cell r="B7410" t="str">
            <v>N818</v>
          </cell>
          <cell r="C7410" t="str">
            <v>ซาติน แขนสั้นขาสั้น Royal Green Art 3XL</v>
          </cell>
          <cell r="E7410">
            <v>0</v>
          </cell>
          <cell r="F7410">
            <v>790</v>
          </cell>
        </row>
        <row r="7411">
          <cell r="A7411" t="str">
            <v>SN0818-L</v>
          </cell>
          <cell r="B7411" t="str">
            <v>N818</v>
          </cell>
          <cell r="C7411" t="str">
            <v>ซาติน แขนสั้นขาสั้น Royal Green Art L</v>
          </cell>
          <cell r="E7411">
            <v>0</v>
          </cell>
          <cell r="F7411">
            <v>790</v>
          </cell>
        </row>
        <row r="7412">
          <cell r="A7412" t="str">
            <v>SN0818-M</v>
          </cell>
          <cell r="B7412" t="str">
            <v>N818</v>
          </cell>
          <cell r="C7412" t="str">
            <v>ซาติน แขนสั้นขาสั้น Royal Green Art M</v>
          </cell>
          <cell r="E7412">
            <v>0</v>
          </cell>
          <cell r="F7412">
            <v>790</v>
          </cell>
        </row>
        <row r="7413">
          <cell r="A7413" t="str">
            <v>SN0818-S</v>
          </cell>
          <cell r="B7413" t="str">
            <v>QN818</v>
          </cell>
          <cell r="C7413" t="str">
            <v>ซาติน แขนสั้นขาสั้น Royal Green Art S QC</v>
          </cell>
          <cell r="E7413">
            <v>0</v>
          </cell>
          <cell r="F7413">
            <v>790</v>
          </cell>
        </row>
        <row r="7414">
          <cell r="A7414" t="str">
            <v>SN0818-XL</v>
          </cell>
          <cell r="B7414" t="str">
            <v>N818</v>
          </cell>
          <cell r="C7414" t="str">
            <v>ซาติน แขนสั้นขาสั้น Royal Green Art XL</v>
          </cell>
          <cell r="E7414">
            <v>0</v>
          </cell>
          <cell r="F7414">
            <v>790</v>
          </cell>
        </row>
        <row r="7415">
          <cell r="A7415" t="str">
            <v>SN0819-2XL</v>
          </cell>
          <cell r="B7415" t="str">
            <v>N819</v>
          </cell>
          <cell r="C7415" t="str">
            <v>ซาติน แขนสั้นขาสั้น ดอกมะลิ พื้นฟ้า 2XL</v>
          </cell>
          <cell r="E7415">
            <v>0</v>
          </cell>
          <cell r="F7415">
            <v>790</v>
          </cell>
        </row>
        <row r="7416">
          <cell r="A7416" t="str">
            <v>SN0819-L</v>
          </cell>
          <cell r="B7416" t="str">
            <v>N819</v>
          </cell>
          <cell r="C7416" t="str">
            <v>ซาติน แขนสั้นขาสั้น ดอกมะลิ พื้นฟ้า L</v>
          </cell>
          <cell r="E7416">
            <v>0</v>
          </cell>
          <cell r="F7416">
            <v>790</v>
          </cell>
        </row>
        <row r="7417">
          <cell r="A7417" t="str">
            <v>SN0819-M</v>
          </cell>
          <cell r="B7417" t="str">
            <v>N819</v>
          </cell>
          <cell r="C7417" t="str">
            <v>ซาติน แขนสั้นขาสั้น ดอกมะลิ พื้นฟ้า M</v>
          </cell>
          <cell r="E7417">
            <v>0</v>
          </cell>
          <cell r="F7417">
            <v>790</v>
          </cell>
        </row>
        <row r="7418">
          <cell r="A7418" t="str">
            <v>SN0819-XL</v>
          </cell>
          <cell r="B7418" t="str">
            <v>N819</v>
          </cell>
          <cell r="C7418" t="str">
            <v>ซาติน แขนสั้นขาสั้น ดอกมะลิ พื้นฟ้า XL</v>
          </cell>
          <cell r="E7418">
            <v>0</v>
          </cell>
          <cell r="F7418">
            <v>790</v>
          </cell>
        </row>
        <row r="7419">
          <cell r="A7419" t="str">
            <v>SN0836-2XL</v>
          </cell>
          <cell r="B7419" t="str">
            <v>N836</v>
          </cell>
          <cell r="C7419" t="str">
            <v>ซาติน แขนสั้นขาสั้น  เสือดาว พื้นเขียว 2XL</v>
          </cell>
          <cell r="E7419">
            <v>0</v>
          </cell>
          <cell r="F7419">
            <v>790</v>
          </cell>
        </row>
        <row r="7420">
          <cell r="A7420" t="str">
            <v>SN0836-3XL</v>
          </cell>
          <cell r="B7420" t="str">
            <v>N836</v>
          </cell>
          <cell r="C7420" t="str">
            <v>ซาติน แขนสั้นขาสั้น  เสือดาว พื้นเขียว 3XL</v>
          </cell>
          <cell r="E7420">
            <v>0</v>
          </cell>
          <cell r="F7420">
            <v>790</v>
          </cell>
        </row>
        <row r="7421">
          <cell r="A7421" t="str">
            <v>SN0836-L</v>
          </cell>
          <cell r="B7421" t="str">
            <v>N836</v>
          </cell>
          <cell r="C7421" t="str">
            <v>ซาติน แขนสั้นขาสั้น  เสือดาว พื้นเขียว L</v>
          </cell>
          <cell r="E7421">
            <v>0</v>
          </cell>
          <cell r="F7421">
            <v>790</v>
          </cell>
        </row>
        <row r="7422">
          <cell r="A7422" t="str">
            <v>SN0836-M</v>
          </cell>
          <cell r="B7422" t="str">
            <v>N836</v>
          </cell>
          <cell r="C7422" t="str">
            <v>ซาติน แขนสั้นขาสั้น  เสือดาว พื้นเขียว M</v>
          </cell>
          <cell r="E7422">
            <v>0</v>
          </cell>
          <cell r="F7422">
            <v>790</v>
          </cell>
        </row>
        <row r="7423">
          <cell r="A7423" t="str">
            <v>SN0836-XL</v>
          </cell>
          <cell r="B7423" t="str">
            <v>N836</v>
          </cell>
          <cell r="C7423" t="str">
            <v>ซาติน แขนสั้นขาสั้น  เสือดาว พื้นเขียว XL</v>
          </cell>
          <cell r="E7423">
            <v>0</v>
          </cell>
          <cell r="F7423">
            <v>790</v>
          </cell>
        </row>
        <row r="7424">
          <cell r="A7424" t="str">
            <v>SN0837-2XL</v>
          </cell>
          <cell r="B7424" t="str">
            <v>N837</v>
          </cell>
          <cell r="C7424" t="str">
            <v>ซาติน แขนสั้นขาสั้น ซากุระ ไทเกอร์ พื้นชมพู 2XL</v>
          </cell>
          <cell r="E7424">
            <v>0</v>
          </cell>
          <cell r="F7424">
            <v>790</v>
          </cell>
        </row>
        <row r="7425">
          <cell r="A7425" t="str">
            <v>SN0837-3XL</v>
          </cell>
          <cell r="B7425" t="str">
            <v>N837</v>
          </cell>
          <cell r="C7425" t="str">
            <v>ซาติน แขนสั้นขาสั้น ซากุระ ไทเกอร์ พื้นชมพู 3XL</v>
          </cell>
          <cell r="E7425">
            <v>0</v>
          </cell>
          <cell r="F7425">
            <v>790</v>
          </cell>
        </row>
        <row r="7426">
          <cell r="A7426" t="str">
            <v>SN0837-L</v>
          </cell>
          <cell r="B7426" t="str">
            <v>N837</v>
          </cell>
          <cell r="C7426" t="str">
            <v>ซาติน แขนสั้นขาสั้น ซากุระ ไทเกอร์ พื้นชมพู L</v>
          </cell>
          <cell r="E7426">
            <v>0</v>
          </cell>
          <cell r="F7426">
            <v>790</v>
          </cell>
        </row>
        <row r="7427">
          <cell r="A7427" t="str">
            <v>SN0837-M</v>
          </cell>
          <cell r="B7427" t="str">
            <v>N837</v>
          </cell>
          <cell r="C7427" t="str">
            <v>ซาติน แขนสั้นขาสั้น ซากุระ ไทเกอร์ พื้นชมพู M</v>
          </cell>
          <cell r="E7427">
            <v>0</v>
          </cell>
          <cell r="F7427">
            <v>790</v>
          </cell>
        </row>
        <row r="7428">
          <cell r="A7428" t="str">
            <v>SN0837-XL</v>
          </cell>
          <cell r="B7428" t="str">
            <v>N837</v>
          </cell>
          <cell r="C7428" t="str">
            <v>ซาติน แขนสั้นขาสั้น ซากุระ ไทเกอร์ พื้นชมพู XL</v>
          </cell>
          <cell r="E7428">
            <v>0</v>
          </cell>
          <cell r="F7428">
            <v>790</v>
          </cell>
        </row>
        <row r="7429">
          <cell r="A7429" t="str">
            <v>SN0838-2XL</v>
          </cell>
          <cell r="B7429" t="str">
            <v>N838</v>
          </cell>
          <cell r="C7429" t="str">
            <v>ซาติน แขนสั้นขาสั้น  ซากุระ ไทเกอร์ พื้นกรม 2XL</v>
          </cell>
          <cell r="E7429">
            <v>0</v>
          </cell>
          <cell r="F7429">
            <v>790</v>
          </cell>
        </row>
        <row r="7430">
          <cell r="A7430" t="str">
            <v>SN0838-3XL</v>
          </cell>
          <cell r="B7430" t="str">
            <v>N838</v>
          </cell>
          <cell r="C7430" t="str">
            <v>ซาติน แขนสั้นขาสั้น  ซากุระ ไทเกอร์ พื้นกรม 3XL</v>
          </cell>
          <cell r="E7430">
            <v>0</v>
          </cell>
          <cell r="F7430">
            <v>790</v>
          </cell>
        </row>
        <row r="7431">
          <cell r="A7431" t="str">
            <v>SN0838-L</v>
          </cell>
          <cell r="B7431" t="str">
            <v>N838</v>
          </cell>
          <cell r="C7431" t="str">
            <v>ซาติน แขนสั้นขาสั้น  ซากุระ ไทเกอร์ พื้นกรม L</v>
          </cell>
          <cell r="E7431">
            <v>0</v>
          </cell>
          <cell r="F7431">
            <v>790</v>
          </cell>
        </row>
        <row r="7432">
          <cell r="A7432" t="str">
            <v>SN0838-M</v>
          </cell>
          <cell r="B7432" t="str">
            <v>N838</v>
          </cell>
          <cell r="C7432" t="str">
            <v>ซาติน แขนสั้นขาสั้น  ซากุระ ไทเกอร์ พื้นกรม M</v>
          </cell>
          <cell r="E7432">
            <v>0</v>
          </cell>
          <cell r="F7432">
            <v>790</v>
          </cell>
        </row>
        <row r="7433">
          <cell r="A7433" t="str">
            <v>SN0838-XL</v>
          </cell>
          <cell r="B7433" t="str">
            <v>N838</v>
          </cell>
          <cell r="C7433" t="str">
            <v>ซาติน แขนสั้นขาสั้น  ซากุระ ไทเกอร์ พื้นกรม XL</v>
          </cell>
          <cell r="E7433">
            <v>0</v>
          </cell>
          <cell r="F7433">
            <v>790</v>
          </cell>
        </row>
        <row r="7434">
          <cell r="A7434" t="str">
            <v>SN0844-2XL</v>
          </cell>
          <cell r="B7434" t="str">
            <v>N844</v>
          </cell>
          <cell r="C7434" t="str">
            <v>ซาติน แขนสั้นขาสั้น ดอกไม้แมงกระพรุน ขอบม่วง 2XL</v>
          </cell>
          <cell r="E7434">
            <v>0</v>
          </cell>
          <cell r="F7434">
            <v>790</v>
          </cell>
        </row>
        <row r="7435">
          <cell r="A7435" t="str">
            <v>SN0844-3XL</v>
          </cell>
          <cell r="B7435" t="str">
            <v>N844</v>
          </cell>
          <cell r="C7435" t="str">
            <v>ซาติน แขนสั้นขาสั้น ดอกไม้แมงกระพรุน ขอบม่วง 3XL</v>
          </cell>
          <cell r="E7435">
            <v>0</v>
          </cell>
          <cell r="F7435">
            <v>790</v>
          </cell>
        </row>
        <row r="7436">
          <cell r="A7436" t="str">
            <v>SN0844-L</v>
          </cell>
          <cell r="B7436" t="str">
            <v>N844</v>
          </cell>
          <cell r="C7436" t="str">
            <v>ซาติน แขนสั้นขาสั้น ดอกไม้แมงกระพรุน ขอบม่วง L</v>
          </cell>
          <cell r="E7436">
            <v>0</v>
          </cell>
          <cell r="F7436">
            <v>890</v>
          </cell>
        </row>
        <row r="7437">
          <cell r="A7437" t="str">
            <v>SN0844-M</v>
          </cell>
          <cell r="B7437" t="str">
            <v>N844</v>
          </cell>
          <cell r="C7437" t="str">
            <v>ซาติน แขนสั้นขาสั้น ดอกไม้แมงกระพรุน ขอบม่วง M</v>
          </cell>
          <cell r="E7437">
            <v>0</v>
          </cell>
          <cell r="F7437">
            <v>790</v>
          </cell>
        </row>
        <row r="7438">
          <cell r="A7438" t="str">
            <v>SN0844-XL</v>
          </cell>
          <cell r="B7438" t="str">
            <v>N844</v>
          </cell>
          <cell r="C7438" t="str">
            <v>ซาติน แขนสั้นขาสั้น ดอกไม้แมงกระพรุน ขอบม่วง XL</v>
          </cell>
          <cell r="E7438">
            <v>0</v>
          </cell>
          <cell r="F7438">
            <v>790</v>
          </cell>
        </row>
        <row r="7439">
          <cell r="A7439" t="str">
            <v>SN0845-L</v>
          </cell>
          <cell r="B7439" t="str">
            <v>N845</v>
          </cell>
          <cell r="C7439" t="str">
            <v>ซาติน แขนสั้นขาสั้น ดอกไม้ประ ขอบส้ม พื้นครีม L</v>
          </cell>
          <cell r="E7439">
            <v>0</v>
          </cell>
          <cell r="F7439">
            <v>790</v>
          </cell>
        </row>
        <row r="7440">
          <cell r="A7440" t="str">
            <v>SN0845-M</v>
          </cell>
          <cell r="B7440" t="str">
            <v>N845</v>
          </cell>
          <cell r="C7440" t="str">
            <v>ซาติน แขนสั้นขาสั้น ดอกไม้ประ ขอบส้ม พื้นครีม M</v>
          </cell>
          <cell r="E7440">
            <v>0</v>
          </cell>
          <cell r="F7440">
            <v>790</v>
          </cell>
        </row>
        <row r="7441">
          <cell r="A7441" t="str">
            <v>SN0845-XL</v>
          </cell>
          <cell r="B7441" t="str">
            <v>N845</v>
          </cell>
          <cell r="C7441" t="str">
            <v>ซาติน แขนสั้นขาสั้น ดอกไม้ประ ขอบส้ม พื้นครีม XL</v>
          </cell>
          <cell r="E7441">
            <v>0</v>
          </cell>
          <cell r="F7441">
            <v>790</v>
          </cell>
        </row>
        <row r="7442">
          <cell r="A7442" t="str">
            <v>SN0846-2XL</v>
          </cell>
          <cell r="B7442" t="str">
            <v>N846</v>
          </cell>
          <cell r="C7442" t="str">
            <v>ซาติน แขนสั้นขาสั้น ภาพหญ้าแห้ง 2XL</v>
          </cell>
          <cell r="E7442">
            <v>0</v>
          </cell>
          <cell r="F7442">
            <v>790</v>
          </cell>
        </row>
        <row r="7443">
          <cell r="A7443" t="str">
            <v>SN0846-L</v>
          </cell>
          <cell r="B7443" t="str">
            <v>N846</v>
          </cell>
          <cell r="C7443" t="str">
            <v>ซาติน แขนสั้นขาสั้น ภาพหญ้าแห้ง L</v>
          </cell>
          <cell r="E7443">
            <v>0</v>
          </cell>
          <cell r="F7443">
            <v>790</v>
          </cell>
        </row>
        <row r="7444">
          <cell r="A7444" t="str">
            <v>SN0846-M</v>
          </cell>
          <cell r="B7444" t="str">
            <v>N846</v>
          </cell>
          <cell r="C7444" t="str">
            <v>ซาติน แขนสั้นขาสั้น ภาพหญ้าแห้ง M</v>
          </cell>
          <cell r="E7444">
            <v>0</v>
          </cell>
          <cell r="F7444">
            <v>790</v>
          </cell>
        </row>
        <row r="7445">
          <cell r="A7445" t="str">
            <v>SN0846-XL</v>
          </cell>
          <cell r="B7445" t="str">
            <v>N846</v>
          </cell>
          <cell r="C7445" t="str">
            <v>ซาติน แขนสั้นขาสั้น ภาพหญ้าแห้ง XL</v>
          </cell>
          <cell r="E7445">
            <v>0</v>
          </cell>
          <cell r="F7445">
            <v>790</v>
          </cell>
        </row>
        <row r="7446">
          <cell r="A7446" t="str">
            <v>SN0849-2XL</v>
          </cell>
          <cell r="B7446" t="str">
            <v>N849</v>
          </cell>
          <cell r="C7446" t="str">
            <v>ซาติน แขนสั้นขาสั้น Green to tones 2XL</v>
          </cell>
          <cell r="E7446">
            <v>0</v>
          </cell>
          <cell r="F7446">
            <v>790</v>
          </cell>
        </row>
        <row r="7447">
          <cell r="A7447" t="str">
            <v>SN0849-3XL</v>
          </cell>
          <cell r="B7447" t="str">
            <v>N849</v>
          </cell>
          <cell r="C7447" t="str">
            <v>ซาติน แขนสั้นขาสั้น Green to tones 3XL</v>
          </cell>
          <cell r="E7447">
            <v>0</v>
          </cell>
          <cell r="F7447">
            <v>790</v>
          </cell>
        </row>
        <row r="7448">
          <cell r="A7448" t="str">
            <v>SN0849-L</v>
          </cell>
          <cell r="B7448" t="str">
            <v>N849</v>
          </cell>
          <cell r="C7448" t="str">
            <v>ซาติน แขนสั้นขาสั้น Green to tones L</v>
          </cell>
          <cell r="E7448">
            <v>0</v>
          </cell>
          <cell r="F7448">
            <v>790</v>
          </cell>
        </row>
        <row r="7449">
          <cell r="A7449" t="str">
            <v>SN0849-M</v>
          </cell>
          <cell r="B7449" t="str">
            <v>QN849</v>
          </cell>
          <cell r="C7449" t="str">
            <v>ซาติน แขนสั้นขาสั้น Green to tones M QC</v>
          </cell>
          <cell r="E7449">
            <v>0</v>
          </cell>
          <cell r="F7449">
            <v>790</v>
          </cell>
        </row>
        <row r="7450">
          <cell r="A7450" t="str">
            <v>SN0849-XL</v>
          </cell>
          <cell r="B7450" t="str">
            <v>N849</v>
          </cell>
          <cell r="C7450" t="str">
            <v>ซาติน แขนสั้นขาสั้น Green to tones XL</v>
          </cell>
          <cell r="E7450">
            <v>0</v>
          </cell>
          <cell r="F7450">
            <v>790</v>
          </cell>
        </row>
        <row r="7451">
          <cell r="A7451" t="str">
            <v>SN0853-2XL</v>
          </cell>
          <cell r="B7451" t="str">
            <v>N853</v>
          </cell>
          <cell r="C7451" t="str">
            <v>ซาติน แขนสั้นขาสั้น พื้นดำ ดอกไม้เหลือง 2XL</v>
          </cell>
          <cell r="E7451">
            <v>0</v>
          </cell>
          <cell r="F7451">
            <v>790</v>
          </cell>
        </row>
        <row r="7452">
          <cell r="A7452" t="str">
            <v>SN0853-L</v>
          </cell>
          <cell r="B7452" t="str">
            <v>N853</v>
          </cell>
          <cell r="C7452" t="str">
            <v>ซาติน แขนสั้นขาสั้น พื้นดำ ดอกไม้เหลือง L</v>
          </cell>
          <cell r="E7452">
            <v>0</v>
          </cell>
          <cell r="F7452">
            <v>790</v>
          </cell>
        </row>
        <row r="7453">
          <cell r="A7453" t="str">
            <v>SN0853-M</v>
          </cell>
          <cell r="B7453" t="str">
            <v>N853</v>
          </cell>
          <cell r="C7453" t="str">
            <v>ซาติน แขนสั้นขาสั้น พื้นดำ ดอกไม้เหลือง M</v>
          </cell>
          <cell r="E7453">
            <v>0</v>
          </cell>
          <cell r="F7453">
            <v>790</v>
          </cell>
        </row>
        <row r="7454">
          <cell r="A7454" t="str">
            <v>SN0853-XL</v>
          </cell>
          <cell r="B7454" t="str">
            <v>N853</v>
          </cell>
          <cell r="C7454" t="str">
            <v>ซาติน แขนสั้นขาสั้น พื้นดำ ดอกไม้เหลือง XL</v>
          </cell>
          <cell r="E7454">
            <v>0</v>
          </cell>
          <cell r="F7454">
            <v>790</v>
          </cell>
        </row>
        <row r="7455">
          <cell r="A7455" t="str">
            <v>SN0856-L</v>
          </cell>
          <cell r="B7455" t="str">
            <v>N856</v>
          </cell>
          <cell r="C7455" t="str">
            <v>ซาติน แขนสั้นขาสั้น โซ่ ลายทาง L</v>
          </cell>
          <cell r="E7455">
            <v>0</v>
          </cell>
          <cell r="F7455">
            <v>790</v>
          </cell>
        </row>
        <row r="7456">
          <cell r="A7456" t="str">
            <v>SN0856-M</v>
          </cell>
          <cell r="B7456" t="str">
            <v>N856</v>
          </cell>
          <cell r="C7456" t="str">
            <v>ซาติน แขนสั้นขาสั้น โซ่ ลายทาง M</v>
          </cell>
          <cell r="E7456">
            <v>0</v>
          </cell>
          <cell r="F7456">
            <v>790</v>
          </cell>
        </row>
        <row r="7457">
          <cell r="A7457" t="str">
            <v>SN0856-XL</v>
          </cell>
          <cell r="B7457" t="str">
            <v>N856</v>
          </cell>
          <cell r="C7457" t="str">
            <v>ซาติน แขนสั้นขาสั้น โซ่ ลายทาง XL</v>
          </cell>
          <cell r="E7457">
            <v>0</v>
          </cell>
          <cell r="F7457">
            <v>790</v>
          </cell>
        </row>
        <row r="7458">
          <cell r="A7458" t="str">
            <v>SN0857-2XL</v>
          </cell>
          <cell r="B7458" t="str">
            <v>N857</v>
          </cell>
          <cell r="C7458" t="str">
            <v>ซาติน แขนสั้นขาสั้น White Forest 2XL</v>
          </cell>
          <cell r="E7458">
            <v>0</v>
          </cell>
          <cell r="F7458">
            <v>790</v>
          </cell>
        </row>
        <row r="7459">
          <cell r="A7459" t="str">
            <v>SN0857-3XL</v>
          </cell>
          <cell r="B7459" t="str">
            <v>N857</v>
          </cell>
          <cell r="C7459" t="str">
            <v>ซาติน แขนสั้นขาสั้น White Forest 3XL</v>
          </cell>
          <cell r="E7459">
            <v>0</v>
          </cell>
          <cell r="F7459">
            <v>790</v>
          </cell>
        </row>
        <row r="7460">
          <cell r="A7460" t="str">
            <v>SN0857-L</v>
          </cell>
          <cell r="B7460" t="str">
            <v>N857</v>
          </cell>
          <cell r="C7460" t="str">
            <v>ซาติน แขนสั้นขาสั้น White Forest L</v>
          </cell>
          <cell r="E7460">
            <v>0</v>
          </cell>
          <cell r="F7460">
            <v>790</v>
          </cell>
        </row>
        <row r="7461">
          <cell r="A7461" t="str">
            <v>SN0857-M</v>
          </cell>
          <cell r="B7461" t="str">
            <v>N857</v>
          </cell>
          <cell r="C7461" t="str">
            <v>ซาติน แขนสั้นขาสั้น White Forest M</v>
          </cell>
          <cell r="E7461">
            <v>0</v>
          </cell>
          <cell r="F7461">
            <v>790</v>
          </cell>
        </row>
        <row r="7462">
          <cell r="A7462" t="str">
            <v>SN0857-XL</v>
          </cell>
          <cell r="B7462" t="str">
            <v>N857</v>
          </cell>
          <cell r="C7462" t="str">
            <v>ซาติน แขนสั้นขาสั้น White Forest XL</v>
          </cell>
          <cell r="E7462">
            <v>0</v>
          </cell>
          <cell r="F7462">
            <v>790</v>
          </cell>
        </row>
        <row r="7463">
          <cell r="A7463" t="str">
            <v>SN0862-2XL</v>
          </cell>
          <cell r="B7463" t="str">
            <v>N862</v>
          </cell>
          <cell r="C7463" t="str">
            <v>ซาติน แขนสั้นขาสั้น Blue Comic 2XL</v>
          </cell>
          <cell r="E7463">
            <v>0</v>
          </cell>
          <cell r="F7463">
            <v>790</v>
          </cell>
        </row>
        <row r="7464">
          <cell r="A7464" t="str">
            <v>SN0862-3XL</v>
          </cell>
          <cell r="B7464" t="str">
            <v>N862</v>
          </cell>
          <cell r="C7464" t="str">
            <v>ซาติน แขนสั้นขาสั้น Blue Comic 3XL</v>
          </cell>
          <cell r="E7464">
            <v>0</v>
          </cell>
          <cell r="F7464">
            <v>790</v>
          </cell>
        </row>
        <row r="7465">
          <cell r="A7465" t="str">
            <v>SN0862-L</v>
          </cell>
          <cell r="B7465" t="str">
            <v>N862</v>
          </cell>
          <cell r="C7465" t="str">
            <v>ซาติน แขนสั้นขาสั้น Blue Comic L</v>
          </cell>
          <cell r="E7465">
            <v>0</v>
          </cell>
          <cell r="F7465">
            <v>790</v>
          </cell>
        </row>
        <row r="7466">
          <cell r="A7466" t="str">
            <v>SN0862-M</v>
          </cell>
          <cell r="B7466" t="str">
            <v>N862</v>
          </cell>
          <cell r="C7466" t="str">
            <v>ซาติน แขนสั้นขาสั้น Blue Comic M</v>
          </cell>
          <cell r="E7466">
            <v>0</v>
          </cell>
          <cell r="F7466">
            <v>790</v>
          </cell>
        </row>
        <row r="7467">
          <cell r="A7467" t="str">
            <v>SN0862-XL</v>
          </cell>
          <cell r="B7467" t="str">
            <v>N862</v>
          </cell>
          <cell r="C7467" t="str">
            <v>ซาติน แขนสั้นขาสั้น Blue Comic XL</v>
          </cell>
          <cell r="E7467">
            <v>0</v>
          </cell>
          <cell r="F7467">
            <v>790</v>
          </cell>
        </row>
        <row r="7468">
          <cell r="A7468" t="str">
            <v>SN0864-2XL</v>
          </cell>
          <cell r="B7468" t="str">
            <v>N864</v>
          </cell>
          <cell r="C7468" t="str">
            <v>ซาติน แขนสั้นขาสั้น Pangea 2XL</v>
          </cell>
          <cell r="E7468">
            <v>0</v>
          </cell>
          <cell r="F7468">
            <v>790</v>
          </cell>
        </row>
        <row r="7469">
          <cell r="A7469" t="str">
            <v>SN0864-3XL</v>
          </cell>
          <cell r="B7469" t="str">
            <v>N864</v>
          </cell>
          <cell r="C7469" t="str">
            <v>ซาติน แขนสั้นขาสั้น Pangea 3XL</v>
          </cell>
          <cell r="E7469">
            <v>0</v>
          </cell>
          <cell r="F7469">
            <v>790</v>
          </cell>
        </row>
        <row r="7470">
          <cell r="A7470" t="str">
            <v>SN0864-L</v>
          </cell>
          <cell r="B7470" t="str">
            <v>N864</v>
          </cell>
          <cell r="C7470" t="str">
            <v>ซาติน แขนสั้นขาสั้น Pangea L</v>
          </cell>
          <cell r="E7470">
            <v>0</v>
          </cell>
          <cell r="F7470">
            <v>790</v>
          </cell>
        </row>
        <row r="7471">
          <cell r="A7471" t="str">
            <v>SN0864-M</v>
          </cell>
          <cell r="B7471" t="str">
            <v>N864</v>
          </cell>
          <cell r="C7471" t="str">
            <v>ซาติน แขนสั้นขาสั้น Pangea M</v>
          </cell>
          <cell r="E7471">
            <v>0</v>
          </cell>
          <cell r="F7471">
            <v>790</v>
          </cell>
        </row>
        <row r="7472">
          <cell r="A7472" t="str">
            <v>SN0864-XL</v>
          </cell>
          <cell r="B7472" t="str">
            <v>N864</v>
          </cell>
          <cell r="C7472" t="str">
            <v>ซาติน แขนสั้นขาสั้น Pangea XL</v>
          </cell>
          <cell r="E7472">
            <v>0</v>
          </cell>
          <cell r="F7472">
            <v>790</v>
          </cell>
        </row>
        <row r="7473">
          <cell r="A7473" t="str">
            <v>SN0867-2XL</v>
          </cell>
          <cell r="B7473" t="str">
            <v>N867</v>
          </cell>
          <cell r="C7473" t="str">
            <v>ซาติน แขนสั้นขาสั้น สวนหลังบ้าน คอปกส้ม 2XL</v>
          </cell>
          <cell r="E7473">
            <v>0</v>
          </cell>
          <cell r="F7473">
            <v>790</v>
          </cell>
        </row>
        <row r="7474">
          <cell r="A7474" t="str">
            <v>SN0867-3XL</v>
          </cell>
          <cell r="B7474" t="str">
            <v>N867</v>
          </cell>
          <cell r="C7474" t="str">
            <v>ซาติน แขนสั้นขาสั้น สวนหลังบ้าน คอปกส้ม 3XL</v>
          </cell>
          <cell r="E7474">
            <v>0</v>
          </cell>
          <cell r="F7474">
            <v>790</v>
          </cell>
        </row>
        <row r="7475">
          <cell r="A7475" t="str">
            <v>SN0867-L</v>
          </cell>
          <cell r="B7475" t="str">
            <v>QN867</v>
          </cell>
          <cell r="C7475" t="str">
            <v>ซาติน แขนสั้นขาสั้น สวนหลังบ้าน คอปกส้ม L QC</v>
          </cell>
          <cell r="E7475">
            <v>0</v>
          </cell>
          <cell r="F7475">
            <v>790</v>
          </cell>
        </row>
        <row r="7476">
          <cell r="A7476" t="str">
            <v>SN0867-M</v>
          </cell>
          <cell r="B7476" t="str">
            <v>QN867</v>
          </cell>
          <cell r="C7476" t="str">
            <v>ซาติน แขนสั้นขาสั้น สวนหลังบ้าน คอปกส้ม M QC</v>
          </cell>
          <cell r="E7476">
            <v>0</v>
          </cell>
          <cell r="F7476">
            <v>790</v>
          </cell>
        </row>
        <row r="7477">
          <cell r="A7477" t="str">
            <v>SN0867-XL</v>
          </cell>
          <cell r="B7477" t="str">
            <v>N867</v>
          </cell>
          <cell r="C7477" t="str">
            <v>ซาติน แขนสั้นขาสั้น สวนหลังบ้าน คอปกส้ม XL</v>
          </cell>
          <cell r="E7477">
            <v>0</v>
          </cell>
          <cell r="F7477">
            <v>790</v>
          </cell>
        </row>
        <row r="7478">
          <cell r="A7478" t="str">
            <v>SN0869-2XL</v>
          </cell>
          <cell r="B7478" t="str">
            <v>N869</v>
          </cell>
          <cell r="C7478" t="str">
            <v>ซาติน แขนสั้นขาสั้น เกสรดอกไม้ คอปก 2XL</v>
          </cell>
          <cell r="E7478">
            <v>0</v>
          </cell>
          <cell r="F7478">
            <v>790</v>
          </cell>
        </row>
        <row r="7479">
          <cell r="A7479" t="str">
            <v>SN0869-L</v>
          </cell>
          <cell r="B7479" t="str">
            <v>N869</v>
          </cell>
          <cell r="C7479" t="str">
            <v>ซาติน แขนสั้นขาสั้น เกสรดอกไม้ คอปก L</v>
          </cell>
          <cell r="E7479">
            <v>0</v>
          </cell>
          <cell r="F7479">
            <v>790</v>
          </cell>
        </row>
        <row r="7480">
          <cell r="A7480" t="str">
            <v>SN0869-M</v>
          </cell>
          <cell r="B7480" t="str">
            <v>N869</v>
          </cell>
          <cell r="C7480" t="str">
            <v>ซาติน แขนสั้นขาสั้น เกสรดอกไม้ คอปก M</v>
          </cell>
          <cell r="E7480">
            <v>0</v>
          </cell>
          <cell r="F7480">
            <v>790</v>
          </cell>
        </row>
        <row r="7481">
          <cell r="A7481" t="str">
            <v>SN0869-XL</v>
          </cell>
          <cell r="B7481" t="str">
            <v>N869</v>
          </cell>
          <cell r="C7481" t="str">
            <v>ซาติน แขนสั้นขาสั้น เกสรดอกไม้ คอปก XL</v>
          </cell>
          <cell r="E7481">
            <v>0</v>
          </cell>
          <cell r="F7481">
            <v>790</v>
          </cell>
        </row>
        <row r="7482">
          <cell r="A7482" t="str">
            <v>SN0881-2XL</v>
          </cell>
          <cell r="B7482" t="str">
            <v>N881</v>
          </cell>
          <cell r="C7482" t="str">
            <v>ซาติน แขนสั้นขาสั้น ดอกไม้ใต้ทะเล ปกชมพู 2XL</v>
          </cell>
          <cell r="E7482">
            <v>0</v>
          </cell>
          <cell r="F7482">
            <v>790</v>
          </cell>
        </row>
        <row r="7483">
          <cell r="A7483" t="str">
            <v>SN0881-3XL</v>
          </cell>
          <cell r="B7483" t="str">
            <v>N881</v>
          </cell>
          <cell r="C7483" t="str">
            <v>ซาติน แขนสั้นขาสั้น ดอกไม้ใต้ทะเล ปกชมพู 3XL</v>
          </cell>
          <cell r="E7483">
            <v>0</v>
          </cell>
          <cell r="F7483">
            <v>790</v>
          </cell>
        </row>
        <row r="7484">
          <cell r="A7484" t="str">
            <v>SN0881-L</v>
          </cell>
          <cell r="B7484" t="str">
            <v>N881</v>
          </cell>
          <cell r="C7484" t="str">
            <v>ซาติน แขนสั้นขาสั้น ดอกไม้ใต้ทะเล ปกชมพู L</v>
          </cell>
          <cell r="E7484">
            <v>0</v>
          </cell>
          <cell r="F7484">
            <v>790</v>
          </cell>
        </row>
        <row r="7485">
          <cell r="A7485" t="str">
            <v>SN0881-M</v>
          </cell>
          <cell r="B7485" t="str">
            <v>N881</v>
          </cell>
          <cell r="C7485" t="str">
            <v>ซาติน แขนสั้นขาสั้น ดอกไม้ใต้ทะเล ปกชมพู M</v>
          </cell>
          <cell r="E7485">
            <v>0</v>
          </cell>
          <cell r="F7485">
            <v>790</v>
          </cell>
        </row>
        <row r="7486">
          <cell r="A7486" t="str">
            <v>SN0881-XL</v>
          </cell>
          <cell r="B7486" t="str">
            <v>N881</v>
          </cell>
          <cell r="C7486" t="str">
            <v>ซาติน แขนสั้นขาสั้น ดอกไม้ใต้ทะเล ปกชมพู XL</v>
          </cell>
          <cell r="E7486">
            <v>0</v>
          </cell>
          <cell r="F7486">
            <v>790</v>
          </cell>
        </row>
        <row r="7487">
          <cell r="A7487" t="str">
            <v>SN0882-2XL</v>
          </cell>
          <cell r="B7487" t="str">
            <v>N882</v>
          </cell>
          <cell r="C7487" t="str">
            <v>ซาติน แขนสั้นขาสั้น กุหลาบและผีเสื้อ พื้นครีม 2XL</v>
          </cell>
          <cell r="E7487">
            <v>0</v>
          </cell>
          <cell r="F7487">
            <v>790</v>
          </cell>
        </row>
        <row r="7488">
          <cell r="A7488" t="str">
            <v>SN0882-3XL</v>
          </cell>
          <cell r="B7488" t="str">
            <v>N882</v>
          </cell>
          <cell r="C7488" t="str">
            <v>ซาติน แขนสั้นขาสั้น กุหลาบและผีเสื้อ พื้นครีม 3XL</v>
          </cell>
          <cell r="E7488">
            <v>0</v>
          </cell>
          <cell r="F7488">
            <v>790</v>
          </cell>
        </row>
        <row r="7489">
          <cell r="A7489" t="str">
            <v>SN0882-L</v>
          </cell>
          <cell r="B7489" t="str">
            <v>N882</v>
          </cell>
          <cell r="C7489" t="str">
            <v>ซาติน แขนสั้นขาสั้น กุหลาบและผีเสื้อ พื้นครีม L</v>
          </cell>
          <cell r="E7489">
            <v>0</v>
          </cell>
          <cell r="F7489">
            <v>790</v>
          </cell>
        </row>
        <row r="7490">
          <cell r="A7490" t="str">
            <v>SN0882-M</v>
          </cell>
          <cell r="B7490" t="str">
            <v>N882</v>
          </cell>
          <cell r="C7490" t="str">
            <v>ซาติน แขนสั้นขาสั้น กุหลาบและผีเสื้อ พื้นครีม M</v>
          </cell>
          <cell r="E7490">
            <v>0</v>
          </cell>
          <cell r="F7490">
            <v>790</v>
          </cell>
        </row>
        <row r="7491">
          <cell r="A7491" t="str">
            <v>SN0882-XL</v>
          </cell>
          <cell r="B7491" t="str">
            <v>N882</v>
          </cell>
          <cell r="C7491" t="str">
            <v>ซาติน แขนสั้นขาสั้น กุหลาบและผีเสื้อ พื้นครีม XL</v>
          </cell>
          <cell r="E7491">
            <v>0</v>
          </cell>
          <cell r="F7491">
            <v>790</v>
          </cell>
        </row>
        <row r="7492">
          <cell r="A7492" t="str">
            <v>SN0883-2XL</v>
          </cell>
          <cell r="B7492" t="str">
            <v>N883</v>
          </cell>
          <cell r="C7492" t="str">
            <v>ซาติน แขนสั้นขาสั้น Pinky Flowers 2XL</v>
          </cell>
          <cell r="E7492">
            <v>0</v>
          </cell>
          <cell r="F7492">
            <v>790</v>
          </cell>
        </row>
        <row r="7493">
          <cell r="A7493" t="str">
            <v>SN0883-3XL</v>
          </cell>
          <cell r="B7493" t="str">
            <v>N883</v>
          </cell>
          <cell r="C7493" t="str">
            <v>ซาติน แขนสั้นขาสั้น Pinky Flowers 3XL</v>
          </cell>
          <cell r="E7493">
            <v>0</v>
          </cell>
          <cell r="F7493">
            <v>790</v>
          </cell>
        </row>
        <row r="7494">
          <cell r="A7494" t="str">
            <v>SN0883-L</v>
          </cell>
          <cell r="B7494" t="str">
            <v>N883</v>
          </cell>
          <cell r="C7494" t="str">
            <v>ซาติน แขนสั้นขาสั้น Pinky Flowers L</v>
          </cell>
          <cell r="E7494">
            <v>0</v>
          </cell>
          <cell r="F7494">
            <v>790</v>
          </cell>
        </row>
        <row r="7495">
          <cell r="A7495" t="str">
            <v>SN0883-M</v>
          </cell>
          <cell r="B7495" t="str">
            <v>N883</v>
          </cell>
          <cell r="C7495" t="str">
            <v>ซาติน แขนสั้นขาสั้น Pinky Flowers M</v>
          </cell>
          <cell r="E7495">
            <v>0</v>
          </cell>
          <cell r="F7495">
            <v>790</v>
          </cell>
        </row>
        <row r="7496">
          <cell r="A7496" t="str">
            <v>SN0883-XL</v>
          </cell>
          <cell r="B7496" t="str">
            <v>N883</v>
          </cell>
          <cell r="C7496" t="str">
            <v>ซาติน แขนสั้นขาสั้น Pinky Flowers XL</v>
          </cell>
          <cell r="E7496">
            <v>0</v>
          </cell>
          <cell r="F7496">
            <v>790</v>
          </cell>
        </row>
        <row r="7497">
          <cell r="A7497" t="str">
            <v>SN0884-2XL</v>
          </cell>
          <cell r="B7497" t="str">
            <v>N884</v>
          </cell>
          <cell r="C7497" t="str">
            <v>ซาติน แขนสั้นขาสั้น สวนดอกไม้ พื้นเขียว 2XL</v>
          </cell>
          <cell r="E7497">
            <v>0</v>
          </cell>
          <cell r="F7497">
            <v>790</v>
          </cell>
        </row>
        <row r="7498">
          <cell r="A7498" t="str">
            <v>SN0884-3XL</v>
          </cell>
          <cell r="B7498" t="str">
            <v>N884</v>
          </cell>
          <cell r="C7498" t="str">
            <v>ซาติน แขนสั้นขาสั้น สวนดอกไม้ พื้นเขียว 3XL</v>
          </cell>
          <cell r="E7498">
            <v>0</v>
          </cell>
          <cell r="F7498">
            <v>790</v>
          </cell>
        </row>
        <row r="7499">
          <cell r="A7499" t="str">
            <v>SN0884-L</v>
          </cell>
          <cell r="B7499" t="str">
            <v>N884</v>
          </cell>
          <cell r="C7499" t="str">
            <v>ซาติน แขนสั้นขาสั้น สวนดอกไม้ พื้นเขียว  L</v>
          </cell>
          <cell r="E7499">
            <v>0</v>
          </cell>
          <cell r="F7499">
            <v>790</v>
          </cell>
        </row>
        <row r="7500">
          <cell r="A7500" t="str">
            <v>SN0884-M</v>
          </cell>
          <cell r="B7500" t="str">
            <v>N884</v>
          </cell>
          <cell r="C7500" t="str">
            <v>ซาติน แขนสั้นขาสั้น สวนดอกไม้ พื้นเขียว M</v>
          </cell>
          <cell r="E7500">
            <v>0</v>
          </cell>
          <cell r="F7500">
            <v>790</v>
          </cell>
        </row>
        <row r="7501">
          <cell r="A7501" t="str">
            <v>SN0884-XL</v>
          </cell>
          <cell r="B7501" t="str">
            <v>QN884</v>
          </cell>
          <cell r="C7501" t="str">
            <v>ซาติน แขนสั้นขาสั้น สวนดอกไม้ พื้นเขียว XL QC</v>
          </cell>
          <cell r="E7501">
            <v>0</v>
          </cell>
          <cell r="F7501">
            <v>790</v>
          </cell>
        </row>
        <row r="7502">
          <cell r="A7502" t="str">
            <v>SN0885-2XL</v>
          </cell>
          <cell r="B7502" t="str">
            <v>N885</v>
          </cell>
          <cell r="C7502" t="str">
            <v>ซาติน แขนสั้นขาสั้น สุนัขรวม พื้นชมพู 2XL</v>
          </cell>
          <cell r="E7502">
            <v>0</v>
          </cell>
          <cell r="F7502">
            <v>790</v>
          </cell>
        </row>
        <row r="7503">
          <cell r="A7503" t="str">
            <v>SN0885-L</v>
          </cell>
          <cell r="B7503" t="str">
            <v>N885</v>
          </cell>
          <cell r="C7503" t="str">
            <v>ซาติน แขนสั้นขาสั้น สุนัขรวม พื้นชมพู L</v>
          </cell>
          <cell r="E7503">
            <v>0</v>
          </cell>
          <cell r="F7503">
            <v>790</v>
          </cell>
        </row>
        <row r="7504">
          <cell r="A7504" t="str">
            <v>SN0885-M</v>
          </cell>
          <cell r="B7504" t="str">
            <v>N885</v>
          </cell>
          <cell r="C7504" t="str">
            <v>ซาติน แขนสั้นขาสั้น สุนัขรวม พื้นชมพู M</v>
          </cell>
          <cell r="E7504">
            <v>0</v>
          </cell>
          <cell r="F7504">
            <v>790</v>
          </cell>
        </row>
        <row r="7505">
          <cell r="A7505" t="str">
            <v>SN0885-XL</v>
          </cell>
          <cell r="B7505" t="str">
            <v>N885</v>
          </cell>
          <cell r="C7505" t="str">
            <v>ซาติน แขนสั้นขาสั้น สุนัขรวม พื้นชมพู XL</v>
          </cell>
          <cell r="E7505">
            <v>0</v>
          </cell>
          <cell r="F7505">
            <v>790</v>
          </cell>
        </row>
        <row r="7506">
          <cell r="A7506" t="str">
            <v>SN0887-2XL</v>
          </cell>
          <cell r="B7506" t="str">
            <v>QN887</v>
          </cell>
          <cell r="C7506" t="str">
            <v>ซาติน แขนสั้นขาสั้น แมวรวม พื้นเขียวขี้ม้า 2XL QC</v>
          </cell>
          <cell r="E7506">
            <v>0</v>
          </cell>
          <cell r="F7506">
            <v>790</v>
          </cell>
        </row>
        <row r="7507">
          <cell r="A7507" t="str">
            <v>SN0887-L</v>
          </cell>
          <cell r="B7507" t="str">
            <v>QN887</v>
          </cell>
          <cell r="C7507" t="str">
            <v>ซาติน แขนสั้นขาสั้น แมวรวม พื้นเขียวขี้ม้า L QC</v>
          </cell>
          <cell r="E7507">
            <v>0</v>
          </cell>
          <cell r="F7507">
            <v>790</v>
          </cell>
        </row>
        <row r="7508">
          <cell r="A7508" t="str">
            <v>SN0887-M</v>
          </cell>
          <cell r="B7508" t="str">
            <v>N887</v>
          </cell>
          <cell r="C7508" t="str">
            <v>ซาติน แขนสั้นขาสั้น แมวรวม พื้นเขียวขี้ม้า M</v>
          </cell>
          <cell r="E7508">
            <v>0</v>
          </cell>
          <cell r="F7508">
            <v>790</v>
          </cell>
        </row>
        <row r="7509">
          <cell r="A7509" t="str">
            <v>SN0887-XL</v>
          </cell>
          <cell r="B7509" t="str">
            <v>QN887</v>
          </cell>
          <cell r="C7509" t="str">
            <v>ซาติน แขนสั้นขาสั้น แมวรวม พื้นเขียวขี้ม้า XL QC</v>
          </cell>
          <cell r="E7509">
            <v>0</v>
          </cell>
          <cell r="F7509">
            <v>790</v>
          </cell>
        </row>
        <row r="7510">
          <cell r="A7510" t="str">
            <v>SN0904-2XL</v>
          </cell>
          <cell r="B7510" t="str">
            <v>N904</v>
          </cell>
          <cell r="C7510" t="str">
            <v>ซาติน แขนสั้นขาสั้น Blue Pink Rose 2XL</v>
          </cell>
          <cell r="E7510">
            <v>0</v>
          </cell>
          <cell r="F7510">
            <v>790</v>
          </cell>
        </row>
        <row r="7511">
          <cell r="A7511" t="str">
            <v>SN0904-3XL</v>
          </cell>
          <cell r="B7511" t="str">
            <v>N904</v>
          </cell>
          <cell r="C7511" t="str">
            <v>ซาติน แขนสั้นขาสั้น Blue Pink Rose 3XL</v>
          </cell>
          <cell r="E7511">
            <v>0</v>
          </cell>
          <cell r="F7511">
            <v>790</v>
          </cell>
        </row>
        <row r="7512">
          <cell r="A7512" t="str">
            <v>SN0904-L</v>
          </cell>
          <cell r="B7512" t="str">
            <v>QN904</v>
          </cell>
          <cell r="C7512" t="str">
            <v>ซาติน แขนสั้นขาสั้น Blue Pink Rose L QC</v>
          </cell>
          <cell r="E7512">
            <v>0</v>
          </cell>
          <cell r="F7512">
            <v>790</v>
          </cell>
        </row>
        <row r="7513">
          <cell r="A7513" t="str">
            <v>SN0904-M</v>
          </cell>
          <cell r="B7513" t="str">
            <v>QN904</v>
          </cell>
          <cell r="C7513" t="str">
            <v>ซาติน แขนสั้นขาสั้น Blue Pink Rose M QC</v>
          </cell>
          <cell r="E7513">
            <v>0</v>
          </cell>
          <cell r="F7513">
            <v>790</v>
          </cell>
        </row>
        <row r="7514">
          <cell r="A7514" t="str">
            <v>SN0904-XL</v>
          </cell>
          <cell r="B7514" t="str">
            <v>N904</v>
          </cell>
          <cell r="C7514" t="str">
            <v>ซาติน แขนสั้นขาสั้น Blue Pink Rose XL</v>
          </cell>
          <cell r="E7514">
            <v>0</v>
          </cell>
          <cell r="F7514">
            <v>790</v>
          </cell>
        </row>
        <row r="7515">
          <cell r="A7515" t="str">
            <v>SN0905-2XL</v>
          </cell>
          <cell r="B7515" t="str">
            <v>N905</v>
          </cell>
          <cell r="C7515" t="str">
            <v>ซาติน แขนสั้นขาสั้น Classic Clock พื้นครีม 2XL</v>
          </cell>
          <cell r="E7515">
            <v>0</v>
          </cell>
          <cell r="F7515">
            <v>790</v>
          </cell>
        </row>
        <row r="7516">
          <cell r="A7516" t="str">
            <v>SN0905-3XL</v>
          </cell>
          <cell r="B7516" t="str">
            <v>N905</v>
          </cell>
          <cell r="C7516" t="str">
            <v>ซาติน แขนสั้นขาสั้น Classic Clock พื้นครีม 3XL</v>
          </cell>
          <cell r="E7516">
            <v>0</v>
          </cell>
          <cell r="F7516">
            <v>790</v>
          </cell>
        </row>
        <row r="7517">
          <cell r="A7517" t="str">
            <v>SN0905-L</v>
          </cell>
          <cell r="B7517" t="str">
            <v>N905</v>
          </cell>
          <cell r="C7517" t="str">
            <v>ซาติน แขนสั้นขาสั้น Classic Clock พื้นครีม L</v>
          </cell>
          <cell r="E7517">
            <v>0</v>
          </cell>
          <cell r="F7517">
            <v>790</v>
          </cell>
        </row>
        <row r="7518">
          <cell r="A7518" t="str">
            <v>SN0905-M</v>
          </cell>
          <cell r="B7518" t="str">
            <v>N905</v>
          </cell>
          <cell r="C7518" t="str">
            <v>ซาติน แขนสั้นขาสั้น Classic Clock พื้นครีม M</v>
          </cell>
          <cell r="E7518">
            <v>0</v>
          </cell>
          <cell r="F7518">
            <v>790</v>
          </cell>
        </row>
        <row r="7519">
          <cell r="A7519" t="str">
            <v>SN0905-XL</v>
          </cell>
          <cell r="B7519" t="str">
            <v>N905</v>
          </cell>
          <cell r="C7519" t="str">
            <v>ซาติน แขนสั้นขาสั้น Classic Clock พื้นครีม XL</v>
          </cell>
          <cell r="E7519">
            <v>0</v>
          </cell>
          <cell r="F7519">
            <v>790</v>
          </cell>
        </row>
        <row r="7520">
          <cell r="A7520" t="str">
            <v>SN0909-L</v>
          </cell>
          <cell r="B7520" t="str">
            <v>N909</v>
          </cell>
          <cell r="C7520" t="str">
            <v>ซาติน แขนสั้นขาสั้น ลูกกวาด พื้นม่วง คอระบาย L (กปก)</v>
          </cell>
          <cell r="E7520">
            <v>0</v>
          </cell>
          <cell r="F7520">
            <v>790</v>
          </cell>
        </row>
        <row r="7521">
          <cell r="A7521" t="str">
            <v>SN0909-M</v>
          </cell>
          <cell r="B7521" t="str">
            <v>N909</v>
          </cell>
          <cell r="C7521" t="str">
            <v>ซาติน แขนสั้นขาสั้น ลูกกวาด พื้นม่วง คอระบาย M (กปก)</v>
          </cell>
          <cell r="E7521">
            <v>0</v>
          </cell>
          <cell r="F7521">
            <v>790</v>
          </cell>
        </row>
        <row r="7522">
          <cell r="A7522" t="str">
            <v>SN0910-L</v>
          </cell>
          <cell r="B7522" t="str">
            <v>N910</v>
          </cell>
          <cell r="C7522" t="str">
            <v>ซาติน แขนสั้นขาสั้น ลูกโป่ง พื้นชมพู คอระบาย L (กปก)</v>
          </cell>
          <cell r="E7522">
            <v>0</v>
          </cell>
          <cell r="F7522">
            <v>790</v>
          </cell>
        </row>
        <row r="7523">
          <cell r="A7523" t="str">
            <v>SN0910-M</v>
          </cell>
          <cell r="B7523" t="str">
            <v>N910</v>
          </cell>
          <cell r="C7523" t="str">
            <v>ซาติน แขนสั้นขาสั้น ลูกโป่ง พื้นชมพู คอระบาย M (กปก)</v>
          </cell>
          <cell r="E7523">
            <v>0</v>
          </cell>
          <cell r="F7523">
            <v>790</v>
          </cell>
        </row>
        <row r="7524">
          <cell r="A7524" t="str">
            <v>SN0911-L</v>
          </cell>
          <cell r="B7524" t="str">
            <v>N911</v>
          </cell>
          <cell r="C7524" t="str">
            <v>ซาติน แขนสั้นขาสั้น Dough Bear พื้นขาว L (กปก)</v>
          </cell>
          <cell r="E7524">
            <v>0</v>
          </cell>
          <cell r="F7524">
            <v>790</v>
          </cell>
        </row>
        <row r="7525">
          <cell r="A7525" t="str">
            <v>SN0911-M</v>
          </cell>
          <cell r="B7525" t="str">
            <v>N911</v>
          </cell>
          <cell r="C7525" t="str">
            <v>ซาติน แขนสั้นขาสั้น Dough Bear พื้นขาว M (กปก)</v>
          </cell>
          <cell r="E7525">
            <v>0</v>
          </cell>
          <cell r="F7525">
            <v>790</v>
          </cell>
        </row>
        <row r="7526">
          <cell r="A7526" t="str">
            <v>SN0912-L</v>
          </cell>
          <cell r="B7526" t="str">
            <v>N912</v>
          </cell>
          <cell r="C7526" t="str">
            <v>ซาติน แขนสั้นขาสั้น Dough Bear พื้นครีม L (กปก)</v>
          </cell>
          <cell r="E7526">
            <v>0</v>
          </cell>
          <cell r="F7526">
            <v>790</v>
          </cell>
        </row>
        <row r="7527">
          <cell r="A7527" t="str">
            <v>SN0912-M</v>
          </cell>
          <cell r="B7527" t="str">
            <v>N912</v>
          </cell>
          <cell r="C7527" t="str">
            <v>ซาติน แขนสั้นขาสั้น Dough Bear พื้นครีม M (กปก)</v>
          </cell>
          <cell r="E7527">
            <v>0</v>
          </cell>
          <cell r="F7527">
            <v>790</v>
          </cell>
        </row>
        <row r="7528">
          <cell r="A7528" t="str">
            <v>SN0920-2XL</v>
          </cell>
          <cell r="B7528" t="str">
            <v>N920</v>
          </cell>
          <cell r="C7528" t="str">
            <v>[AI]  ซาติน แขนสั้นขาสั้น Butterfly พื้นเขียว 2XL</v>
          </cell>
          <cell r="E7528">
            <v>0</v>
          </cell>
          <cell r="F7528">
            <v>790</v>
          </cell>
        </row>
        <row r="7529">
          <cell r="A7529" t="str">
            <v>SN0920-L</v>
          </cell>
          <cell r="B7529" t="str">
            <v>N920</v>
          </cell>
          <cell r="C7529" t="str">
            <v>ซาติน แขนสั้นขาสั้น Butterfly พื้นเขียว L</v>
          </cell>
          <cell r="E7529">
            <v>0</v>
          </cell>
          <cell r="F7529">
            <v>790</v>
          </cell>
        </row>
        <row r="7530">
          <cell r="A7530" t="str">
            <v>SN0920-M</v>
          </cell>
          <cell r="B7530" t="str">
            <v>N920</v>
          </cell>
          <cell r="C7530" t="str">
            <v>ซาติน แขนสั้นขาสั้น Butterfly พื้นเขียว M</v>
          </cell>
          <cell r="E7530">
            <v>0</v>
          </cell>
          <cell r="F7530">
            <v>790</v>
          </cell>
        </row>
        <row r="7531">
          <cell r="A7531" t="str">
            <v>SN0920-XL</v>
          </cell>
          <cell r="B7531" t="str">
            <v>N920</v>
          </cell>
          <cell r="C7531" t="str">
            <v>ซาติน แขนสั้นขาสั้น Butterfly พื้นเขียว XL</v>
          </cell>
          <cell r="E7531">
            <v>0</v>
          </cell>
          <cell r="F7531">
            <v>590</v>
          </cell>
        </row>
        <row r="7532">
          <cell r="A7532" t="str">
            <v>SN0921-2XL</v>
          </cell>
          <cell r="B7532" t="str">
            <v>N921</v>
          </cell>
          <cell r="C7532" t="str">
            <v>ซาติน แขนสั้นขาสั้น Butterfly พื้นครีม 2XL</v>
          </cell>
          <cell r="E7532">
            <v>0</v>
          </cell>
          <cell r="F7532">
            <v>790</v>
          </cell>
        </row>
        <row r="7533">
          <cell r="A7533" t="str">
            <v>SN0921-L</v>
          </cell>
          <cell r="B7533" t="str">
            <v>N921</v>
          </cell>
          <cell r="C7533" t="str">
            <v>ซาติน แขนสั้นขาสั้น Butterfly พื้นครีม L</v>
          </cell>
          <cell r="E7533">
            <v>0</v>
          </cell>
          <cell r="F7533">
            <v>790</v>
          </cell>
        </row>
        <row r="7534">
          <cell r="A7534" t="str">
            <v>SN0921-M</v>
          </cell>
          <cell r="B7534" t="str">
            <v>N921</v>
          </cell>
          <cell r="C7534" t="str">
            <v>ซาติน แขนสั้นขาสั้น Butterfly พื้นครีม M</v>
          </cell>
          <cell r="E7534">
            <v>0</v>
          </cell>
          <cell r="F7534">
            <v>790</v>
          </cell>
        </row>
        <row r="7535">
          <cell r="A7535" t="str">
            <v>SN0921-XL</v>
          </cell>
          <cell r="B7535" t="str">
            <v>N921</v>
          </cell>
          <cell r="C7535" t="str">
            <v>ซาติน แขนสั้นขาสั้น Butterfly พื้นครีม XL</v>
          </cell>
          <cell r="E7535">
            <v>0</v>
          </cell>
          <cell r="F7535">
            <v>790</v>
          </cell>
        </row>
        <row r="7536">
          <cell r="A7536" t="str">
            <v>SN0922-2XL</v>
          </cell>
          <cell r="B7536" t="str">
            <v>N922</v>
          </cell>
          <cell r="C7536" t="str">
            <v>ซาติน แขนสั้นขาสั้น Bird Orchid พื้นขาว 2XL</v>
          </cell>
          <cell r="E7536">
            <v>0</v>
          </cell>
          <cell r="F7536">
            <v>790</v>
          </cell>
        </row>
        <row r="7537">
          <cell r="A7537" t="str">
            <v>SN0922-L</v>
          </cell>
          <cell r="B7537" t="str">
            <v>N922</v>
          </cell>
          <cell r="C7537" t="str">
            <v>ซาติน แขนสั้นขาสั้น Bird Orchid พื้นขาว L</v>
          </cell>
          <cell r="E7537">
            <v>0</v>
          </cell>
          <cell r="F7537">
            <v>790</v>
          </cell>
        </row>
        <row r="7538">
          <cell r="A7538" t="str">
            <v>SN0922-M</v>
          </cell>
          <cell r="B7538" t="str">
            <v>N922</v>
          </cell>
          <cell r="C7538" t="str">
            <v>ซาติน แขนสั้นขาสั้น Bird Orchid พื้นขาว M</v>
          </cell>
          <cell r="E7538">
            <v>0</v>
          </cell>
          <cell r="F7538">
            <v>790</v>
          </cell>
        </row>
        <row r="7539">
          <cell r="A7539" t="str">
            <v>SN0922-XL</v>
          </cell>
          <cell r="B7539" t="str">
            <v>N922</v>
          </cell>
          <cell r="C7539" t="str">
            <v>ซาติน แขนสั้นขาสั้น Bird Orchid พื้นขาว XL</v>
          </cell>
          <cell r="E7539">
            <v>0</v>
          </cell>
          <cell r="F7539">
            <v>790</v>
          </cell>
        </row>
        <row r="7540">
          <cell r="A7540" t="str">
            <v>SN0923-2XL</v>
          </cell>
          <cell r="B7540" t="str">
            <v>N923</v>
          </cell>
          <cell r="C7540" t="str">
            <v>ซาติน แขนสั้นขาสั้น Jungle Cruise ดำ 2XL  (กปก)</v>
          </cell>
          <cell r="E7540">
            <v>0</v>
          </cell>
          <cell r="F7540">
            <v>790</v>
          </cell>
        </row>
        <row r="7541">
          <cell r="A7541" t="str">
            <v>SN0923-3XL</v>
          </cell>
          <cell r="B7541" t="str">
            <v>N923</v>
          </cell>
          <cell r="C7541" t="str">
            <v>ซาติน แขนสั้นขาสั้น Jungle Cruise ดำ 3XL  (กปก)</v>
          </cell>
          <cell r="E7541">
            <v>0</v>
          </cell>
          <cell r="F7541">
            <v>790</v>
          </cell>
        </row>
        <row r="7542">
          <cell r="A7542" t="str">
            <v>SN0923-L</v>
          </cell>
          <cell r="B7542" t="str">
            <v>QN923</v>
          </cell>
          <cell r="C7542" t="str">
            <v>[AI]  ซาติน แขนสั้นขาสั้น Jungle Cruise ดำ L (กปก) QC</v>
          </cell>
          <cell r="E7542">
            <v>0</v>
          </cell>
          <cell r="F7542">
            <v>790</v>
          </cell>
        </row>
        <row r="7543">
          <cell r="A7543" t="str">
            <v>SN0923-M</v>
          </cell>
          <cell r="B7543" t="str">
            <v>QN923</v>
          </cell>
          <cell r="C7543" t="str">
            <v>ซาติน แขนสั้นขาสั้น Jungle Cruise ดำ M (กปก) QC</v>
          </cell>
          <cell r="E7543">
            <v>0</v>
          </cell>
          <cell r="F7543">
            <v>790</v>
          </cell>
        </row>
        <row r="7544">
          <cell r="A7544" t="str">
            <v>SN0923-XL</v>
          </cell>
          <cell r="B7544" t="str">
            <v>N923</v>
          </cell>
          <cell r="C7544" t="str">
            <v>ซาติน แขนสั้นขาสั้น Jungle Cruise ดำ XL (กปก)</v>
          </cell>
          <cell r="E7544">
            <v>0</v>
          </cell>
          <cell r="F7544">
            <v>790</v>
          </cell>
        </row>
        <row r="7545">
          <cell r="A7545" t="str">
            <v>SN0924-2XL</v>
          </cell>
          <cell r="B7545" t="str">
            <v>N924</v>
          </cell>
          <cell r="C7545" t="str">
            <v>[AI]  ซาติน แขนสั้นขาสั้น Jungle Cruise ครีม 2XL  (กปก)</v>
          </cell>
          <cell r="E7545">
            <v>0</v>
          </cell>
          <cell r="F7545">
            <v>790</v>
          </cell>
        </row>
        <row r="7546">
          <cell r="A7546" t="str">
            <v>SN0924-3XL</v>
          </cell>
          <cell r="B7546" t="str">
            <v>N924</v>
          </cell>
          <cell r="C7546" t="str">
            <v>ซาติน แขนสั้นขาสั้น Jungle Cruise ครีม 3XL  (กปก)</v>
          </cell>
          <cell r="E7546">
            <v>0</v>
          </cell>
          <cell r="F7546">
            <v>790</v>
          </cell>
        </row>
        <row r="7547">
          <cell r="A7547" t="str">
            <v>SN0924-L</v>
          </cell>
          <cell r="B7547" t="str">
            <v>N924</v>
          </cell>
          <cell r="C7547" t="str">
            <v>ซาติน แขนสั้นขาสั้น Jungle Cruise ครีม L (กปก)</v>
          </cell>
          <cell r="E7547">
            <v>0</v>
          </cell>
          <cell r="F7547">
            <v>790</v>
          </cell>
        </row>
        <row r="7548">
          <cell r="A7548" t="str">
            <v>SN0924-M</v>
          </cell>
          <cell r="B7548" t="str">
            <v>N924</v>
          </cell>
          <cell r="C7548" t="str">
            <v>ซาติน แขนสั้นขาสั้น Jungle Cruise ครีม M (กปก)</v>
          </cell>
          <cell r="E7548">
            <v>0</v>
          </cell>
          <cell r="F7548">
            <v>790</v>
          </cell>
        </row>
        <row r="7549">
          <cell r="A7549" t="str">
            <v>SN0924-XL</v>
          </cell>
          <cell r="B7549" t="str">
            <v>N924</v>
          </cell>
          <cell r="C7549" t="str">
            <v>ซาติน แขนสั้นขาสั้น Jungle Cruise ครีม XL (กปก)</v>
          </cell>
          <cell r="E7549">
            <v>0</v>
          </cell>
          <cell r="F7549">
            <v>790</v>
          </cell>
        </row>
        <row r="7550">
          <cell r="A7550" t="str">
            <v>SN0925-2XL</v>
          </cell>
          <cell r="B7550" t="str">
            <v>N925</v>
          </cell>
          <cell r="C7550" t="str">
            <v>ซาติน แขนสั้นขาสั้น Bird Orchid พื้นเขียว 2XL</v>
          </cell>
          <cell r="E7550">
            <v>0</v>
          </cell>
          <cell r="F7550">
            <v>790</v>
          </cell>
        </row>
        <row r="7551">
          <cell r="A7551" t="str">
            <v>SN0925-L</v>
          </cell>
          <cell r="B7551" t="str">
            <v>N925</v>
          </cell>
          <cell r="C7551" t="str">
            <v>ซาติน แขนสั้นขาสั้น Bird Orchid พื้นเขียว L</v>
          </cell>
          <cell r="E7551">
            <v>0</v>
          </cell>
          <cell r="F7551">
            <v>790</v>
          </cell>
        </row>
        <row r="7552">
          <cell r="A7552" t="str">
            <v>SN0925-M</v>
          </cell>
          <cell r="B7552" t="str">
            <v>N925</v>
          </cell>
          <cell r="C7552" t="str">
            <v>ซาติน แขนสั้นขาสั้น Bird Orchid พื้นเขียว M</v>
          </cell>
          <cell r="E7552">
            <v>0</v>
          </cell>
          <cell r="F7552">
            <v>790</v>
          </cell>
        </row>
        <row r="7553">
          <cell r="A7553" t="str">
            <v>SN0925-XL</v>
          </cell>
          <cell r="B7553" t="str">
            <v>N925</v>
          </cell>
          <cell r="C7553" t="str">
            <v>ซาติน แขนสั้นขาสั้น Bird Orchid พื้นเขียว XL</v>
          </cell>
          <cell r="E7553">
            <v>0</v>
          </cell>
          <cell r="F7553">
            <v>790</v>
          </cell>
        </row>
        <row r="7554">
          <cell r="A7554" t="str">
            <v>SN0926-2XL</v>
          </cell>
          <cell r="B7554" t="str">
            <v>N926</v>
          </cell>
          <cell r="C7554" t="str">
            <v>ซาติน แขนสั้นขาสั้น พื้นกรม ลายม้าลาย 2XL (กปก)</v>
          </cell>
          <cell r="E7554">
            <v>0</v>
          </cell>
          <cell r="F7554">
            <v>790</v>
          </cell>
        </row>
        <row r="7555">
          <cell r="A7555" t="str">
            <v>SN0926-3XL</v>
          </cell>
          <cell r="B7555" t="str">
            <v>N926</v>
          </cell>
          <cell r="C7555" t="str">
            <v>ซาติน แขนสั้นขาสั้น พื้นกรม ลายม้าลาย 3XL (กปก)</v>
          </cell>
          <cell r="E7555">
            <v>0</v>
          </cell>
          <cell r="F7555">
            <v>790</v>
          </cell>
        </row>
        <row r="7556">
          <cell r="A7556" t="str">
            <v>SN0926-L</v>
          </cell>
          <cell r="B7556" t="str">
            <v>N926</v>
          </cell>
          <cell r="C7556" t="str">
            <v>ซาติน แขนสั้นขาสั้น พื้นกรม ลายม้าลาย L (กปก)</v>
          </cell>
          <cell r="E7556">
            <v>0</v>
          </cell>
          <cell r="F7556">
            <v>590</v>
          </cell>
        </row>
        <row r="7557">
          <cell r="A7557" t="str">
            <v>SN0926-M</v>
          </cell>
          <cell r="B7557" t="str">
            <v>N926</v>
          </cell>
          <cell r="C7557" t="str">
            <v>ซาติน แขนสั้นขาสั้น พื้นกรม ลายม้าลาย M (กปก)</v>
          </cell>
          <cell r="E7557">
            <v>0</v>
          </cell>
          <cell r="F7557">
            <v>790</v>
          </cell>
        </row>
        <row r="7558">
          <cell r="A7558" t="str">
            <v>SN0926-XL</v>
          </cell>
          <cell r="B7558" t="str">
            <v>N926</v>
          </cell>
          <cell r="C7558" t="str">
            <v>ซาติน แขนสั้นขาสั้น พื้นกรม ลายม้าลาย XL (กปก)</v>
          </cell>
          <cell r="E7558">
            <v>0</v>
          </cell>
          <cell r="F7558">
            <v>790</v>
          </cell>
        </row>
        <row r="7559">
          <cell r="A7559" t="str">
            <v>SN0927-2XL</v>
          </cell>
          <cell r="B7559" t="str">
            <v>N927</v>
          </cell>
          <cell r="C7559" t="str">
            <v>ซาติน แขนสั้นขาสั้น หน้าแมว พื้นดำ 2XL (กปก)</v>
          </cell>
          <cell r="E7559">
            <v>0</v>
          </cell>
          <cell r="F7559">
            <v>790</v>
          </cell>
        </row>
        <row r="7560">
          <cell r="A7560" t="str">
            <v>SN0927-3XL</v>
          </cell>
          <cell r="B7560" t="str">
            <v>N927</v>
          </cell>
          <cell r="C7560" t="str">
            <v>ซาติน แขนสั้นขาสั้น หน้าแมว พื้นดำ 3XL (กปก)</v>
          </cell>
          <cell r="E7560">
            <v>0</v>
          </cell>
          <cell r="F7560">
            <v>790</v>
          </cell>
        </row>
        <row r="7561">
          <cell r="A7561" t="str">
            <v>SN0927-L</v>
          </cell>
          <cell r="B7561" t="str">
            <v>N927</v>
          </cell>
          <cell r="C7561" t="str">
            <v>ซาติน แขนสั้นขาสั้น หน้าแมว พื้นดำ L (กปก)</v>
          </cell>
          <cell r="E7561">
            <v>0</v>
          </cell>
          <cell r="F7561">
            <v>790</v>
          </cell>
        </row>
        <row r="7562">
          <cell r="A7562" t="str">
            <v>SN0927-M</v>
          </cell>
          <cell r="B7562" t="str">
            <v>N927</v>
          </cell>
          <cell r="C7562" t="str">
            <v>ซาติน แขนสั้นขาสั้น หน้าแมว พื้นดำ M (กปก)</v>
          </cell>
          <cell r="E7562">
            <v>0</v>
          </cell>
          <cell r="F7562">
            <v>790</v>
          </cell>
        </row>
        <row r="7563">
          <cell r="A7563" t="str">
            <v>SN0927-XL</v>
          </cell>
          <cell r="B7563" t="str">
            <v>QN927</v>
          </cell>
          <cell r="C7563" t="str">
            <v>ซาติน แขนสั้นขาสั้น หน้าแมว พื้นดำ XL (กปก) QC</v>
          </cell>
          <cell r="E7563">
            <v>0</v>
          </cell>
          <cell r="F7563">
            <v>790</v>
          </cell>
        </row>
        <row r="7564">
          <cell r="A7564" t="str">
            <v>SN0936-2XL</v>
          </cell>
          <cell r="B7564" t="str">
            <v>N936</v>
          </cell>
          <cell r="C7564" t="str">
            <v>ซาติน แขนสั้นขาสั้น Balloon Cat พื้นชมพู 2XL (กปก)</v>
          </cell>
          <cell r="E7564">
            <v>0</v>
          </cell>
          <cell r="F7564">
            <v>790</v>
          </cell>
        </row>
        <row r="7565">
          <cell r="A7565" t="str">
            <v>SN0936-3XL</v>
          </cell>
          <cell r="B7565" t="str">
            <v>N936</v>
          </cell>
          <cell r="C7565" t="str">
            <v>[AG]   ซาติน แขนสั้นขาสั้น Balloon Cat พื้นชมพู 3XL (กปก)</v>
          </cell>
          <cell r="E7565">
            <v>0</v>
          </cell>
          <cell r="F7565">
            <v>790</v>
          </cell>
        </row>
        <row r="7566">
          <cell r="A7566" t="str">
            <v>SN0936-L</v>
          </cell>
          <cell r="B7566" t="str">
            <v>N936</v>
          </cell>
          <cell r="C7566" t="str">
            <v>ซาติน แขนสั้นขาสั้น Balloon Cat พื้นชมพู L (กปก)</v>
          </cell>
          <cell r="E7566">
            <v>0</v>
          </cell>
          <cell r="F7566">
            <v>790</v>
          </cell>
        </row>
        <row r="7567">
          <cell r="A7567" t="str">
            <v>SN0936-M</v>
          </cell>
          <cell r="B7567" t="str">
            <v>N936</v>
          </cell>
          <cell r="C7567" t="str">
            <v>ซาติน แขนสั้นขาสั้น Balloon Cat พื้นชมพู M (กปก)</v>
          </cell>
          <cell r="E7567">
            <v>0</v>
          </cell>
          <cell r="F7567">
            <v>790</v>
          </cell>
        </row>
        <row r="7568">
          <cell r="A7568" t="str">
            <v>SN0936-XL</v>
          </cell>
          <cell r="B7568" t="str">
            <v>N936</v>
          </cell>
          <cell r="C7568" t="str">
            <v>ซาติน แขนสั้นขาสั้น Balloon Cat พื้นชมพู XL (กปก)</v>
          </cell>
          <cell r="E7568">
            <v>0</v>
          </cell>
          <cell r="F7568">
            <v>790</v>
          </cell>
        </row>
        <row r="7569">
          <cell r="A7569" t="str">
            <v>SN0938-2XL</v>
          </cell>
          <cell r="B7569" t="str">
            <v>N938</v>
          </cell>
          <cell r="C7569" t="str">
            <v>[AB]    ซาติน แขนสั้นขาสั้น Navy Timber 2XL (กปก)</v>
          </cell>
          <cell r="E7569">
            <v>0</v>
          </cell>
          <cell r="F7569">
            <v>790</v>
          </cell>
        </row>
        <row r="7570">
          <cell r="A7570" t="str">
            <v>SN0938-3XL</v>
          </cell>
          <cell r="B7570" t="str">
            <v>N938</v>
          </cell>
          <cell r="C7570" t="str">
            <v>ซาติน แขนสั้นขาสั้น Black forest 3XL (กปก)</v>
          </cell>
          <cell r="E7570">
            <v>0</v>
          </cell>
          <cell r="F7570">
            <v>790</v>
          </cell>
        </row>
        <row r="7571">
          <cell r="A7571" t="str">
            <v>SN0938-L</v>
          </cell>
          <cell r="B7571" t="str">
            <v>N938</v>
          </cell>
          <cell r="C7571" t="str">
            <v>[AB]    ซาติน แขนสั้นขาสั้น Navy Timber L (กปก)</v>
          </cell>
          <cell r="E7571">
            <v>0</v>
          </cell>
          <cell r="F7571">
            <v>790</v>
          </cell>
        </row>
        <row r="7572">
          <cell r="A7572" t="str">
            <v>SN0938-M</v>
          </cell>
          <cell r="B7572" t="str">
            <v>N938</v>
          </cell>
          <cell r="C7572" t="str">
            <v>[AB]    ซาติน แขนสั้นขาสั้น Navy Timber M (กปก)</v>
          </cell>
          <cell r="E7572">
            <v>0</v>
          </cell>
          <cell r="F7572">
            <v>790</v>
          </cell>
        </row>
        <row r="7573">
          <cell r="A7573" t="str">
            <v>SN0938-XL</v>
          </cell>
          <cell r="B7573" t="str">
            <v>N938</v>
          </cell>
          <cell r="C7573" t="str">
            <v>[AB]     ซาติน แขนสั้นขาสั้น Navy Timber XL (กปก)</v>
          </cell>
          <cell r="E7573">
            <v>0</v>
          </cell>
          <cell r="F7573">
            <v>890</v>
          </cell>
        </row>
        <row r="7574">
          <cell r="A7574" t="str">
            <v>SN0940-2XL</v>
          </cell>
          <cell r="B7574" t="str">
            <v>N940</v>
          </cell>
          <cell r="C7574" t="str">
            <v>ซาติน แขนสั้นขาสั้น Zebra ดำ (กปก) 2XL</v>
          </cell>
          <cell r="E7574">
            <v>0</v>
          </cell>
          <cell r="F7574">
            <v>790</v>
          </cell>
        </row>
        <row r="7575">
          <cell r="A7575" t="str">
            <v>SN0940-L</v>
          </cell>
          <cell r="B7575" t="str">
            <v>N940</v>
          </cell>
          <cell r="C7575" t="str">
            <v>ซาติน แขนสั้นขาสั้น Zebra ดำ (กปก) L</v>
          </cell>
          <cell r="E7575">
            <v>0</v>
          </cell>
          <cell r="F7575">
            <v>790</v>
          </cell>
        </row>
        <row r="7576">
          <cell r="A7576" t="str">
            <v>SN0940-M</v>
          </cell>
          <cell r="B7576" t="str">
            <v>N940</v>
          </cell>
          <cell r="C7576" t="str">
            <v>ซาติน แขนสั้นขาสั้น Zebra ดำ (กปก) M</v>
          </cell>
          <cell r="E7576">
            <v>0</v>
          </cell>
          <cell r="F7576">
            <v>790</v>
          </cell>
        </row>
        <row r="7577">
          <cell r="A7577" t="str">
            <v>SN0940-XL</v>
          </cell>
          <cell r="B7577" t="str">
            <v>N940</v>
          </cell>
          <cell r="C7577" t="str">
            <v>[AM]  ซาติน แขนสั้นขาสั้น Zebra ดำ (กปก) XL</v>
          </cell>
          <cell r="E7577">
            <v>0</v>
          </cell>
          <cell r="F7577">
            <v>790</v>
          </cell>
        </row>
        <row r="7578">
          <cell r="A7578" t="str">
            <v>SN0941-2XL</v>
          </cell>
          <cell r="B7578" t="str">
            <v>N941</v>
          </cell>
          <cell r="C7578" t="str">
            <v>ซาติน แขนสั้นขาสั้น Ebony Tiger Lily 2XL (กปก)</v>
          </cell>
          <cell r="E7578">
            <v>0</v>
          </cell>
          <cell r="F7578">
            <v>790</v>
          </cell>
        </row>
        <row r="7579">
          <cell r="A7579" t="str">
            <v>SN0941-3XL</v>
          </cell>
          <cell r="B7579" t="str">
            <v>N941</v>
          </cell>
          <cell r="C7579" t="str">
            <v>[AM]  ซาติน แขนสั้นขาสั้น เกสรดอกไม้ ไฟ พื้นกรม 3XL (กปก)</v>
          </cell>
          <cell r="E7579">
            <v>0</v>
          </cell>
          <cell r="F7579">
            <v>790</v>
          </cell>
        </row>
        <row r="7580">
          <cell r="A7580" t="str">
            <v>SN0941-L</v>
          </cell>
          <cell r="B7580" t="str">
            <v>N941</v>
          </cell>
          <cell r="C7580" t="str">
            <v>ซาติน แขนสั้นขาสั้น Ebony Tiger Lily L (กปก)</v>
          </cell>
          <cell r="E7580">
            <v>0</v>
          </cell>
          <cell r="F7580">
            <v>790</v>
          </cell>
        </row>
        <row r="7581">
          <cell r="A7581" t="str">
            <v>SN0941-M</v>
          </cell>
          <cell r="B7581" t="str">
            <v>N941</v>
          </cell>
          <cell r="C7581" t="str">
            <v>ซาติน แขนสั้นขาสั้น Ebony Tiger Lily M (กปก)</v>
          </cell>
          <cell r="E7581">
            <v>0</v>
          </cell>
          <cell r="F7581">
            <v>790</v>
          </cell>
        </row>
        <row r="7582">
          <cell r="A7582" t="str">
            <v>SN0941-XL</v>
          </cell>
          <cell r="B7582" t="str">
            <v>N941</v>
          </cell>
          <cell r="C7582" t="str">
            <v>ซาติน แขนสั้นขาสั้น Ebony Tiger Lily XL (กปก)</v>
          </cell>
          <cell r="E7582">
            <v>0</v>
          </cell>
          <cell r="F7582">
            <v>790</v>
          </cell>
        </row>
        <row r="7583">
          <cell r="A7583" t="str">
            <v>SN0944-2XL</v>
          </cell>
          <cell r="B7583" t="str">
            <v>QN944</v>
          </cell>
          <cell r="C7583" t="str">
            <v>ซาติน แขนสั้นขาสั้น กวางพื้นกรม 2XL QC</v>
          </cell>
          <cell r="E7583">
            <v>0</v>
          </cell>
          <cell r="F7583">
            <v>790</v>
          </cell>
        </row>
        <row r="7584">
          <cell r="A7584" t="str">
            <v>SN0944-3XL</v>
          </cell>
          <cell r="B7584" t="str">
            <v>N944</v>
          </cell>
          <cell r="C7584" t="str">
            <v>ซาติน แขนสั้นขาสั้น กวางพื้นกรม 3XL</v>
          </cell>
          <cell r="E7584">
            <v>0</v>
          </cell>
          <cell r="F7584">
            <v>790</v>
          </cell>
        </row>
        <row r="7585">
          <cell r="A7585" t="str">
            <v>SN0944-L</v>
          </cell>
          <cell r="B7585" t="str">
            <v>N944</v>
          </cell>
          <cell r="C7585" t="str">
            <v>ซาติน แขนสั้นขาสั้น กวางพื้นกรม L</v>
          </cell>
          <cell r="E7585">
            <v>0</v>
          </cell>
          <cell r="F7585">
            <v>790</v>
          </cell>
        </row>
        <row r="7586">
          <cell r="A7586" t="str">
            <v>SN0944-M</v>
          </cell>
          <cell r="B7586" t="str">
            <v>N944</v>
          </cell>
          <cell r="C7586" t="str">
            <v>ซาติน แขนสั้นขาสั้น กวางพื้นกรม M</v>
          </cell>
          <cell r="E7586">
            <v>0</v>
          </cell>
          <cell r="F7586">
            <v>790</v>
          </cell>
        </row>
        <row r="7587">
          <cell r="A7587" t="str">
            <v>SN0944-XL</v>
          </cell>
          <cell r="B7587" t="str">
            <v>N944</v>
          </cell>
          <cell r="C7587" t="str">
            <v>ซาติน แขนสั้นขาสั้น กวางพื้นกรม XL</v>
          </cell>
          <cell r="E7587">
            <v>0</v>
          </cell>
          <cell r="F7587">
            <v>790</v>
          </cell>
        </row>
        <row r="7588">
          <cell r="A7588" t="str">
            <v>SN0947-2XL</v>
          </cell>
          <cell r="B7588" t="str">
            <v>N947</v>
          </cell>
          <cell r="C7588" t="str">
            <v>ซาติน แขนสั้นขาสั้น ลายทางฟ้า 2XL (กปก)</v>
          </cell>
          <cell r="E7588">
            <v>0</v>
          </cell>
          <cell r="F7588">
            <v>790</v>
          </cell>
        </row>
        <row r="7589">
          <cell r="A7589" t="str">
            <v>SN0947-3XL</v>
          </cell>
          <cell r="B7589" t="str">
            <v>N947</v>
          </cell>
          <cell r="C7589" t="str">
            <v>ซาติน แขนสั้นขาสั้น ลายทางฟ้า 3XL (กปก)</v>
          </cell>
          <cell r="E7589">
            <v>0</v>
          </cell>
          <cell r="F7589">
            <v>790</v>
          </cell>
        </row>
        <row r="7590">
          <cell r="A7590" t="str">
            <v>SN0947-L</v>
          </cell>
          <cell r="B7590" t="str">
            <v>N947</v>
          </cell>
          <cell r="C7590" t="str">
            <v>ซาติน แขนสั้นขาสั้น ลายทางฟ้า L (กปก)</v>
          </cell>
          <cell r="E7590">
            <v>0</v>
          </cell>
          <cell r="F7590">
            <v>790</v>
          </cell>
        </row>
        <row r="7591">
          <cell r="A7591" t="str">
            <v>SN0947-M</v>
          </cell>
          <cell r="B7591" t="str">
            <v>N947</v>
          </cell>
          <cell r="C7591" t="str">
            <v>ซาติน แขนสั้นขาสั้น ลายทางฟ้า M (กปก)</v>
          </cell>
          <cell r="E7591">
            <v>0</v>
          </cell>
          <cell r="F7591">
            <v>790</v>
          </cell>
        </row>
        <row r="7592">
          <cell r="A7592" t="str">
            <v>SN0947-XL</v>
          </cell>
          <cell r="B7592" t="str">
            <v>N947</v>
          </cell>
          <cell r="C7592" t="str">
            <v>ซาติน แขนสั้นขาสั้น ลายทางฟ้า XL (กปก)</v>
          </cell>
          <cell r="E7592">
            <v>0</v>
          </cell>
          <cell r="F7592">
            <v>790</v>
          </cell>
        </row>
        <row r="7593">
          <cell r="A7593" t="str">
            <v>SN0948-2XL</v>
          </cell>
          <cell r="B7593" t="str">
            <v>N948</v>
          </cell>
          <cell r="C7593" t="str">
            <v>ซาติน แขนสั้นขาสั้น แมวดำ พื้นชมพู 2XL (กปก)</v>
          </cell>
          <cell r="E7593">
            <v>0</v>
          </cell>
          <cell r="F7593">
            <v>790</v>
          </cell>
        </row>
        <row r="7594">
          <cell r="A7594" t="str">
            <v>SN0948-3XL</v>
          </cell>
          <cell r="B7594" t="str">
            <v>N948</v>
          </cell>
          <cell r="C7594" t="str">
            <v>ซาติน แขนสั้นขาสั้น แมวดำ พื้นชมพู 3XL (กปก)</v>
          </cell>
          <cell r="E7594">
            <v>0</v>
          </cell>
          <cell r="F7594">
            <v>790</v>
          </cell>
        </row>
        <row r="7595">
          <cell r="A7595" t="str">
            <v>SN0948-L</v>
          </cell>
          <cell r="B7595" t="str">
            <v>N948</v>
          </cell>
          <cell r="C7595" t="str">
            <v>ซาติน แขนสั้นขาสั้น แมวดำ พื้นชมพู L (กปก)</v>
          </cell>
          <cell r="E7595">
            <v>0</v>
          </cell>
          <cell r="F7595">
            <v>790</v>
          </cell>
        </row>
        <row r="7596">
          <cell r="A7596" t="str">
            <v>SN0948-M</v>
          </cell>
          <cell r="B7596" t="str">
            <v>N948</v>
          </cell>
          <cell r="C7596" t="str">
            <v>ซาติน แขนสั้นขาสั้น แมวดำ พื้นชมพู M (กปก)</v>
          </cell>
          <cell r="E7596">
            <v>0</v>
          </cell>
          <cell r="F7596">
            <v>790</v>
          </cell>
        </row>
        <row r="7597">
          <cell r="A7597" t="str">
            <v>SN0948-XL</v>
          </cell>
          <cell r="B7597" t="str">
            <v>N948</v>
          </cell>
          <cell r="C7597" t="str">
            <v>ซาติน แขนสั้นขาสั้น แมวดำ พื้นชมพู XL (กปก)</v>
          </cell>
          <cell r="E7597">
            <v>0</v>
          </cell>
          <cell r="F7597">
            <v>790</v>
          </cell>
        </row>
        <row r="7598">
          <cell r="A7598" t="str">
            <v>SN0951-L</v>
          </cell>
          <cell r="B7598" t="str">
            <v>N951</v>
          </cell>
          <cell r="C7598" t="str">
            <v>ซาติน แขนสั้นขาสั้น พื้นฟ้า ใบเมเปิ้ล L</v>
          </cell>
          <cell r="E7598">
            <v>0</v>
          </cell>
          <cell r="F7598">
            <v>790</v>
          </cell>
        </row>
        <row r="7599">
          <cell r="A7599" t="str">
            <v>SN0951-M</v>
          </cell>
          <cell r="B7599" t="str">
            <v>N951</v>
          </cell>
          <cell r="C7599" t="str">
            <v>ซาติน แขนสั้นขาสั้น พื้นฟ้า ใบเมเปิ้ล M</v>
          </cell>
          <cell r="E7599">
            <v>0</v>
          </cell>
          <cell r="F7599">
            <v>790</v>
          </cell>
        </row>
        <row r="7600">
          <cell r="A7600" t="str">
            <v>SN0952-L</v>
          </cell>
          <cell r="B7600" t="str">
            <v>N952</v>
          </cell>
          <cell r="C7600" t="str">
            <v>ซาติน แขนสั้นขาสั้น Blueberry ลายทาง L</v>
          </cell>
          <cell r="E7600">
            <v>0</v>
          </cell>
          <cell r="F7600">
            <v>790</v>
          </cell>
        </row>
        <row r="7601">
          <cell r="A7601" t="str">
            <v>SN0952-M</v>
          </cell>
          <cell r="B7601" t="str">
            <v>N952</v>
          </cell>
          <cell r="C7601" t="str">
            <v>ซาติน แขนสั้นขาสั้น Blueberry ลายทาง M</v>
          </cell>
          <cell r="E7601">
            <v>0</v>
          </cell>
          <cell r="F7601">
            <v>790</v>
          </cell>
        </row>
        <row r="7602">
          <cell r="A7602" t="str">
            <v>SN0963-2XL</v>
          </cell>
          <cell r="B7602" t="str">
            <v>N963</v>
          </cell>
          <cell r="C7602" t="str">
            <v>ซาติน แขนสั้นขาสั้น เทพีผมม่วง 2XL</v>
          </cell>
          <cell r="E7602">
            <v>0</v>
          </cell>
          <cell r="F7602">
            <v>790</v>
          </cell>
        </row>
        <row r="7603">
          <cell r="A7603" t="str">
            <v>SN0963-L</v>
          </cell>
          <cell r="B7603" t="str">
            <v>N963</v>
          </cell>
          <cell r="C7603" t="str">
            <v>ซาติน แขนสั้นขาสั้น เทพีผมม่วง L</v>
          </cell>
          <cell r="E7603">
            <v>0</v>
          </cell>
          <cell r="F7603">
            <v>790</v>
          </cell>
        </row>
        <row r="7604">
          <cell r="A7604" t="str">
            <v>SN0963-M</v>
          </cell>
          <cell r="B7604" t="str">
            <v>QN963</v>
          </cell>
          <cell r="C7604" t="str">
            <v>ซาติน แขนสั้นขาสั้น เทพีผมม่วง M QC</v>
          </cell>
          <cell r="E7604">
            <v>0</v>
          </cell>
          <cell r="F7604">
            <v>790</v>
          </cell>
        </row>
        <row r="7605">
          <cell r="A7605" t="str">
            <v>SN0963-XL</v>
          </cell>
          <cell r="B7605" t="str">
            <v>N963</v>
          </cell>
          <cell r="C7605" t="str">
            <v>ซาติน แขนสั้นขาสั้น เทพีผมม่วง XL</v>
          </cell>
          <cell r="E7605">
            <v>0</v>
          </cell>
          <cell r="F7605">
            <v>790</v>
          </cell>
        </row>
        <row r="7606">
          <cell r="A7606" t="str">
            <v>SN0970-2XL</v>
          </cell>
          <cell r="B7606" t="str">
            <v>N970</v>
          </cell>
          <cell r="C7606" t="str">
            <v>ซาติน แขนสั้นขาสั้น น้องหมี ลายทาง ฟ้าขาว 2XL</v>
          </cell>
          <cell r="E7606">
            <v>0</v>
          </cell>
          <cell r="F7606">
            <v>790</v>
          </cell>
        </row>
        <row r="7607">
          <cell r="A7607" t="str">
            <v>SN0970-3XL</v>
          </cell>
          <cell r="B7607" t="str">
            <v>N970</v>
          </cell>
          <cell r="C7607" t="str">
            <v>ซาติน แขนสั้นขาสั้น น้องหมี ลายทาง ฟ้าขาว 3XL</v>
          </cell>
          <cell r="E7607">
            <v>0</v>
          </cell>
          <cell r="F7607">
            <v>790</v>
          </cell>
        </row>
        <row r="7608">
          <cell r="A7608" t="str">
            <v>SN0970-L</v>
          </cell>
          <cell r="B7608" t="str">
            <v>N970</v>
          </cell>
          <cell r="C7608" t="str">
            <v>ซาติน แขนสั้นขาสั้น น้องหมี ลายทาง ฟ้าขาว L</v>
          </cell>
          <cell r="E7608">
            <v>0</v>
          </cell>
          <cell r="F7608">
            <v>790</v>
          </cell>
        </row>
        <row r="7609">
          <cell r="A7609" t="str">
            <v>SN0970-M</v>
          </cell>
          <cell r="B7609" t="str">
            <v>N970</v>
          </cell>
          <cell r="C7609" t="str">
            <v>ซาติน แขนสั้นขาสั้น น้องหมี ลายทาง ฟ้าขาว M</v>
          </cell>
          <cell r="E7609">
            <v>0</v>
          </cell>
          <cell r="F7609">
            <v>790</v>
          </cell>
        </row>
        <row r="7610">
          <cell r="A7610" t="str">
            <v>SN0970-XL</v>
          </cell>
          <cell r="B7610" t="str">
            <v>N970</v>
          </cell>
          <cell r="C7610" t="str">
            <v>ซาติน แขนสั้นขาสั้น น้องหมี ลายทาง ฟ้าขาว XL</v>
          </cell>
          <cell r="E7610">
            <v>0</v>
          </cell>
          <cell r="F7610">
            <v>790</v>
          </cell>
        </row>
        <row r="7611">
          <cell r="A7611" t="str">
            <v>SN0971-2XL</v>
          </cell>
          <cell r="B7611" t="str">
            <v>N971</v>
          </cell>
          <cell r="C7611" t="str">
            <v>ซาติน แขนสั้นขาสั้น Cute Rabbit 2XL</v>
          </cell>
          <cell r="E7611">
            <v>0</v>
          </cell>
          <cell r="F7611">
            <v>790</v>
          </cell>
        </row>
        <row r="7612">
          <cell r="A7612" t="str">
            <v>SN0971-3XL</v>
          </cell>
          <cell r="B7612" t="str">
            <v>N971</v>
          </cell>
          <cell r="C7612" t="str">
            <v>ซาติน แขนสั้นขาสั้น Cute Rabbit 3XL</v>
          </cell>
          <cell r="E7612">
            <v>0</v>
          </cell>
          <cell r="F7612">
            <v>790</v>
          </cell>
        </row>
        <row r="7613">
          <cell r="A7613" t="str">
            <v>SN0971-L</v>
          </cell>
          <cell r="B7613" t="str">
            <v>N971</v>
          </cell>
          <cell r="C7613" t="str">
            <v>ซาติน แขนสั้นขาสั้น Cute Rabbit L</v>
          </cell>
          <cell r="E7613">
            <v>0</v>
          </cell>
          <cell r="F7613">
            <v>790</v>
          </cell>
        </row>
        <row r="7614">
          <cell r="A7614" t="str">
            <v>SN0971-M</v>
          </cell>
          <cell r="B7614" t="str">
            <v>N971</v>
          </cell>
          <cell r="C7614" t="str">
            <v>ซาติน แขนสั้นขาสั้น Cute Rabbit M</v>
          </cell>
          <cell r="E7614">
            <v>0</v>
          </cell>
          <cell r="F7614">
            <v>790</v>
          </cell>
        </row>
        <row r="7615">
          <cell r="A7615" t="str">
            <v>SN0971-XL</v>
          </cell>
          <cell r="B7615" t="str">
            <v>N971</v>
          </cell>
          <cell r="C7615" t="str">
            <v>ซาติน แขนสั้นขาสั้น Cute Rabbit XL</v>
          </cell>
          <cell r="E7615">
            <v>0</v>
          </cell>
          <cell r="F7615">
            <v>790</v>
          </cell>
        </row>
        <row r="7616">
          <cell r="A7616" t="str">
            <v>SN0972-2XL</v>
          </cell>
          <cell r="B7616" t="str">
            <v>N972</v>
          </cell>
          <cell r="C7616" t="str">
            <v>ซาติน แขนสั้นขาสั้น สุนัขรวม พื้นครีม 2XL</v>
          </cell>
          <cell r="E7616">
            <v>0</v>
          </cell>
          <cell r="F7616">
            <v>790</v>
          </cell>
        </row>
        <row r="7617">
          <cell r="A7617" t="str">
            <v>SN0972-3XL</v>
          </cell>
          <cell r="B7617" t="str">
            <v>N972</v>
          </cell>
          <cell r="C7617" t="str">
            <v>ซาติน แขนสั้นขาสั้น สุนัขรวม พื้นครีม 3XL</v>
          </cell>
          <cell r="E7617">
            <v>0</v>
          </cell>
          <cell r="F7617">
            <v>790</v>
          </cell>
        </row>
        <row r="7618">
          <cell r="A7618" t="str">
            <v>SN0972-L</v>
          </cell>
          <cell r="B7618" t="str">
            <v>N972</v>
          </cell>
          <cell r="C7618" t="str">
            <v>ซาติน แขนสั้นขาสั้น สุนัขรวม พื้นครีม L</v>
          </cell>
          <cell r="E7618">
            <v>0</v>
          </cell>
          <cell r="F7618">
            <v>790</v>
          </cell>
        </row>
        <row r="7619">
          <cell r="A7619" t="str">
            <v>SN0972-M</v>
          </cell>
          <cell r="B7619" t="str">
            <v>N972</v>
          </cell>
          <cell r="C7619" t="str">
            <v>ซาติน แขนสั้นขาสั้น สุนัขรวม พื้นครีม M</v>
          </cell>
          <cell r="E7619">
            <v>0</v>
          </cell>
          <cell r="F7619">
            <v>790</v>
          </cell>
        </row>
        <row r="7620">
          <cell r="A7620" t="str">
            <v>SN0972-XL</v>
          </cell>
          <cell r="B7620" t="str">
            <v>N972</v>
          </cell>
          <cell r="C7620" t="str">
            <v>ซาติน แขนสั้นขาสั้น สุนัขรวม พื้นครีม XL</v>
          </cell>
          <cell r="E7620">
            <v>0</v>
          </cell>
          <cell r="F7620">
            <v>790</v>
          </cell>
        </row>
        <row r="7621">
          <cell r="A7621" t="str">
            <v>SN0973-2XL</v>
          </cell>
          <cell r="B7621" t="str">
            <v>N973</v>
          </cell>
          <cell r="C7621" t="str">
            <v>ซาติน แขนสั้นขาสั้น Rabbit Flower พื้นขาว 2XL (กปก)</v>
          </cell>
          <cell r="E7621">
            <v>0</v>
          </cell>
          <cell r="F7621">
            <v>790</v>
          </cell>
        </row>
        <row r="7622">
          <cell r="A7622" t="str">
            <v>SN0973-3XL</v>
          </cell>
          <cell r="B7622" t="str">
            <v>N973</v>
          </cell>
          <cell r="C7622" t="str">
            <v>ซาติน แขนสั้นขาสั้น Rabbit Flower พื้นขาว 3XL (กปก)</v>
          </cell>
          <cell r="E7622">
            <v>0</v>
          </cell>
          <cell r="F7622">
            <v>790</v>
          </cell>
        </row>
        <row r="7623">
          <cell r="A7623" t="str">
            <v>SN0973-L</v>
          </cell>
          <cell r="B7623" t="str">
            <v>N973</v>
          </cell>
          <cell r="C7623" t="str">
            <v>ซาติน แขนสั้นขาสั้น Rabbit Flower พื้นขาว L (กปก)</v>
          </cell>
          <cell r="E7623">
            <v>0</v>
          </cell>
          <cell r="F7623">
            <v>590</v>
          </cell>
        </row>
        <row r="7624">
          <cell r="A7624" t="str">
            <v>SN0973-M</v>
          </cell>
          <cell r="B7624" t="str">
            <v>N973</v>
          </cell>
          <cell r="C7624" t="str">
            <v>ซาติน แขนสั้นขาสั้น Rabbit Flower พื้นขาว M (กปก)</v>
          </cell>
          <cell r="E7624">
            <v>0</v>
          </cell>
          <cell r="F7624">
            <v>790</v>
          </cell>
        </row>
        <row r="7625">
          <cell r="A7625" t="str">
            <v>SN0973-XL</v>
          </cell>
          <cell r="B7625" t="str">
            <v>QN973</v>
          </cell>
          <cell r="C7625" t="str">
            <v>ซาติน แขนสั้นขาสั้น Rabbit Flower พื้นขาว XL (กปก) QC</v>
          </cell>
          <cell r="E7625">
            <v>0</v>
          </cell>
          <cell r="F7625">
            <v>790</v>
          </cell>
        </row>
        <row r="7626">
          <cell r="A7626" t="str">
            <v>SN0975-L</v>
          </cell>
          <cell r="B7626" t="str">
            <v>N975</v>
          </cell>
          <cell r="C7626" t="str">
            <v>ซาติน แขนสั้นขาสั้น หัวใจขาว พื้นฟ้า L</v>
          </cell>
          <cell r="E7626">
            <v>0</v>
          </cell>
          <cell r="F7626">
            <v>790</v>
          </cell>
        </row>
        <row r="7627">
          <cell r="A7627" t="str">
            <v>SN0975-M</v>
          </cell>
          <cell r="B7627" t="str">
            <v>N975</v>
          </cell>
          <cell r="C7627" t="str">
            <v>ซาติน แขนสั้นขาสั้น หัวใจขาว พื้นฟ้า M</v>
          </cell>
          <cell r="E7627">
            <v>0</v>
          </cell>
          <cell r="F7627">
            <v>790</v>
          </cell>
        </row>
        <row r="7628">
          <cell r="A7628" t="str">
            <v>SN0978-2XL</v>
          </cell>
          <cell r="B7628" t="str">
            <v>N978</v>
          </cell>
          <cell r="C7628" t="str">
            <v>ซาติน แขนสั้นขาสั้น กล้วยไม้น้ำตาล 2XL (กปก)</v>
          </cell>
          <cell r="E7628">
            <v>0</v>
          </cell>
          <cell r="F7628">
            <v>790</v>
          </cell>
        </row>
        <row r="7629">
          <cell r="A7629" t="str">
            <v>SN0978-3XL</v>
          </cell>
          <cell r="B7629" t="str">
            <v>N978</v>
          </cell>
          <cell r="C7629" t="str">
            <v>ซาติน แขนสั้นขาสั้น กล้วยไม้น้ำตาล 3XL (กปก)</v>
          </cell>
          <cell r="E7629">
            <v>0</v>
          </cell>
          <cell r="F7629">
            <v>790</v>
          </cell>
        </row>
        <row r="7630">
          <cell r="A7630" t="str">
            <v>SN0978-L</v>
          </cell>
          <cell r="B7630" t="str">
            <v>QN978</v>
          </cell>
          <cell r="C7630" t="str">
            <v>ซาติน แขนสั้นขาสั้น กล้วยไม้น้ำตาล L (กปก) QC</v>
          </cell>
          <cell r="E7630">
            <v>0</v>
          </cell>
          <cell r="F7630">
            <v>790</v>
          </cell>
        </row>
        <row r="7631">
          <cell r="A7631" t="str">
            <v>SN0978-M</v>
          </cell>
          <cell r="B7631" t="str">
            <v>N978</v>
          </cell>
          <cell r="C7631" t="str">
            <v>ซาติน แขนสั้นขาสั้น กล้วยไม้น้ำตาล M (กปก)</v>
          </cell>
          <cell r="E7631">
            <v>0</v>
          </cell>
          <cell r="F7631">
            <v>790</v>
          </cell>
        </row>
        <row r="7632">
          <cell r="A7632" t="str">
            <v>SN0978-XL</v>
          </cell>
          <cell r="B7632" t="str">
            <v>N978</v>
          </cell>
          <cell r="C7632" t="str">
            <v>ซาติน แขนสั้นขาสั้น กล้วยไม้น้ำตาล XL (กปก)</v>
          </cell>
          <cell r="E7632">
            <v>0</v>
          </cell>
          <cell r="F7632">
            <v>790</v>
          </cell>
        </row>
        <row r="7633">
          <cell r="A7633" t="str">
            <v>SN0979-2XL</v>
          </cell>
          <cell r="B7633" t="str">
            <v>N979</v>
          </cell>
          <cell r="C7633" t="str">
            <v>ซาติน แขนสั้นขาสั้น ม้าลาย น้ำตาล (กปก) 2XL</v>
          </cell>
          <cell r="E7633">
            <v>0</v>
          </cell>
          <cell r="F7633">
            <v>790</v>
          </cell>
        </row>
        <row r="7634">
          <cell r="A7634" t="str">
            <v>SN0979-L</v>
          </cell>
          <cell r="B7634" t="str">
            <v>N979</v>
          </cell>
          <cell r="C7634" t="str">
            <v>ซาติน แขนสั้นขาสั้น ม้าลาย น้ำตาล (กปก) L</v>
          </cell>
          <cell r="E7634">
            <v>0</v>
          </cell>
          <cell r="F7634">
            <v>0</v>
          </cell>
        </row>
        <row r="7635">
          <cell r="A7635" t="str">
            <v>SN0979-M</v>
          </cell>
          <cell r="B7635" t="str">
            <v>N979</v>
          </cell>
          <cell r="C7635" t="str">
            <v>[AC]  ซาติน แขนสั้นขาสั้น ม้าลาย น้ำตาล (กปก) M</v>
          </cell>
          <cell r="E7635">
            <v>0</v>
          </cell>
          <cell r="F7635">
            <v>790</v>
          </cell>
        </row>
        <row r="7636">
          <cell r="A7636" t="str">
            <v>SN0979-XL</v>
          </cell>
          <cell r="B7636" t="str">
            <v>N979</v>
          </cell>
          <cell r="C7636" t="str">
            <v>ซาติน แขนสั้นขาสั้น ม้าลาย น้ำตาล (กปก) XL</v>
          </cell>
          <cell r="E7636">
            <v>0</v>
          </cell>
          <cell r="F7636">
            <v>790</v>
          </cell>
        </row>
        <row r="7637">
          <cell r="A7637" t="str">
            <v>SN0983-L</v>
          </cell>
          <cell r="B7637" t="str">
            <v>N983</v>
          </cell>
          <cell r="C7637" t="str">
            <v>ซาติน แขนสั้นขาสั้น กระเป๋าหมา ปกเขียว พื้นครีม L</v>
          </cell>
          <cell r="E7637">
            <v>0</v>
          </cell>
          <cell r="F7637">
            <v>790</v>
          </cell>
        </row>
        <row r="7638">
          <cell r="A7638" t="str">
            <v>SN0983-M</v>
          </cell>
          <cell r="B7638" t="str">
            <v>N983</v>
          </cell>
          <cell r="C7638" t="str">
            <v>ซาติน แขนสั้นขาสั้น กระเป๋าหมา ปกเขียว พื้นครีม M</v>
          </cell>
          <cell r="E7638">
            <v>0</v>
          </cell>
          <cell r="F7638">
            <v>790</v>
          </cell>
        </row>
        <row r="7639">
          <cell r="A7639" t="str">
            <v>SN0984-L</v>
          </cell>
          <cell r="B7639" t="str">
            <v>N984</v>
          </cell>
          <cell r="C7639" t="str">
            <v>ซาติน แขนสั้นขาสั้น กระเป๋าหมา ปกชมพู พื้นครีม L</v>
          </cell>
          <cell r="E7639">
            <v>0</v>
          </cell>
          <cell r="F7639">
            <v>790</v>
          </cell>
        </row>
        <row r="7640">
          <cell r="A7640" t="str">
            <v>SN0984-M</v>
          </cell>
          <cell r="B7640" t="str">
            <v>N984</v>
          </cell>
          <cell r="C7640" t="str">
            <v>ซาติน แขนสั้นขาสั้น กระเป๋าหมา ปกชมพู พื้นครีม M</v>
          </cell>
          <cell r="E7640">
            <v>0</v>
          </cell>
          <cell r="F7640">
            <v>790</v>
          </cell>
        </row>
        <row r="7641">
          <cell r="A7641" t="str">
            <v>SN0985-L</v>
          </cell>
          <cell r="B7641" t="str">
            <v>N985</v>
          </cell>
          <cell r="C7641" t="str">
            <v>ซาติน แขนสั้นขาสั้น กระเป๋าหมา ปกเสื้อกรม พื้นขาว L</v>
          </cell>
          <cell r="E7641">
            <v>0</v>
          </cell>
          <cell r="F7641">
            <v>790</v>
          </cell>
        </row>
        <row r="7642">
          <cell r="A7642" t="str">
            <v>SN0985-M</v>
          </cell>
          <cell r="B7642" t="str">
            <v>N985</v>
          </cell>
          <cell r="C7642" t="str">
            <v>ซาติน แขนสั้นขาสั้น กระเป๋าหมา ปกเสื้อกรม พื้นขาว M</v>
          </cell>
          <cell r="E7642">
            <v>0</v>
          </cell>
          <cell r="F7642">
            <v>790</v>
          </cell>
        </row>
        <row r="7643">
          <cell r="A7643" t="str">
            <v>SN0986-2XL</v>
          </cell>
          <cell r="B7643" t="str">
            <v>N986</v>
          </cell>
          <cell r="C7643" t="str">
            <v>ซาติน แขนสั้นขาสั้น ชมพู พื้นครีม ขอบเขียว 2XL</v>
          </cell>
          <cell r="E7643">
            <v>0</v>
          </cell>
          <cell r="F7643">
            <v>790</v>
          </cell>
        </row>
        <row r="7644">
          <cell r="A7644" t="str">
            <v>SN0986-3XL</v>
          </cell>
          <cell r="B7644" t="str">
            <v>N986</v>
          </cell>
          <cell r="C7644" t="str">
            <v>ซาติน แขนสั้นขาสั้น ชมพู พื้นครีม ขอบเขียว 3XL</v>
          </cell>
          <cell r="E7644">
            <v>0</v>
          </cell>
          <cell r="F7644">
            <v>790</v>
          </cell>
        </row>
        <row r="7645">
          <cell r="A7645" t="str">
            <v>SN0986-L</v>
          </cell>
          <cell r="B7645" t="str">
            <v>N986</v>
          </cell>
          <cell r="C7645" t="str">
            <v>ซาติน แขนสั้นขาสั้น ชมพู พื้นครีม ขอบเขียว L</v>
          </cell>
          <cell r="E7645">
            <v>0</v>
          </cell>
          <cell r="F7645">
            <v>790</v>
          </cell>
        </row>
        <row r="7646">
          <cell r="A7646" t="str">
            <v>SN0986-M</v>
          </cell>
          <cell r="B7646" t="str">
            <v>QN986</v>
          </cell>
          <cell r="C7646" t="str">
            <v>ซาติน แขนสั้นขาสั้น ชมพู พื้นครีม ขอบเขียว M QC</v>
          </cell>
          <cell r="E7646">
            <v>0</v>
          </cell>
          <cell r="F7646">
            <v>790</v>
          </cell>
        </row>
        <row r="7647">
          <cell r="A7647" t="str">
            <v>SN0986-XL</v>
          </cell>
          <cell r="B7647" t="str">
            <v>N986</v>
          </cell>
          <cell r="C7647" t="str">
            <v>ซาติน แขนสั้นขาสั้น ชมพู พื้นครีม ขอบเขียว XL</v>
          </cell>
          <cell r="E7647">
            <v>0</v>
          </cell>
          <cell r="F7647">
            <v>790</v>
          </cell>
        </row>
        <row r="7648">
          <cell r="A7648" t="str">
            <v>SN0987-2XL</v>
          </cell>
          <cell r="B7648" t="str">
            <v>N987</v>
          </cell>
          <cell r="C7648" t="str">
            <v>ซาติน แขนสั้นขาสั้น น้องแมวพื้นเขียว 2XL</v>
          </cell>
          <cell r="E7648">
            <v>0</v>
          </cell>
          <cell r="F7648">
            <v>790</v>
          </cell>
        </row>
        <row r="7649">
          <cell r="A7649" t="str">
            <v>SN0987-L</v>
          </cell>
          <cell r="B7649" t="str">
            <v>N987</v>
          </cell>
          <cell r="C7649" t="str">
            <v>ซาติน แขนสั้นขาสั้น น้องแมวพื้นเขียว L</v>
          </cell>
          <cell r="E7649">
            <v>0</v>
          </cell>
          <cell r="F7649">
            <v>790</v>
          </cell>
        </row>
        <row r="7650">
          <cell r="A7650" t="str">
            <v>SN0987-M</v>
          </cell>
          <cell r="B7650" t="str">
            <v>N987</v>
          </cell>
          <cell r="C7650" t="str">
            <v>ซาติน แขนสั้นขาสั้น น้องแมวพื้นเขียว M</v>
          </cell>
          <cell r="E7650">
            <v>0</v>
          </cell>
          <cell r="F7650">
            <v>790</v>
          </cell>
        </row>
        <row r="7651">
          <cell r="A7651" t="str">
            <v>SN0987-XL</v>
          </cell>
          <cell r="B7651" t="str">
            <v>N987</v>
          </cell>
          <cell r="C7651" t="str">
            <v>ซาติน แขนสั้นขาสั้น น้องแมวพื้นเขียว XL</v>
          </cell>
          <cell r="E7651">
            <v>0</v>
          </cell>
          <cell r="F7651">
            <v>790</v>
          </cell>
        </row>
        <row r="7652">
          <cell r="A7652" t="str">
            <v>SN0989-2XL</v>
          </cell>
          <cell r="B7652" t="str">
            <v>N989</v>
          </cell>
          <cell r="C7652" t="str">
            <v>ซาติน แขนสั้นขาสั้น เสือดาว พื้นขาว ขอบแดง 2XL (กปก)</v>
          </cell>
          <cell r="E7652">
            <v>0</v>
          </cell>
          <cell r="F7652">
            <v>790</v>
          </cell>
        </row>
        <row r="7653">
          <cell r="A7653" t="str">
            <v>SN0989-L</v>
          </cell>
          <cell r="B7653" t="str">
            <v>N989</v>
          </cell>
          <cell r="C7653" t="str">
            <v>ซาติน แขนสั้นขาสั้น เสือดาว พื้นขาว ขอบแดง L (กปก)</v>
          </cell>
          <cell r="E7653">
            <v>0</v>
          </cell>
          <cell r="F7653">
            <v>790</v>
          </cell>
        </row>
        <row r="7654">
          <cell r="A7654" t="str">
            <v>SN0989-M</v>
          </cell>
          <cell r="B7654" t="str">
            <v>N989</v>
          </cell>
          <cell r="C7654" t="str">
            <v>ซาติน แขนสั้นขาสั้น เสือดาว พื้นขาว ขอบแดง M (กปก)</v>
          </cell>
          <cell r="E7654">
            <v>0</v>
          </cell>
          <cell r="F7654">
            <v>790</v>
          </cell>
        </row>
        <row r="7655">
          <cell r="A7655" t="str">
            <v>SN0989-XL</v>
          </cell>
          <cell r="B7655" t="str">
            <v>N989</v>
          </cell>
          <cell r="C7655" t="str">
            <v>ซาติน แขนสั้นขาสั้น เสือดาว พื้นขาว ขอบแดง XL (กปก)</v>
          </cell>
          <cell r="E7655">
            <v>0</v>
          </cell>
          <cell r="F7655">
            <v>790</v>
          </cell>
        </row>
        <row r="7656">
          <cell r="A7656" t="str">
            <v>SN0992-2XL</v>
          </cell>
          <cell r="B7656" t="str">
            <v>N992</v>
          </cell>
          <cell r="C7656" t="str">
            <v>ซาติน แขนสั้นขาสั้น Colorful พื้นครีม ชมพู 2XL</v>
          </cell>
          <cell r="E7656">
            <v>0</v>
          </cell>
          <cell r="F7656">
            <v>790</v>
          </cell>
        </row>
        <row r="7657">
          <cell r="A7657" t="str">
            <v>SN0992-L</v>
          </cell>
          <cell r="B7657" t="str">
            <v>N992</v>
          </cell>
          <cell r="C7657" t="str">
            <v>[AK]   ซาติน แขนสั้นขาสั้น Colorful พื้นครีม ชมพู L</v>
          </cell>
          <cell r="E7657">
            <v>0</v>
          </cell>
          <cell r="F7657">
            <v>790</v>
          </cell>
        </row>
        <row r="7658">
          <cell r="A7658" t="str">
            <v>SN0992-M</v>
          </cell>
          <cell r="B7658" t="str">
            <v>N992</v>
          </cell>
          <cell r="C7658" t="str">
            <v>ซาติน แขนสั้นขาสั้น Colorful พื้นครีม ชมพู M</v>
          </cell>
          <cell r="E7658">
            <v>0</v>
          </cell>
          <cell r="F7658">
            <v>790</v>
          </cell>
        </row>
        <row r="7659">
          <cell r="A7659" t="str">
            <v>SN0992-XL</v>
          </cell>
          <cell r="B7659" t="str">
            <v>N992</v>
          </cell>
          <cell r="C7659" t="str">
            <v>[AK]    ซาติน แขนสั้นขาสั้น Colorful พื้นครีม ชมพู XL</v>
          </cell>
          <cell r="E7659">
            <v>0</v>
          </cell>
          <cell r="F7659">
            <v>790</v>
          </cell>
        </row>
        <row r="7660">
          <cell r="A7660" t="str">
            <v>SN0993-2XL</v>
          </cell>
          <cell r="B7660" t="str">
            <v>N993</v>
          </cell>
          <cell r="C7660" t="str">
            <v>ซาติน แขนสั้นขาสั้น Colorful พื้นชมพู ครีม 2XL</v>
          </cell>
          <cell r="E7660">
            <v>0</v>
          </cell>
          <cell r="F7660">
            <v>790</v>
          </cell>
        </row>
        <row r="7661">
          <cell r="A7661" t="str">
            <v>SN0993-L</v>
          </cell>
          <cell r="B7661" t="str">
            <v>N993</v>
          </cell>
          <cell r="C7661" t="str">
            <v>ซาติน แขนสั้นขาสั้น Colorful พื้นชมพู ครีม L</v>
          </cell>
          <cell r="E7661">
            <v>0</v>
          </cell>
          <cell r="F7661">
            <v>790</v>
          </cell>
        </row>
        <row r="7662">
          <cell r="A7662" t="str">
            <v>SN0993-M</v>
          </cell>
          <cell r="B7662" t="str">
            <v>N993</v>
          </cell>
          <cell r="C7662" t="str">
            <v>ซาติน แขนสั้นขาสั้น Colorful พื้นชมพู ครีม M</v>
          </cell>
          <cell r="E7662">
            <v>0</v>
          </cell>
          <cell r="F7662">
            <v>790</v>
          </cell>
        </row>
        <row r="7663">
          <cell r="A7663" t="str">
            <v>SN0993-XL</v>
          </cell>
          <cell r="B7663" t="str">
            <v>N993</v>
          </cell>
          <cell r="C7663" t="str">
            <v>[AL]  ซาติน แขนสั้นขาสั้น Colorful พื้นชมพู ครีม XL</v>
          </cell>
          <cell r="E7663">
            <v>0</v>
          </cell>
          <cell r="F7663">
            <v>790</v>
          </cell>
        </row>
        <row r="7664">
          <cell r="A7664" t="str">
            <v>SN0999-2XL</v>
          </cell>
          <cell r="B7664" t="str">
            <v>N999</v>
          </cell>
          <cell r="C7664" t="str">
            <v>ซาติน แขนสั้นขาสั้น รวมสัตว์ พื้นฟ้า 2XL (กปก)</v>
          </cell>
          <cell r="E7664">
            <v>0</v>
          </cell>
          <cell r="F7664">
            <v>790</v>
          </cell>
        </row>
        <row r="7665">
          <cell r="A7665" t="str">
            <v>SN0999-L</v>
          </cell>
          <cell r="B7665" t="str">
            <v>N999</v>
          </cell>
          <cell r="C7665" t="str">
            <v>ซาติน แขนสั้นขาสั้น รวมสัตว์ พื้นฟ้า L (กปก)</v>
          </cell>
          <cell r="E7665">
            <v>0</v>
          </cell>
          <cell r="F7665">
            <v>790</v>
          </cell>
        </row>
        <row r="7666">
          <cell r="A7666" t="str">
            <v>SN0999-M</v>
          </cell>
          <cell r="B7666" t="str">
            <v>N999</v>
          </cell>
          <cell r="C7666" t="str">
            <v>ซาติน แขนสั้นขาสั้น รวมสัตว์ พื้นฟ้า M (กปก)</v>
          </cell>
          <cell r="E7666">
            <v>0</v>
          </cell>
          <cell r="F7666">
            <v>590</v>
          </cell>
        </row>
        <row r="7667">
          <cell r="A7667" t="str">
            <v>SN0999-XL</v>
          </cell>
          <cell r="B7667" t="str">
            <v>N999</v>
          </cell>
          <cell r="C7667" t="str">
            <v>ซาติน แขนสั้นขาสั้น รวมสัตว์ พื้นฟ้า XL (กปก)</v>
          </cell>
          <cell r="E7667">
            <v>0</v>
          </cell>
          <cell r="F7667">
            <v>790</v>
          </cell>
        </row>
        <row r="7668">
          <cell r="A7668" t="str">
            <v>SN1000-2XL</v>
          </cell>
          <cell r="B7668" t="str">
            <v>N1000</v>
          </cell>
          <cell r="C7668" t="str">
            <v>ซาติน แขนสั้นขาสั้น หมีรวม พื้นครีม 2XL (กปก)</v>
          </cell>
          <cell r="E7668">
            <v>0</v>
          </cell>
          <cell r="F7668">
            <v>790</v>
          </cell>
        </row>
        <row r="7669">
          <cell r="A7669" t="str">
            <v>SN1000-L</v>
          </cell>
          <cell r="B7669" t="str">
            <v>N1000</v>
          </cell>
          <cell r="C7669" t="str">
            <v>ซาติน แขนสั้นขาสั้น หมีรวม พื้นครีม L (กปก)</v>
          </cell>
          <cell r="E7669">
            <v>0</v>
          </cell>
          <cell r="F7669">
            <v>790</v>
          </cell>
        </row>
        <row r="7670">
          <cell r="A7670" t="str">
            <v>SN1000-M</v>
          </cell>
          <cell r="B7670" t="str">
            <v>QN1000</v>
          </cell>
          <cell r="C7670" t="str">
            <v>ซาติน แขนสั้นขาสั้น หมีรวม พื้นครีม M (กปก) QC</v>
          </cell>
          <cell r="E7670">
            <v>0</v>
          </cell>
          <cell r="F7670">
            <v>790</v>
          </cell>
        </row>
        <row r="7671">
          <cell r="A7671" t="str">
            <v>SN1000-XL</v>
          </cell>
          <cell r="B7671" t="str">
            <v>N1000</v>
          </cell>
          <cell r="C7671" t="str">
            <v>ซาติน แขนสั้นขาสั้น หมีรวม พื้นครีม XL (กปก)</v>
          </cell>
          <cell r="E7671">
            <v>0</v>
          </cell>
          <cell r="F7671">
            <v>790</v>
          </cell>
        </row>
        <row r="7672">
          <cell r="A7672" t="str">
            <v>SN1001-2XL</v>
          </cell>
          <cell r="B7672" t="str">
            <v>N1001</v>
          </cell>
          <cell r="C7672" t="str">
            <v>ซาติน แขนสั้นขาสั้น บัวชมพู พื้นม่วง 2XL</v>
          </cell>
          <cell r="E7672">
            <v>0</v>
          </cell>
          <cell r="F7672">
            <v>790</v>
          </cell>
        </row>
        <row r="7673">
          <cell r="A7673" t="str">
            <v>SN1001-L</v>
          </cell>
          <cell r="B7673" t="str">
            <v>QN1001</v>
          </cell>
          <cell r="C7673" t="str">
            <v>ซาติน แขนสั้นขาสั้น บัวชมพู พื้นม่วง L QC</v>
          </cell>
          <cell r="E7673">
            <v>0</v>
          </cell>
          <cell r="F7673">
            <v>790</v>
          </cell>
        </row>
        <row r="7674">
          <cell r="A7674" t="str">
            <v>SN1001-M</v>
          </cell>
          <cell r="B7674" t="str">
            <v>N1001</v>
          </cell>
          <cell r="C7674" t="str">
            <v>ซาติน แขนสั้นขาสั้น บัวชมพู พื้นม่วง M</v>
          </cell>
          <cell r="E7674">
            <v>0</v>
          </cell>
          <cell r="F7674">
            <v>790</v>
          </cell>
        </row>
        <row r="7675">
          <cell r="A7675" t="str">
            <v>SN1001-XL</v>
          </cell>
          <cell r="B7675" t="str">
            <v>QN1001</v>
          </cell>
          <cell r="C7675" t="str">
            <v>ซาติน แขนสั้นขาสั้น บัวชมพู พื้นม่วง XL QC</v>
          </cell>
          <cell r="E7675">
            <v>0</v>
          </cell>
          <cell r="F7675">
            <v>790</v>
          </cell>
        </row>
        <row r="7676">
          <cell r="A7676" t="str">
            <v>SN1002-2XL</v>
          </cell>
          <cell r="B7676" t="str">
            <v>N1002</v>
          </cell>
          <cell r="C7676" t="str">
            <v>ซาติน แขนสั้นขาสั้น Brown forest 2XL (กปก)</v>
          </cell>
          <cell r="E7676">
            <v>0</v>
          </cell>
          <cell r="F7676">
            <v>790</v>
          </cell>
        </row>
        <row r="7677">
          <cell r="A7677" t="str">
            <v>SN1002-L</v>
          </cell>
          <cell r="B7677" t="str">
            <v>N1002</v>
          </cell>
          <cell r="C7677" t="str">
            <v>ซาติน แขนสั้นขาสั้น Brown forest L (กปก)</v>
          </cell>
          <cell r="E7677">
            <v>0</v>
          </cell>
          <cell r="F7677">
            <v>790</v>
          </cell>
        </row>
        <row r="7678">
          <cell r="A7678" t="str">
            <v>SN1002-M</v>
          </cell>
          <cell r="B7678" t="str">
            <v>N1002</v>
          </cell>
          <cell r="C7678" t="str">
            <v>ซาติน แขนสั้นขาสั้น Brown forest M (กปก)</v>
          </cell>
          <cell r="E7678">
            <v>0</v>
          </cell>
          <cell r="F7678">
            <v>790</v>
          </cell>
        </row>
        <row r="7679">
          <cell r="A7679" t="str">
            <v>SN1002-XL</v>
          </cell>
          <cell r="B7679" t="str">
            <v>N1002</v>
          </cell>
          <cell r="C7679" t="str">
            <v>ซาติน แขนสั้นขาสั้น Brown forest XL (กปก)</v>
          </cell>
          <cell r="E7679">
            <v>0</v>
          </cell>
          <cell r="F7679">
            <v>790</v>
          </cell>
        </row>
        <row r="7680">
          <cell r="A7680" t="str">
            <v>SN1005-2XL</v>
          </cell>
          <cell r="B7680" t="str">
            <v>N1005</v>
          </cell>
          <cell r="C7680" t="str">
            <v>ซาติน แขนสั้นขาสั้น กระต่ายขาว พื้นม่วง 2XL</v>
          </cell>
          <cell r="E7680">
            <v>0</v>
          </cell>
          <cell r="F7680">
            <v>790</v>
          </cell>
        </row>
        <row r="7681">
          <cell r="A7681" t="str">
            <v>SN1005-L</v>
          </cell>
          <cell r="B7681" t="str">
            <v>N1005</v>
          </cell>
          <cell r="C7681" t="str">
            <v>ซาติน แขนสั้นขาสั้น กระต่ายขาว พื้นม่วง L</v>
          </cell>
          <cell r="E7681">
            <v>0</v>
          </cell>
          <cell r="F7681">
            <v>790</v>
          </cell>
        </row>
        <row r="7682">
          <cell r="A7682" t="str">
            <v>SN1005-M</v>
          </cell>
          <cell r="B7682" t="str">
            <v>N1005</v>
          </cell>
          <cell r="C7682" t="str">
            <v>ซาติน แขนสั้นขาสั้น กระต่ายขาว พื้นม่วง M</v>
          </cell>
          <cell r="E7682">
            <v>0</v>
          </cell>
          <cell r="F7682">
            <v>790</v>
          </cell>
        </row>
        <row r="7683">
          <cell r="A7683" t="str">
            <v>SN1005-XL</v>
          </cell>
          <cell r="B7683" t="str">
            <v>N1005</v>
          </cell>
          <cell r="C7683" t="str">
            <v>ซาติน แขนสั้นขาสั้น กระต่ายขาว พื้นม่วง XL</v>
          </cell>
          <cell r="E7683">
            <v>0</v>
          </cell>
          <cell r="F7683">
            <v>790</v>
          </cell>
        </row>
        <row r="7684">
          <cell r="A7684" t="str">
            <v>SN1007-2XL</v>
          </cell>
          <cell r="B7684" t="str">
            <v>N1007</v>
          </cell>
          <cell r="C7684" t="str">
            <v>ซาติน แขนสั้นขาสั้น ลายทางครีม พื้นดำ 2XL</v>
          </cell>
          <cell r="E7684">
            <v>0</v>
          </cell>
          <cell r="F7684">
            <v>790</v>
          </cell>
        </row>
        <row r="7685">
          <cell r="A7685" t="str">
            <v>SN1007-L</v>
          </cell>
          <cell r="B7685" t="str">
            <v>N1007</v>
          </cell>
          <cell r="C7685" t="str">
            <v>ซาติน แขนสั้นขาสั้น ลายทางครีม พื้นดำ L</v>
          </cell>
          <cell r="E7685">
            <v>0</v>
          </cell>
          <cell r="F7685">
            <v>790</v>
          </cell>
        </row>
        <row r="7686">
          <cell r="A7686" t="str">
            <v>SN1007-M</v>
          </cell>
          <cell r="B7686" t="str">
            <v>N1007</v>
          </cell>
          <cell r="C7686" t="str">
            <v>ซาติน แขนสั้นขาสั้น ลายทางครีม พื้นดำ M</v>
          </cell>
          <cell r="E7686">
            <v>0</v>
          </cell>
          <cell r="F7686">
            <v>790</v>
          </cell>
        </row>
        <row r="7687">
          <cell r="A7687" t="str">
            <v>SN1007-XL</v>
          </cell>
          <cell r="B7687" t="str">
            <v>N1007</v>
          </cell>
          <cell r="C7687" t="str">
            <v>ซาติน แขนสั้นขาสั้น ลายทางครีม พื้นดำ XL</v>
          </cell>
          <cell r="E7687">
            <v>0</v>
          </cell>
          <cell r="F7687">
            <v>790</v>
          </cell>
        </row>
        <row r="7688">
          <cell r="A7688" t="str">
            <v>SN1008-2XL</v>
          </cell>
          <cell r="B7688" t="str">
            <v>N1008</v>
          </cell>
          <cell r="C7688" t="str">
            <v>ซาติน แขนสั้นขาสั้น ลายทางกรม แดง กระเป๋านกฮูก 2XL</v>
          </cell>
          <cell r="E7688">
            <v>0</v>
          </cell>
          <cell r="F7688">
            <v>790</v>
          </cell>
        </row>
        <row r="7689">
          <cell r="A7689" t="str">
            <v>SN1008-L</v>
          </cell>
          <cell r="B7689" t="str">
            <v>QN1008</v>
          </cell>
          <cell r="C7689" t="str">
            <v>ซาติน แขนสั้นขาสั้น ลายทางกรม แดง กระเป๋านกฮูก L QC</v>
          </cell>
          <cell r="E7689">
            <v>0</v>
          </cell>
          <cell r="F7689">
            <v>790</v>
          </cell>
        </row>
        <row r="7690">
          <cell r="A7690" t="str">
            <v>SN1008-M</v>
          </cell>
          <cell r="B7690" t="str">
            <v>N1008</v>
          </cell>
          <cell r="C7690" t="str">
            <v>ซาติน แขนสั้นขาสั้น ลายทางกรม แดง กระเป๋านกฮูก M</v>
          </cell>
          <cell r="E7690">
            <v>0</v>
          </cell>
          <cell r="F7690">
            <v>590</v>
          </cell>
        </row>
        <row r="7691">
          <cell r="A7691" t="str">
            <v>SN1008-XL</v>
          </cell>
          <cell r="B7691" t="str">
            <v>N1008</v>
          </cell>
          <cell r="C7691" t="str">
            <v>ซาติน แขนสั้นขาสั้น ลายทางกรม แดง กระเป๋านกฮูก XL</v>
          </cell>
          <cell r="E7691">
            <v>0</v>
          </cell>
          <cell r="F7691">
            <v>790</v>
          </cell>
        </row>
        <row r="7692">
          <cell r="A7692" t="str">
            <v>SN1009-2XL</v>
          </cell>
          <cell r="B7692" t="str">
            <v>N1009</v>
          </cell>
          <cell r="C7692" t="str">
            <v>ซาติน แขนสั้นขาสั้น ลายทางดำ พื้นครีม 2XL</v>
          </cell>
          <cell r="E7692">
            <v>0</v>
          </cell>
          <cell r="F7692">
            <v>790</v>
          </cell>
        </row>
        <row r="7693">
          <cell r="A7693" t="str">
            <v>SN1009-L</v>
          </cell>
          <cell r="B7693" t="str">
            <v>N1009</v>
          </cell>
          <cell r="C7693" t="str">
            <v>ซาติน แขนสั้นขาสั้น ลายทางดำ พื้นครีม L</v>
          </cell>
          <cell r="E7693">
            <v>0</v>
          </cell>
          <cell r="F7693">
            <v>790</v>
          </cell>
        </row>
        <row r="7694">
          <cell r="A7694" t="str">
            <v>SN1009-M</v>
          </cell>
          <cell r="B7694" t="str">
            <v>QN1009</v>
          </cell>
          <cell r="C7694" t="str">
            <v>ซาติน แขนสั้นขาสั้น ลายทางดำ พื้นครีม M QC</v>
          </cell>
          <cell r="E7694">
            <v>0</v>
          </cell>
          <cell r="F7694">
            <v>790</v>
          </cell>
        </row>
        <row r="7695">
          <cell r="A7695" t="str">
            <v>SN1009-XL</v>
          </cell>
          <cell r="B7695" t="str">
            <v>N1009</v>
          </cell>
          <cell r="C7695" t="str">
            <v>[AJ]  ซาติน แขนสั้นขาสั้น ลายทางดำ พื้นครีม XL</v>
          </cell>
          <cell r="E7695">
            <v>0</v>
          </cell>
          <cell r="F7695">
            <v>790</v>
          </cell>
        </row>
        <row r="7696">
          <cell r="A7696" t="str">
            <v>SN1010-2XL</v>
          </cell>
          <cell r="B7696" t="str">
            <v>N1010</v>
          </cell>
          <cell r="C7696" t="str">
            <v>ซาติน แขนสั้นขาสั้น น้องแมว พื้นเทา 2XL  (กปก)</v>
          </cell>
          <cell r="E7696">
            <v>0</v>
          </cell>
          <cell r="F7696">
            <v>790</v>
          </cell>
        </row>
        <row r="7697">
          <cell r="A7697" t="str">
            <v>SN1010-L</v>
          </cell>
          <cell r="B7697" t="str">
            <v>N1010</v>
          </cell>
          <cell r="C7697" t="str">
            <v>ซาติน แขนสั้นขาสั้น น้องแมว พื้นเทา L (กปก)</v>
          </cell>
          <cell r="E7697">
            <v>0</v>
          </cell>
          <cell r="F7697">
            <v>790</v>
          </cell>
        </row>
        <row r="7698">
          <cell r="A7698" t="str">
            <v>SN1010-M</v>
          </cell>
          <cell r="B7698" t="str">
            <v>N1010</v>
          </cell>
          <cell r="C7698" t="str">
            <v>ซาติน แขนสั้นขาสั้น น้องแมว พื้นเทา M (กปก)</v>
          </cell>
          <cell r="E7698">
            <v>0</v>
          </cell>
          <cell r="F7698">
            <v>790</v>
          </cell>
        </row>
        <row r="7699">
          <cell r="A7699" t="str">
            <v>SN1010-XL</v>
          </cell>
          <cell r="B7699" t="str">
            <v>N1010</v>
          </cell>
          <cell r="C7699" t="str">
            <v>ซาติน แขนสั้นขาสั้น น้องแมว พื้นเทา XL (กปก)</v>
          </cell>
          <cell r="E7699">
            <v>0</v>
          </cell>
          <cell r="F7699">
            <v>790</v>
          </cell>
        </row>
        <row r="7700">
          <cell r="A7700" t="str">
            <v>SN1011-2XL</v>
          </cell>
          <cell r="B7700" t="str">
            <v>N1011</v>
          </cell>
          <cell r="C7700" t="str">
            <v>ซาติน แขนสั้นขาสั้น สุนัขรวม พื้นครีม 2XL</v>
          </cell>
          <cell r="E7700">
            <v>0</v>
          </cell>
          <cell r="F7700">
            <v>790</v>
          </cell>
        </row>
        <row r="7701">
          <cell r="A7701" t="str">
            <v>SN1011-L</v>
          </cell>
          <cell r="B7701" t="str">
            <v>N1011</v>
          </cell>
          <cell r="C7701" t="str">
            <v>ซาติน แขนสั้นขาสั้น สุนัขรวม พื้นครีม L</v>
          </cell>
          <cell r="E7701">
            <v>0</v>
          </cell>
          <cell r="F7701">
            <v>790</v>
          </cell>
        </row>
        <row r="7702">
          <cell r="A7702" t="str">
            <v>SN1011-M</v>
          </cell>
          <cell r="B7702" t="str">
            <v>N1011</v>
          </cell>
          <cell r="C7702" t="str">
            <v>ซาติน แขนสั้นขาสั้น สุนัขรวม พื้นครีม M</v>
          </cell>
          <cell r="E7702">
            <v>0</v>
          </cell>
          <cell r="F7702">
            <v>790</v>
          </cell>
        </row>
        <row r="7703">
          <cell r="A7703" t="str">
            <v>SN1011-XL</v>
          </cell>
          <cell r="B7703" t="str">
            <v>N1011</v>
          </cell>
          <cell r="C7703" t="str">
            <v>ซาติน แขนสั้นขาสั้น สุนัขรวม พื้นครีม XL</v>
          </cell>
          <cell r="E7703">
            <v>0</v>
          </cell>
          <cell r="F7703">
            <v>790</v>
          </cell>
        </row>
        <row r="7704">
          <cell r="A7704" t="str">
            <v>SN1012-2XL</v>
          </cell>
          <cell r="B7704" t="str">
            <v>N1012</v>
          </cell>
          <cell r="C7704" t="str">
            <v>ซาติน แขนสั้นขาสั้น น้องชินจัง พื้นฟ้า 2XL  (กปก)</v>
          </cell>
          <cell r="E7704">
            <v>0</v>
          </cell>
          <cell r="F7704">
            <v>1490</v>
          </cell>
        </row>
        <row r="7705">
          <cell r="A7705" t="str">
            <v>SN1012-L</v>
          </cell>
          <cell r="B7705" t="str">
            <v>N1012</v>
          </cell>
          <cell r="C7705" t="str">
            <v>ซาติน แขนสั้นขาสั้น น้องชินจัง พื้นฟ้า L (กปก)</v>
          </cell>
          <cell r="E7705">
            <v>0</v>
          </cell>
          <cell r="F7705">
            <v>1490</v>
          </cell>
        </row>
        <row r="7706">
          <cell r="A7706" t="str">
            <v>SN1012-M</v>
          </cell>
          <cell r="B7706" t="str">
            <v>N1012</v>
          </cell>
          <cell r="C7706" t="str">
            <v>ซาติน แขนสั้นขาสั้น น้องชินจัง พื้นฟ้า M (กปก)</v>
          </cell>
          <cell r="E7706">
            <v>0</v>
          </cell>
          <cell r="F7706">
            <v>1490</v>
          </cell>
        </row>
        <row r="7707">
          <cell r="A7707" t="str">
            <v>SN1012-XL</v>
          </cell>
          <cell r="B7707" t="str">
            <v>N1012</v>
          </cell>
          <cell r="C7707" t="str">
            <v>ซาติน แขนสั้นขาสั้น น้องชินจัง พื้นฟ้า XL (กปก)</v>
          </cell>
          <cell r="E7707">
            <v>6</v>
          </cell>
          <cell r="F7707">
            <v>1490</v>
          </cell>
        </row>
        <row r="7708">
          <cell r="A7708" t="str">
            <v>SN1013-2XL</v>
          </cell>
          <cell r="B7708" t="str">
            <v>N1013</v>
          </cell>
          <cell r="C7708" t="str">
            <v>ซาติน แขนสั้นขาสั้น น้องชินจัง พื้นชานม 2XL  (กปก)</v>
          </cell>
          <cell r="E7708">
            <v>0</v>
          </cell>
          <cell r="F7708">
            <v>1490</v>
          </cell>
        </row>
        <row r="7709">
          <cell r="A7709" t="str">
            <v>SN1013-L</v>
          </cell>
          <cell r="B7709" t="str">
            <v>N1013</v>
          </cell>
          <cell r="C7709" t="str">
            <v>ซาติน แขนสั้นขาสั้น น้องชินจัง พื้นชานม L (กปก)</v>
          </cell>
          <cell r="E7709">
            <v>0</v>
          </cell>
          <cell r="F7709">
            <v>1490</v>
          </cell>
        </row>
        <row r="7710">
          <cell r="A7710" t="str">
            <v>SN1013-M</v>
          </cell>
          <cell r="B7710" t="str">
            <v>N1013</v>
          </cell>
          <cell r="C7710" t="str">
            <v>ซาติน แขนสั้นขาสั้น น้องชินจัง พื้นชานม M (กปก)</v>
          </cell>
          <cell r="E7710">
            <v>0</v>
          </cell>
          <cell r="F7710">
            <v>1490</v>
          </cell>
        </row>
        <row r="7711">
          <cell r="A7711" t="str">
            <v>SN1013-XL</v>
          </cell>
          <cell r="B7711" t="str">
            <v>N1013</v>
          </cell>
          <cell r="C7711" t="str">
            <v>ซาติน แขนสั้นขาสั้น น้องชินจัง พื้นชานม XL (กปก)</v>
          </cell>
          <cell r="E7711">
            <v>3</v>
          </cell>
          <cell r="F7711">
            <v>1490</v>
          </cell>
        </row>
        <row r="7712">
          <cell r="A7712" t="str">
            <v>SN1014-2XL</v>
          </cell>
          <cell r="B7712" t="str">
            <v>N1014</v>
          </cell>
          <cell r="C7712" t="str">
            <v>ซาติน แขนสั้นขาสั้น น้องชินจัง พื้นม่วง 2XL  (กปก)</v>
          </cell>
          <cell r="E7712">
            <v>7</v>
          </cell>
          <cell r="F7712">
            <v>1490</v>
          </cell>
        </row>
        <row r="7713">
          <cell r="A7713" t="str">
            <v>SN1014-L</v>
          </cell>
          <cell r="B7713" t="str">
            <v>N1014</v>
          </cell>
          <cell r="C7713" t="str">
            <v>ซาติน แขนสั้นขาสั้น น้องชินจัง พื้นม่วง L (กปก)</v>
          </cell>
          <cell r="E7713">
            <v>0</v>
          </cell>
          <cell r="F7713">
            <v>1490</v>
          </cell>
        </row>
        <row r="7714">
          <cell r="A7714" t="str">
            <v>SN1014-M</v>
          </cell>
          <cell r="B7714" t="str">
            <v>N1014</v>
          </cell>
          <cell r="C7714" t="str">
            <v>ซาติน แขนสั้นขาสั้น น้องชินจัง พื้นม่วง M (กปก)</v>
          </cell>
          <cell r="E7714">
            <v>0</v>
          </cell>
          <cell r="F7714">
            <v>1490</v>
          </cell>
        </row>
        <row r="7715">
          <cell r="A7715" t="str">
            <v>SN1014-XL</v>
          </cell>
          <cell r="B7715" t="str">
            <v>N1014</v>
          </cell>
          <cell r="C7715" t="str">
            <v>ซาติน แขนสั้นขาสั้น น้องชินจัง พื้นม่วง XL (กปก)</v>
          </cell>
          <cell r="E7715">
            <v>5</v>
          </cell>
          <cell r="F7715">
            <v>1490</v>
          </cell>
        </row>
        <row r="7716">
          <cell r="A7716" t="str">
            <v>SN1015-2XL</v>
          </cell>
          <cell r="B7716" t="str">
            <v>N1015</v>
          </cell>
          <cell r="C7716" t="str">
            <v>ซาติน แขนสั้นขาสั้น Flower Pink พื้นชมพู 2XL (กปก)</v>
          </cell>
          <cell r="E7716">
            <v>0</v>
          </cell>
          <cell r="F7716">
            <v>790</v>
          </cell>
        </row>
        <row r="7717">
          <cell r="A7717" t="str">
            <v>SN1015-L</v>
          </cell>
          <cell r="B7717" t="str">
            <v>N1015</v>
          </cell>
          <cell r="C7717" t="str">
            <v>ซาติน แขนสั้นขาสั้น Flower Pink พื้นชมพู L (กปก)</v>
          </cell>
          <cell r="E7717">
            <v>0</v>
          </cell>
          <cell r="F7717">
            <v>790</v>
          </cell>
        </row>
        <row r="7718">
          <cell r="A7718" t="str">
            <v>SN1015-M</v>
          </cell>
          <cell r="B7718" t="str">
            <v>N1015</v>
          </cell>
          <cell r="C7718" t="str">
            <v>ซาติน แขนสั้นขาสั้น Flower Pink พื้นชมพู M (กปก)</v>
          </cell>
          <cell r="E7718">
            <v>0</v>
          </cell>
          <cell r="F7718">
            <v>590</v>
          </cell>
        </row>
        <row r="7719">
          <cell r="A7719" t="str">
            <v>SN1015-XL</v>
          </cell>
          <cell r="B7719" t="str">
            <v>N1015</v>
          </cell>
          <cell r="C7719" t="str">
            <v>ซาติน แขนสั้นขาสั้น Flower Pink พื้นชมพู XL (กปก)</v>
          </cell>
          <cell r="E7719">
            <v>0</v>
          </cell>
          <cell r="F7719">
            <v>790</v>
          </cell>
        </row>
        <row r="7720">
          <cell r="A7720" t="str">
            <v>SN1016-2XL</v>
          </cell>
          <cell r="B7720" t="str">
            <v>QN1016</v>
          </cell>
          <cell r="C7720" t="str">
            <v>ซาติน แขนสั้นขาสั้น Flower Blue พื้นขาว 2XL (กปก) QC</v>
          </cell>
          <cell r="E7720">
            <v>0</v>
          </cell>
          <cell r="F7720">
            <v>790</v>
          </cell>
        </row>
        <row r="7721">
          <cell r="A7721" t="str">
            <v>SN1016-L</v>
          </cell>
          <cell r="B7721" t="str">
            <v>N1016</v>
          </cell>
          <cell r="C7721" t="str">
            <v>ซาติน แขนสั้นขาสั้น Flower Blue พื้นขาว L (กปก)</v>
          </cell>
          <cell r="E7721">
            <v>0</v>
          </cell>
          <cell r="F7721">
            <v>790</v>
          </cell>
        </row>
        <row r="7722">
          <cell r="A7722" t="str">
            <v>SN1016-M</v>
          </cell>
          <cell r="B7722" t="str">
            <v>N1016</v>
          </cell>
          <cell r="C7722" t="str">
            <v>ซาติน แขนสั้นขาสั้น Flower Blue พื้นขาว M (กปก)</v>
          </cell>
          <cell r="E7722">
            <v>0</v>
          </cell>
          <cell r="F7722">
            <v>790</v>
          </cell>
        </row>
        <row r="7723">
          <cell r="A7723" t="str">
            <v>SN1016-XL</v>
          </cell>
          <cell r="B7723" t="str">
            <v>N1016</v>
          </cell>
          <cell r="C7723" t="str">
            <v>ซาติน แขนสั้นขาสั้น Flower Blue พื้นขาว XL (กปก)</v>
          </cell>
          <cell r="E7723">
            <v>0</v>
          </cell>
          <cell r="F7723">
            <v>790</v>
          </cell>
        </row>
        <row r="7724">
          <cell r="A7724" t="str">
            <v>SN1017-2XL</v>
          </cell>
          <cell r="B7724" t="str">
            <v>N1017</v>
          </cell>
          <cell r="C7724" t="str">
            <v>ซาติน แขนสั้นขาสั้น Flower Green พื้นครีม 2XL (กปก)</v>
          </cell>
          <cell r="E7724">
            <v>0</v>
          </cell>
          <cell r="F7724">
            <v>790</v>
          </cell>
        </row>
        <row r="7725">
          <cell r="A7725" t="str">
            <v>SN1017-L</v>
          </cell>
          <cell r="B7725" t="str">
            <v>N1017</v>
          </cell>
          <cell r="C7725" t="str">
            <v>[AK]  ซาติน แขนสั้นขาสั้น Flower Green พื้นครีม L (กปก)</v>
          </cell>
          <cell r="E7725">
            <v>0</v>
          </cell>
          <cell r="F7725">
            <v>790</v>
          </cell>
        </row>
        <row r="7726">
          <cell r="A7726" t="str">
            <v>SN1017-M</v>
          </cell>
          <cell r="B7726" t="str">
            <v>N1017</v>
          </cell>
          <cell r="C7726" t="str">
            <v>ซาติน แขนสั้นขาสั้น Flower Green พื้นครีม M (กปก)</v>
          </cell>
          <cell r="E7726">
            <v>0</v>
          </cell>
          <cell r="F7726">
            <v>790</v>
          </cell>
        </row>
        <row r="7727">
          <cell r="A7727" t="str">
            <v>SN1017-XL</v>
          </cell>
          <cell r="B7727" t="str">
            <v>N1017</v>
          </cell>
          <cell r="C7727" t="str">
            <v>ซาติน แขนสั้นขาสั้น Flower Green พื้นครีม XL (กปก)</v>
          </cell>
          <cell r="E7727">
            <v>0</v>
          </cell>
          <cell r="F7727">
            <v>790</v>
          </cell>
        </row>
        <row r="7728">
          <cell r="A7728" t="str">
            <v>SN1018-2XL</v>
          </cell>
          <cell r="B7728" t="str">
            <v>N1018</v>
          </cell>
          <cell r="C7728" t="str">
            <v>ซาติน แขนสั้นขาสั้น Kakao Friend ม่วง 2XL (กปก)</v>
          </cell>
          <cell r="E7728">
            <v>0</v>
          </cell>
          <cell r="F7728">
            <v>1490</v>
          </cell>
        </row>
        <row r="7729">
          <cell r="A7729" t="str">
            <v>SN1018-L</v>
          </cell>
          <cell r="B7729" t="str">
            <v>QN1018</v>
          </cell>
          <cell r="C7729" t="str">
            <v>ซาติน แขนสั้นขาสั้น Kakao Friend ม่วง L (กปก) QC</v>
          </cell>
          <cell r="E7729">
            <v>0</v>
          </cell>
          <cell r="F7729">
            <v>1490</v>
          </cell>
        </row>
        <row r="7730">
          <cell r="A7730" t="str">
            <v>SN1018-M</v>
          </cell>
          <cell r="B7730" t="str">
            <v>QN1018</v>
          </cell>
          <cell r="C7730" t="str">
            <v>ซาติน แขนสั้นขาสั้น Kakao Friend ม่วง M (กปก) QC</v>
          </cell>
          <cell r="E7730">
            <v>0</v>
          </cell>
          <cell r="F7730">
            <v>1490</v>
          </cell>
        </row>
        <row r="7731">
          <cell r="A7731" t="str">
            <v>SN1018-XL</v>
          </cell>
          <cell r="B7731" t="str">
            <v>N1018</v>
          </cell>
          <cell r="C7731" t="str">
            <v>ซาติน แขนสั้นขาสั้น Kakao Friend ม่วง XL (กปก)</v>
          </cell>
          <cell r="E7731">
            <v>0</v>
          </cell>
          <cell r="F7731">
            <v>1490</v>
          </cell>
        </row>
        <row r="7732">
          <cell r="A7732" t="str">
            <v>SN1019-2XL</v>
          </cell>
          <cell r="B7732" t="str">
            <v>N1019</v>
          </cell>
          <cell r="C7732" t="str">
            <v>ซาติน แขนสั้นขาสั้น Kakao Friend น้ำเงิน 2XL (กปก)</v>
          </cell>
          <cell r="E7732">
            <v>0</v>
          </cell>
          <cell r="F7732">
            <v>1490</v>
          </cell>
        </row>
        <row r="7733">
          <cell r="A7733" t="str">
            <v>SN1019-L</v>
          </cell>
          <cell r="B7733" t="str">
            <v>N1019</v>
          </cell>
          <cell r="C7733" t="str">
            <v>ซาติน แขนสั้นขาสั้น Kakao Friend น้ำเงิน L (กปก)</v>
          </cell>
          <cell r="E7733">
            <v>0</v>
          </cell>
          <cell r="F7733">
            <v>1490</v>
          </cell>
        </row>
        <row r="7734">
          <cell r="A7734" t="str">
            <v>SN1019-M</v>
          </cell>
          <cell r="B7734" t="str">
            <v>QN1019</v>
          </cell>
          <cell r="C7734" t="str">
            <v>ซาติน แขนสั้นขาสั้น Kakao Friend น้ำเงิน M (กปก) QC</v>
          </cell>
          <cell r="E7734">
            <v>0</v>
          </cell>
          <cell r="F7734">
            <v>1490</v>
          </cell>
        </row>
        <row r="7735">
          <cell r="A7735" t="str">
            <v>SN1019-XL</v>
          </cell>
          <cell r="B7735" t="str">
            <v>QN1019</v>
          </cell>
          <cell r="C7735" t="str">
            <v>ซาติน แขนสั้นขาสั้น Kakao Friend น้ำเงิน XL (กปก) QC</v>
          </cell>
          <cell r="E7735">
            <v>0</v>
          </cell>
          <cell r="F7735">
            <v>1490</v>
          </cell>
        </row>
        <row r="7736">
          <cell r="A7736" t="str">
            <v>SN1020-2XL</v>
          </cell>
          <cell r="B7736" t="str">
            <v>QN1020</v>
          </cell>
          <cell r="C7736" t="str">
            <v>ซาติน แขนสั้นขาสั้น กุหลาบ ปกม่วง 2XL (กปก) QC</v>
          </cell>
          <cell r="E7736">
            <v>0</v>
          </cell>
          <cell r="F7736">
            <v>790</v>
          </cell>
        </row>
        <row r="7737">
          <cell r="A7737" t="str">
            <v>SN1020-L</v>
          </cell>
          <cell r="B7737" t="str">
            <v>N1020</v>
          </cell>
          <cell r="C7737" t="str">
            <v>ซาติน แขนสั้นขาสั้น กุหลาบ ปกม่วง L (กปก)</v>
          </cell>
          <cell r="E7737">
            <v>0</v>
          </cell>
          <cell r="F7737">
            <v>790</v>
          </cell>
        </row>
        <row r="7738">
          <cell r="A7738" t="str">
            <v>SN1020-M</v>
          </cell>
          <cell r="B7738" t="str">
            <v>QN1020</v>
          </cell>
          <cell r="C7738" t="str">
            <v>ซาติน แขนสั้นขาสั้น กุหลาบ ปกม่วง M (กปก) QC</v>
          </cell>
          <cell r="E7738">
            <v>0</v>
          </cell>
          <cell r="F7738">
            <v>790</v>
          </cell>
        </row>
        <row r="7739">
          <cell r="A7739" t="str">
            <v>SN1020-XL</v>
          </cell>
          <cell r="B7739" t="str">
            <v>N1020</v>
          </cell>
          <cell r="C7739" t="str">
            <v>ซาติน แขนสั้นขาสั้น กุหลาบ ปกม่วง XL (กปก)</v>
          </cell>
          <cell r="E7739">
            <v>0</v>
          </cell>
          <cell r="F7739">
            <v>790</v>
          </cell>
        </row>
        <row r="7740">
          <cell r="A7740" t="str">
            <v>SN1021-2XL</v>
          </cell>
          <cell r="B7740" t="str">
            <v>N1021</v>
          </cell>
          <cell r="C7740" t="str">
            <v>ซาติน แขนสั้นขาสั้น กุหลาบเถาวัลย์ พื้นม่วง 2XL (กปก)</v>
          </cell>
          <cell r="E7740">
            <v>0</v>
          </cell>
          <cell r="F7740">
            <v>790</v>
          </cell>
        </row>
        <row r="7741">
          <cell r="A7741" t="str">
            <v>SN1021-L</v>
          </cell>
          <cell r="B7741" t="str">
            <v>N1021</v>
          </cell>
          <cell r="C7741" t="str">
            <v>ซาติน แขนสั้นขาสั้น กุหลาบเถาวัลย์ พื้นม่วง L (กปก)</v>
          </cell>
          <cell r="E7741">
            <v>0</v>
          </cell>
          <cell r="F7741">
            <v>790</v>
          </cell>
        </row>
        <row r="7742">
          <cell r="A7742" t="str">
            <v>SN1021-M</v>
          </cell>
          <cell r="B7742" t="str">
            <v>QN1021</v>
          </cell>
          <cell r="C7742" t="str">
            <v>ซาติน แขนสั้นขาสั้น กุหลาบเถาวัลย์ พื้นม่วง M (กปก) QC</v>
          </cell>
          <cell r="E7742">
            <v>0</v>
          </cell>
          <cell r="F7742">
            <v>790</v>
          </cell>
        </row>
        <row r="7743">
          <cell r="A7743" t="str">
            <v>SN1021-XL</v>
          </cell>
          <cell r="B7743" t="str">
            <v>N1021</v>
          </cell>
          <cell r="C7743" t="str">
            <v>ซาติน แขนสั้นขาสั้น กุหลาบเถาวัลย์ พื้นม่วง XL (กปก)</v>
          </cell>
          <cell r="E7743">
            <v>0</v>
          </cell>
          <cell r="F7743">
            <v>790</v>
          </cell>
        </row>
        <row r="7744">
          <cell r="A7744" t="str">
            <v>SN1022-2XL</v>
          </cell>
          <cell r="B7744" t="str">
            <v>N1022</v>
          </cell>
          <cell r="C7744" t="str">
            <v>ซาติน แขนสั้นขาสั้น Rabbit kook พื้นชมพู 2XL (กปก)</v>
          </cell>
          <cell r="E7744">
            <v>0</v>
          </cell>
          <cell r="F7744">
            <v>790</v>
          </cell>
        </row>
        <row r="7745">
          <cell r="A7745" t="str">
            <v>SN1022-L</v>
          </cell>
          <cell r="B7745" t="str">
            <v>N1022</v>
          </cell>
          <cell r="C7745" t="str">
            <v>ซาติน แขนสั้นขาสั้น Rabbit kook พื้นชมพู L (กปก)</v>
          </cell>
          <cell r="E7745">
            <v>0</v>
          </cell>
          <cell r="F7745">
            <v>590</v>
          </cell>
        </row>
        <row r="7746">
          <cell r="A7746" t="str">
            <v>SN1022-M</v>
          </cell>
          <cell r="B7746" t="str">
            <v>N1022</v>
          </cell>
          <cell r="C7746" t="str">
            <v>ซาติน แขนสั้นขาสั้น Rabbit kook พื้นชมพู M (กปก)</v>
          </cell>
          <cell r="E7746">
            <v>0</v>
          </cell>
          <cell r="F7746">
            <v>790</v>
          </cell>
        </row>
        <row r="7747">
          <cell r="A7747" t="str">
            <v>SN1022-XL</v>
          </cell>
          <cell r="B7747" t="str">
            <v>N1022</v>
          </cell>
          <cell r="C7747" t="str">
            <v>ซาติน แขนสั้นขาสั้น Rabbit kook พื้นชมพู XL (กปก)</v>
          </cell>
          <cell r="E7747">
            <v>0</v>
          </cell>
          <cell r="F7747">
            <v>790</v>
          </cell>
        </row>
        <row r="7748">
          <cell r="A7748" t="str">
            <v>SN1023-2XL</v>
          </cell>
          <cell r="B7748" t="str">
            <v>N1023</v>
          </cell>
          <cell r="C7748" t="str">
            <v>ซาติน แขนสั้นขาสั้น Rabbit kook พื้นฟ้า 2XL (กปก)</v>
          </cell>
          <cell r="E7748">
            <v>0</v>
          </cell>
          <cell r="F7748">
            <v>790</v>
          </cell>
        </row>
        <row r="7749">
          <cell r="A7749" t="str">
            <v>SN1023-L</v>
          </cell>
          <cell r="B7749" t="str">
            <v>N1023</v>
          </cell>
          <cell r="C7749" t="str">
            <v>ซาติน แขนสั้นขาสั้น Rabbit kook พื้นฟ้า L (กปก)</v>
          </cell>
          <cell r="E7749">
            <v>0</v>
          </cell>
          <cell r="F7749">
            <v>790</v>
          </cell>
        </row>
        <row r="7750">
          <cell r="A7750" t="str">
            <v>SN1023-M</v>
          </cell>
          <cell r="B7750" t="str">
            <v>N1023</v>
          </cell>
          <cell r="C7750" t="str">
            <v>ซาติน แขนสั้นขาสั้น Rabbit kook พื้นฟ้า M (กปก)</v>
          </cell>
          <cell r="E7750">
            <v>0</v>
          </cell>
          <cell r="F7750">
            <v>590</v>
          </cell>
        </row>
        <row r="7751">
          <cell r="A7751" t="str">
            <v>SN1023-XL</v>
          </cell>
          <cell r="B7751" t="str">
            <v>N1023</v>
          </cell>
          <cell r="C7751" t="str">
            <v>ซาติน แขนสั้นขาสั้น Rabbit kook พื้นฟ้า XL (กปก)</v>
          </cell>
          <cell r="E7751">
            <v>0</v>
          </cell>
          <cell r="F7751">
            <v>790</v>
          </cell>
        </row>
        <row r="7752">
          <cell r="A7752" t="str">
            <v>SN1024-2XL</v>
          </cell>
          <cell r="B7752" t="str">
            <v>N1024</v>
          </cell>
          <cell r="C7752" t="str">
            <v>ซาติน แขนสั้นขาสั้น ดอกไม้หลากสี 2XL</v>
          </cell>
          <cell r="E7752">
            <v>0</v>
          </cell>
          <cell r="F7752">
            <v>790</v>
          </cell>
        </row>
        <row r="7753">
          <cell r="A7753" t="str">
            <v>SN1024-L</v>
          </cell>
          <cell r="B7753" t="str">
            <v>N1024</v>
          </cell>
          <cell r="C7753" t="str">
            <v>ซาติน แขนสั้นขาสั้น ดอกไม้หลากสี L</v>
          </cell>
          <cell r="E7753">
            <v>0</v>
          </cell>
          <cell r="F7753">
            <v>790</v>
          </cell>
        </row>
        <row r="7754">
          <cell r="A7754" t="str">
            <v>SN1024-M</v>
          </cell>
          <cell r="B7754" t="str">
            <v>N1024</v>
          </cell>
          <cell r="C7754" t="str">
            <v>ซาติน แขนสั้นขาสั้น ดอกไม้หลากสี M</v>
          </cell>
          <cell r="E7754">
            <v>0</v>
          </cell>
          <cell r="F7754">
            <v>590</v>
          </cell>
        </row>
        <row r="7755">
          <cell r="A7755" t="str">
            <v>SN1024-XL</v>
          </cell>
          <cell r="B7755" t="str">
            <v>N1024</v>
          </cell>
          <cell r="C7755" t="str">
            <v>ซาติน แขนสั้นขาสั้น ดอกไม้หลากสี XL</v>
          </cell>
          <cell r="E7755">
            <v>0</v>
          </cell>
          <cell r="F7755">
            <v>790</v>
          </cell>
        </row>
        <row r="7756">
          <cell r="A7756" t="str">
            <v>SN1025-2XL</v>
          </cell>
          <cell r="B7756" t="str">
            <v>N1025</v>
          </cell>
          <cell r="C7756" t="str">
            <v>ซาติน แขนสั้นขาสั้น ยีราฟ พื้นเขียว 2XL (กปก)</v>
          </cell>
          <cell r="E7756">
            <v>0</v>
          </cell>
          <cell r="F7756">
            <v>790</v>
          </cell>
        </row>
        <row r="7757">
          <cell r="A7757" t="str">
            <v>SN1025-L</v>
          </cell>
          <cell r="B7757" t="str">
            <v>N1025</v>
          </cell>
          <cell r="C7757" t="str">
            <v>ซาติน แขนสั้นขาสั้น ยีราฟ พื้นเขียว L (กปก)</v>
          </cell>
          <cell r="E7757">
            <v>0</v>
          </cell>
          <cell r="F7757">
            <v>790</v>
          </cell>
        </row>
        <row r="7758">
          <cell r="A7758" t="str">
            <v>SN1025-M</v>
          </cell>
          <cell r="B7758" t="str">
            <v>N1025</v>
          </cell>
          <cell r="C7758" t="str">
            <v>ซาติน แขนสั้นขาสั้น ยีราฟ พื้นเขียว M (กปก)</v>
          </cell>
          <cell r="E7758">
            <v>0</v>
          </cell>
          <cell r="F7758">
            <v>790</v>
          </cell>
        </row>
        <row r="7759">
          <cell r="A7759" t="str">
            <v>SN1025-XL</v>
          </cell>
          <cell r="B7759" t="str">
            <v>N1025</v>
          </cell>
          <cell r="C7759" t="str">
            <v>ซาติน แขนสั้นขาสั้น ยีราฟ พื้นเขียว XL (กปก)</v>
          </cell>
          <cell r="E7759">
            <v>0</v>
          </cell>
          <cell r="F7759">
            <v>790</v>
          </cell>
        </row>
        <row r="7760">
          <cell r="A7760" t="str">
            <v>SN1028-2XL</v>
          </cell>
          <cell r="B7760" t="str">
            <v>N1028</v>
          </cell>
          <cell r="C7760" t="str">
            <v>ซาติน แขนสั้นขาสั้น Duck White พื้นเหลือง 2XL</v>
          </cell>
          <cell r="E7760">
            <v>0</v>
          </cell>
          <cell r="F7760">
            <v>790</v>
          </cell>
        </row>
        <row r="7761">
          <cell r="A7761" t="str">
            <v>SN1028-L</v>
          </cell>
          <cell r="B7761" t="str">
            <v>N1028</v>
          </cell>
          <cell r="C7761" t="str">
            <v>ซาติน แขนสั้นขาสั้น Duck White พื้นเหลือง L</v>
          </cell>
          <cell r="E7761">
            <v>0</v>
          </cell>
          <cell r="F7761">
            <v>790</v>
          </cell>
        </row>
        <row r="7762">
          <cell r="A7762" t="str">
            <v>SN1028-M</v>
          </cell>
          <cell r="B7762" t="str">
            <v>N1028</v>
          </cell>
          <cell r="C7762" t="str">
            <v>ซาติน แขนสั้นขาสั้น Duck White พื้นเหลือง M</v>
          </cell>
          <cell r="E7762">
            <v>0</v>
          </cell>
          <cell r="F7762">
            <v>590</v>
          </cell>
        </row>
        <row r="7763">
          <cell r="A7763" t="str">
            <v>SN1028-XL</v>
          </cell>
          <cell r="B7763" t="str">
            <v>N1028</v>
          </cell>
          <cell r="C7763" t="str">
            <v>ซาติน แขนสั้นขาสั้น Duck White พื้นเหลือง XL</v>
          </cell>
          <cell r="E7763">
            <v>0</v>
          </cell>
          <cell r="F7763">
            <v>790</v>
          </cell>
        </row>
        <row r="7764">
          <cell r="A7764" t="str">
            <v>SN1029-2XL</v>
          </cell>
          <cell r="B7764" t="str">
            <v>N1029</v>
          </cell>
          <cell r="C7764" t="str">
            <v>[AL]  ซาติน แขนสั้นขาสั้น Teddy Bear แดง 2XL (กปก)</v>
          </cell>
          <cell r="E7764">
            <v>0</v>
          </cell>
          <cell r="F7764">
            <v>790</v>
          </cell>
        </row>
        <row r="7765">
          <cell r="A7765" t="str">
            <v>SN1029-L</v>
          </cell>
          <cell r="B7765" t="str">
            <v>N1029</v>
          </cell>
          <cell r="C7765" t="str">
            <v>ซาติน แขนสั้นขาสั้น Teddy Bear แดง L (กปก)</v>
          </cell>
          <cell r="E7765">
            <v>0</v>
          </cell>
          <cell r="F7765">
            <v>790</v>
          </cell>
        </row>
        <row r="7766">
          <cell r="A7766" t="str">
            <v>SN1029-M</v>
          </cell>
          <cell r="B7766" t="str">
            <v>N1029</v>
          </cell>
          <cell r="C7766" t="str">
            <v>ซาติน แขนสั้นขาสั้น Teddy Bear แดง M (กปก)</v>
          </cell>
          <cell r="E7766">
            <v>0</v>
          </cell>
          <cell r="F7766">
            <v>790</v>
          </cell>
        </row>
        <row r="7767">
          <cell r="A7767" t="str">
            <v>SN1029-XL</v>
          </cell>
          <cell r="B7767" t="str">
            <v>QN1029</v>
          </cell>
          <cell r="C7767" t="str">
            <v>[AJ]  ซาติน แขนสั้นขาสั้น Teddy Bear แดง XL (กปก) QC</v>
          </cell>
          <cell r="E7767">
            <v>0</v>
          </cell>
          <cell r="F7767">
            <v>790</v>
          </cell>
        </row>
        <row r="7768">
          <cell r="A7768" t="str">
            <v>SN1030-2XL</v>
          </cell>
          <cell r="B7768" t="str">
            <v>N1030</v>
          </cell>
          <cell r="C7768" t="str">
            <v>[AL]  ซาติน แขนสั้นขาสั้น Teddy Bear เขียว 2XL (กปก)</v>
          </cell>
          <cell r="E7768">
            <v>0</v>
          </cell>
          <cell r="F7768">
            <v>790</v>
          </cell>
        </row>
        <row r="7769">
          <cell r="A7769" t="str">
            <v>SN1030-L</v>
          </cell>
          <cell r="B7769" t="str">
            <v>N1030</v>
          </cell>
          <cell r="C7769" t="str">
            <v>ซาติน แขนสั้นขาสั้น Teddy Bear เขียว L (กปก)</v>
          </cell>
          <cell r="E7769">
            <v>0</v>
          </cell>
          <cell r="F7769">
            <v>790</v>
          </cell>
        </row>
        <row r="7770">
          <cell r="A7770" t="str">
            <v>SN1030-M</v>
          </cell>
          <cell r="B7770" t="str">
            <v>N1030</v>
          </cell>
          <cell r="C7770" t="str">
            <v>ซาติน แขนสั้นขาสั้น Teddy Bear เขียว M (กปก)</v>
          </cell>
          <cell r="E7770">
            <v>0</v>
          </cell>
          <cell r="F7770">
            <v>790</v>
          </cell>
        </row>
        <row r="7771">
          <cell r="A7771" t="str">
            <v>SN1030-XL</v>
          </cell>
          <cell r="B7771" t="str">
            <v>N1030</v>
          </cell>
          <cell r="C7771" t="str">
            <v>[AJ]  ซาติน แขนสั้นขาสั้น Teddy Bear เขียว XL (กปก)</v>
          </cell>
          <cell r="E7771">
            <v>0</v>
          </cell>
          <cell r="F7771">
            <v>790</v>
          </cell>
        </row>
        <row r="7772">
          <cell r="A7772" t="str">
            <v>SN1031-2XL</v>
          </cell>
          <cell r="B7772" t="str">
            <v>N1031</v>
          </cell>
          <cell r="C7772" t="str">
            <v>ซาติน แขนสั้นขาสั้น Teddy Bear ม่วง 2XL (กปก)</v>
          </cell>
          <cell r="E7772">
            <v>0</v>
          </cell>
          <cell r="F7772">
            <v>790</v>
          </cell>
        </row>
        <row r="7773">
          <cell r="A7773" t="str">
            <v>SN1031-L</v>
          </cell>
          <cell r="B7773" t="str">
            <v>N1031</v>
          </cell>
          <cell r="C7773" t="str">
            <v>ซาติน แขนสั้นขาสั้น Teddy Bear ม่วง L (กปก)</v>
          </cell>
          <cell r="E7773">
            <v>0</v>
          </cell>
          <cell r="F7773">
            <v>590</v>
          </cell>
        </row>
        <row r="7774">
          <cell r="A7774" t="str">
            <v>SN1031-M</v>
          </cell>
          <cell r="B7774" t="str">
            <v>N1031</v>
          </cell>
          <cell r="C7774" t="str">
            <v>ซาติน แขนสั้นขาสั้น Teddy Bear ม่วง M (กปก)</v>
          </cell>
          <cell r="E7774">
            <v>0</v>
          </cell>
          <cell r="F7774">
            <v>790</v>
          </cell>
        </row>
        <row r="7775">
          <cell r="A7775" t="str">
            <v>SN1031-XL</v>
          </cell>
          <cell r="B7775" t="str">
            <v>N1031</v>
          </cell>
          <cell r="C7775" t="str">
            <v>ซาติน แขนสั้นขาสั้น Teddy Bear ม่วง XL (กปก)</v>
          </cell>
          <cell r="E7775">
            <v>0</v>
          </cell>
          <cell r="F7775">
            <v>790</v>
          </cell>
        </row>
        <row r="7776">
          <cell r="A7776" t="str">
            <v>SN1032-2XL</v>
          </cell>
          <cell r="B7776" t="str">
            <v>N1032</v>
          </cell>
          <cell r="C7776" t="str">
            <v>[AI]  ซาติน แขนสั้นขาสั้น Cute Cat 2XL  (กปก)</v>
          </cell>
          <cell r="E7776">
            <v>0</v>
          </cell>
          <cell r="F7776">
            <v>790</v>
          </cell>
        </row>
        <row r="7777">
          <cell r="A7777" t="str">
            <v>SN1032-L</v>
          </cell>
          <cell r="B7777" t="str">
            <v>N1032</v>
          </cell>
          <cell r="C7777" t="str">
            <v>ซาติน แขนสั้นขาสั้น Cute Cat L (กปก)</v>
          </cell>
          <cell r="E7777">
            <v>0</v>
          </cell>
          <cell r="F7777">
            <v>790</v>
          </cell>
        </row>
        <row r="7778">
          <cell r="A7778" t="str">
            <v>SN1032-M</v>
          </cell>
          <cell r="B7778" t="str">
            <v>N1032</v>
          </cell>
          <cell r="C7778" t="str">
            <v>ซาติน แขนสั้นขาสั้น Cute Cat M (กปก)</v>
          </cell>
          <cell r="E7778">
            <v>0</v>
          </cell>
          <cell r="F7778">
            <v>790</v>
          </cell>
        </row>
        <row r="7779">
          <cell r="A7779" t="str">
            <v>SN1032-XL</v>
          </cell>
          <cell r="B7779" t="str">
            <v>N1032</v>
          </cell>
          <cell r="C7779" t="str">
            <v>ซาติน แขนสั้นขาสั้น Cute Cat XL (กปก)</v>
          </cell>
          <cell r="E7779">
            <v>0</v>
          </cell>
          <cell r="F7779">
            <v>790</v>
          </cell>
        </row>
        <row r="7780">
          <cell r="A7780" t="str">
            <v>SN1033-2XL</v>
          </cell>
          <cell r="B7780" t="str">
            <v>N1033</v>
          </cell>
          <cell r="C7780" t="str">
            <v>ซาติน แขนสั้นขาสั้น เยลโล่ แร็บบิท พื้นครีม 2XL  (กปก)</v>
          </cell>
          <cell r="E7780">
            <v>0</v>
          </cell>
          <cell r="F7780">
            <v>790</v>
          </cell>
        </row>
        <row r="7781">
          <cell r="A7781" t="str">
            <v>SN1033-L</v>
          </cell>
          <cell r="B7781" t="str">
            <v>N1033</v>
          </cell>
          <cell r="C7781" t="str">
            <v>ซาติน แขนสั้นขาสั้น เยลโล่ แร็บบิท พื้นครีม L (กปก)</v>
          </cell>
          <cell r="E7781">
            <v>0</v>
          </cell>
          <cell r="F7781">
            <v>790</v>
          </cell>
        </row>
        <row r="7782">
          <cell r="A7782" t="str">
            <v>SN1033-M</v>
          </cell>
          <cell r="B7782" t="str">
            <v>N1033</v>
          </cell>
          <cell r="C7782" t="str">
            <v>ซาติน แขนสั้นขาสั้น เยลโล่ แร็บบิท พื้นครีม M (กปก)</v>
          </cell>
          <cell r="E7782">
            <v>0</v>
          </cell>
          <cell r="F7782">
            <v>590</v>
          </cell>
        </row>
        <row r="7783">
          <cell r="A7783" t="str">
            <v>SN1033-XL</v>
          </cell>
          <cell r="B7783" t="str">
            <v>N1033</v>
          </cell>
          <cell r="C7783" t="str">
            <v>[AK]  ซาติน แขนสั้นขาสั้น เยลโล่ แร็บบิท พื้นครีม XL (กปก)</v>
          </cell>
          <cell r="E7783">
            <v>0</v>
          </cell>
          <cell r="F7783">
            <v>790</v>
          </cell>
        </row>
        <row r="7784">
          <cell r="A7784" t="str">
            <v>SN1034-2XL</v>
          </cell>
          <cell r="B7784" t="str">
            <v>N1034</v>
          </cell>
          <cell r="C7784" t="str">
            <v>ซาติน แขนสั้นขาสั้น เยลโล่ แร็บบิท พื้นเขียว 2XL  (กปก)</v>
          </cell>
          <cell r="E7784">
            <v>0</v>
          </cell>
          <cell r="F7784">
            <v>790</v>
          </cell>
        </row>
        <row r="7785">
          <cell r="A7785" t="str">
            <v>SN1034-L</v>
          </cell>
          <cell r="B7785" t="str">
            <v>N1034</v>
          </cell>
          <cell r="C7785" t="str">
            <v>ซาติน แขนสั้นขาสั้น เยลโล่ แร็บบิท พื้นเขียว L (กปก)</v>
          </cell>
          <cell r="E7785">
            <v>0</v>
          </cell>
          <cell r="F7785">
            <v>790</v>
          </cell>
        </row>
        <row r="7786">
          <cell r="A7786" t="str">
            <v>SN1034-M</v>
          </cell>
          <cell r="B7786" t="str">
            <v>N1034</v>
          </cell>
          <cell r="C7786" t="str">
            <v>ซาติน แขนสั้นขาสั้น เยลโล่ แร็บบิท พื้นเขียว M (กปก)</v>
          </cell>
          <cell r="E7786">
            <v>0</v>
          </cell>
          <cell r="F7786">
            <v>790</v>
          </cell>
        </row>
        <row r="7787">
          <cell r="A7787" t="str">
            <v>SN1034-XL</v>
          </cell>
          <cell r="B7787" t="str">
            <v>N1034</v>
          </cell>
          <cell r="C7787" t="str">
            <v>ซาติน แขนสั้นขาสั้น เยลโล่ แร็บบิท พื้นเขียว XL (กปก)</v>
          </cell>
          <cell r="E7787">
            <v>0</v>
          </cell>
          <cell r="F7787">
            <v>790</v>
          </cell>
        </row>
        <row r="7788">
          <cell r="A7788" t="str">
            <v>SN1035-2XL</v>
          </cell>
          <cell r="B7788" t="str">
            <v>N1035</v>
          </cell>
          <cell r="C7788" t="str">
            <v>ซาติน แขนสั้นขาสั้น หมาขาว พื้นม่วง 2XL  (กปก)</v>
          </cell>
          <cell r="E7788">
            <v>0</v>
          </cell>
          <cell r="F7788">
            <v>790</v>
          </cell>
        </row>
        <row r="7789">
          <cell r="A7789" t="str">
            <v>SN1035-L</v>
          </cell>
          <cell r="B7789" t="str">
            <v>N1035</v>
          </cell>
          <cell r="C7789" t="str">
            <v>ซาติน แขนสั้นขาสั้น หมาขาว พื้นม่วง L (กปก)</v>
          </cell>
          <cell r="E7789">
            <v>0</v>
          </cell>
          <cell r="F7789">
            <v>790</v>
          </cell>
        </row>
        <row r="7790">
          <cell r="A7790" t="str">
            <v>SN1035-M</v>
          </cell>
          <cell r="B7790" t="str">
            <v>N1035</v>
          </cell>
          <cell r="C7790" t="str">
            <v>ซาติน แขนสั้นขาสั้น หมาขาว พื้นม่วง M (กปก)</v>
          </cell>
          <cell r="E7790">
            <v>0</v>
          </cell>
          <cell r="F7790">
            <v>790</v>
          </cell>
        </row>
        <row r="7791">
          <cell r="A7791" t="str">
            <v>SN1035-XL</v>
          </cell>
          <cell r="B7791" t="str">
            <v>N1035</v>
          </cell>
          <cell r="C7791" t="str">
            <v>ซาติน แขนสั้นขาสั้น หมาขาว พื้นม่วง XL (กปก)</v>
          </cell>
          <cell r="E7791">
            <v>0</v>
          </cell>
          <cell r="F7791">
            <v>790</v>
          </cell>
        </row>
        <row r="7792">
          <cell r="A7792" t="str">
            <v>SN1036-2XL</v>
          </cell>
          <cell r="B7792" t="str">
            <v>N1036</v>
          </cell>
          <cell r="C7792" t="str">
            <v>ซาติน แขนสั้นขาสั้น กระต่ายขาว ขอบชมพู 2XL</v>
          </cell>
          <cell r="E7792">
            <v>0</v>
          </cell>
          <cell r="F7792">
            <v>790</v>
          </cell>
        </row>
        <row r="7793">
          <cell r="A7793" t="str">
            <v>SN1036-L</v>
          </cell>
          <cell r="B7793" t="str">
            <v>N1036</v>
          </cell>
          <cell r="C7793" t="str">
            <v>ซาติน แขนสั้นขาสั้น กระต่ายขาว ขอบชมพู L</v>
          </cell>
          <cell r="E7793">
            <v>0</v>
          </cell>
          <cell r="F7793">
            <v>790</v>
          </cell>
        </row>
        <row r="7794">
          <cell r="A7794" t="str">
            <v>SN1036-M</v>
          </cell>
          <cell r="B7794" t="str">
            <v>N1036</v>
          </cell>
          <cell r="C7794" t="str">
            <v>ซาติน แขนสั้นขาสั้น กระต่ายขาว ขอบชมพู M</v>
          </cell>
          <cell r="E7794">
            <v>0</v>
          </cell>
          <cell r="F7794">
            <v>790</v>
          </cell>
        </row>
        <row r="7795">
          <cell r="A7795" t="str">
            <v>SN1036-XL</v>
          </cell>
          <cell r="B7795" t="str">
            <v>N1036</v>
          </cell>
          <cell r="C7795" t="str">
            <v>ซาติน แขนสั้นขาสั้น กระต่ายขาว ขอบชมพู XL</v>
          </cell>
          <cell r="E7795">
            <v>0</v>
          </cell>
          <cell r="F7795">
            <v>790</v>
          </cell>
        </row>
        <row r="7796">
          <cell r="A7796" t="str">
            <v>SN1037-2XL</v>
          </cell>
          <cell r="B7796" t="str">
            <v>N1037</v>
          </cell>
          <cell r="C7796" t="str">
            <v>ซาติน แขนสั้นขาสั้น ชมพูส้ม พาสเทล 2XL (กปก)</v>
          </cell>
          <cell r="E7796">
            <v>0</v>
          </cell>
          <cell r="F7796">
            <v>790</v>
          </cell>
        </row>
        <row r="7797">
          <cell r="A7797" t="str">
            <v>SN1037-L</v>
          </cell>
          <cell r="B7797" t="str">
            <v>N1037</v>
          </cell>
          <cell r="C7797" t="str">
            <v>ซาติน แขนสั้นขาสั้น ชมพูส้ม พาสเทล L (กปก)</v>
          </cell>
          <cell r="E7797">
            <v>0</v>
          </cell>
          <cell r="F7797">
            <v>790</v>
          </cell>
        </row>
        <row r="7798">
          <cell r="A7798" t="str">
            <v>SN1037-M</v>
          </cell>
          <cell r="B7798" t="str">
            <v>N1037</v>
          </cell>
          <cell r="C7798" t="str">
            <v>ซาติน แขนสั้นขาสั้น ชมพูส้ม พาสเทล M (กปก)</v>
          </cell>
          <cell r="E7798">
            <v>0</v>
          </cell>
          <cell r="F7798">
            <v>590</v>
          </cell>
        </row>
        <row r="7799">
          <cell r="A7799" t="str">
            <v>SN1037-XL</v>
          </cell>
          <cell r="B7799" t="str">
            <v>N1037</v>
          </cell>
          <cell r="C7799" t="str">
            <v>ซาติน แขนสั้นขาสั้น ชมพูส้ม พาสเทล XL (กปก)</v>
          </cell>
          <cell r="E7799">
            <v>0</v>
          </cell>
          <cell r="F7799">
            <v>790</v>
          </cell>
        </row>
        <row r="7800">
          <cell r="A7800" t="str">
            <v>SN1038-2XL</v>
          </cell>
          <cell r="B7800" t="str">
            <v>N1038</v>
          </cell>
          <cell r="C7800" t="str">
            <v>ซาติน แขนสั้นขาสั้น เขียวทูโทน พื้นฟ้า 2XL (กปก)</v>
          </cell>
          <cell r="E7800">
            <v>0</v>
          </cell>
          <cell r="F7800">
            <v>790</v>
          </cell>
        </row>
        <row r="7801">
          <cell r="A7801" t="str">
            <v>SN1038-L</v>
          </cell>
          <cell r="B7801" t="str">
            <v>N1038</v>
          </cell>
          <cell r="C7801" t="str">
            <v>ซาติน แขนสั้นขาสั้น เขียวทูโทน พื้นฟ้า L (กปก)</v>
          </cell>
          <cell r="E7801">
            <v>0</v>
          </cell>
          <cell r="F7801">
            <v>590</v>
          </cell>
        </row>
        <row r="7802">
          <cell r="A7802" t="str">
            <v>SN1038-M</v>
          </cell>
          <cell r="B7802" t="str">
            <v>N1038</v>
          </cell>
          <cell r="C7802" t="str">
            <v>ซาติน แขนสั้นขาสั้น เขียวทูโทน พื้นฟ้า M (กปก)</v>
          </cell>
          <cell r="E7802">
            <v>0</v>
          </cell>
          <cell r="F7802">
            <v>790</v>
          </cell>
        </row>
        <row r="7803">
          <cell r="A7803" t="str">
            <v>SN1038-XL</v>
          </cell>
          <cell r="B7803" t="str">
            <v>N1038</v>
          </cell>
          <cell r="C7803" t="str">
            <v>ซาติน แขนสั้นขาสั้น เขียวทูโทน พื้นฟ้า XL (กปก)</v>
          </cell>
          <cell r="E7803">
            <v>0</v>
          </cell>
          <cell r="F7803">
            <v>790</v>
          </cell>
        </row>
        <row r="7804">
          <cell r="A7804" t="str">
            <v>SN1039-2XL</v>
          </cell>
          <cell r="B7804" t="str">
            <v>N1039</v>
          </cell>
          <cell r="C7804" t="str">
            <v>ซาติน แขนสั้นขาสั้น ดอกไม้แดง พื้นชมพู ขอบเขียว 2XL (กปก)</v>
          </cell>
          <cell r="E7804">
            <v>0</v>
          </cell>
          <cell r="F7804">
            <v>790</v>
          </cell>
        </row>
        <row r="7805">
          <cell r="A7805" t="str">
            <v>SN1039-L</v>
          </cell>
          <cell r="B7805" t="str">
            <v>N1039</v>
          </cell>
          <cell r="C7805" t="str">
            <v>ซาติน แขนสั้นขาสั้น ดอกไม้แดง พื้นชมพู ขอบเขียว L (กปก)</v>
          </cell>
          <cell r="E7805">
            <v>0</v>
          </cell>
          <cell r="F7805">
            <v>790</v>
          </cell>
        </row>
        <row r="7806">
          <cell r="A7806" t="str">
            <v>SN1039-M</v>
          </cell>
          <cell r="B7806" t="str">
            <v>N1039</v>
          </cell>
          <cell r="C7806" t="str">
            <v>ซาติน แขนสั้นขาสั้น ดอกไม้แดง พื้นชมพู ขอบเขียว M (กปก)</v>
          </cell>
          <cell r="E7806">
            <v>0</v>
          </cell>
          <cell r="F7806">
            <v>790</v>
          </cell>
        </row>
        <row r="7807">
          <cell r="A7807" t="str">
            <v>SN1039-XL</v>
          </cell>
          <cell r="B7807" t="str">
            <v>N1039</v>
          </cell>
          <cell r="C7807" t="str">
            <v>ซาติน แขนสั้นขาสั้น ดอกไม้แดง พื้นชมพู ขอบเขียว XL (กปก)</v>
          </cell>
          <cell r="E7807">
            <v>0</v>
          </cell>
          <cell r="F7807">
            <v>790</v>
          </cell>
        </row>
        <row r="7808">
          <cell r="A7808" t="str">
            <v>SN1040-2XL</v>
          </cell>
          <cell r="B7808" t="str">
            <v>QN1040</v>
          </cell>
          <cell r="C7808" t="str">
            <v>ซาติน แขนสั้นขาสั้น ชมพู กรม หลากสี 2XL (กปก) QC</v>
          </cell>
          <cell r="E7808">
            <v>0</v>
          </cell>
          <cell r="F7808">
            <v>790</v>
          </cell>
        </row>
        <row r="7809">
          <cell r="A7809" t="str">
            <v>SN1040-L</v>
          </cell>
          <cell r="B7809" t="str">
            <v>N1040</v>
          </cell>
          <cell r="C7809" t="str">
            <v>ซาติน แขนสั้นขาสั้น ชมพู กรม หลากสี L (กปก)</v>
          </cell>
          <cell r="E7809">
            <v>0</v>
          </cell>
          <cell r="F7809">
            <v>790</v>
          </cell>
        </row>
        <row r="7810">
          <cell r="A7810" t="str">
            <v>SN1040-M</v>
          </cell>
          <cell r="B7810" t="str">
            <v>QN1040</v>
          </cell>
          <cell r="C7810" t="str">
            <v>ซาติน แขนสั้นขาสั้น ชมพู กรม หลากสี M (กปก) QC</v>
          </cell>
          <cell r="E7810">
            <v>0</v>
          </cell>
          <cell r="F7810">
            <v>790</v>
          </cell>
        </row>
        <row r="7811">
          <cell r="A7811" t="str">
            <v>SN1040-XL</v>
          </cell>
          <cell r="B7811" t="str">
            <v>N1040</v>
          </cell>
          <cell r="C7811" t="str">
            <v>ซาติน แขนสั้นขาสั้น ชมพู กรม หลากสี XL (กปก)</v>
          </cell>
          <cell r="E7811">
            <v>0</v>
          </cell>
          <cell r="F7811">
            <v>790</v>
          </cell>
        </row>
        <row r="7812">
          <cell r="A7812" t="str">
            <v>SN1041-2XL</v>
          </cell>
          <cell r="B7812" t="str">
            <v>N1041</v>
          </cell>
          <cell r="C7812" t="str">
            <v>ซาติน แขนสั้นขาสั้น Happy Baby Girl 2XL (กปก)</v>
          </cell>
          <cell r="E7812">
            <v>0</v>
          </cell>
          <cell r="F7812">
            <v>790</v>
          </cell>
        </row>
        <row r="7813">
          <cell r="A7813" t="str">
            <v>SN1041-L</v>
          </cell>
          <cell r="B7813" t="str">
            <v>N1041</v>
          </cell>
          <cell r="C7813" t="str">
            <v>ซาติน แขนสั้นขาสั้น Happy Baby Girl L (กปก)</v>
          </cell>
          <cell r="E7813">
            <v>0</v>
          </cell>
          <cell r="F7813">
            <v>790</v>
          </cell>
        </row>
        <row r="7814">
          <cell r="A7814" t="str">
            <v>SN1041-M</v>
          </cell>
          <cell r="B7814" t="str">
            <v>N1041</v>
          </cell>
          <cell r="C7814" t="str">
            <v>ซาติน แขนสั้นขาสั้น Happy Baby Girl M (กปก)</v>
          </cell>
          <cell r="E7814">
            <v>0</v>
          </cell>
          <cell r="F7814">
            <v>790</v>
          </cell>
        </row>
        <row r="7815">
          <cell r="A7815" t="str">
            <v>SN1041-XL</v>
          </cell>
          <cell r="B7815" t="str">
            <v>N1041</v>
          </cell>
          <cell r="C7815" t="str">
            <v>ซาติน แขนสั้นขาสั้น Happy Baby Girl XL (กปก)</v>
          </cell>
          <cell r="E7815">
            <v>0</v>
          </cell>
          <cell r="F7815">
            <v>790</v>
          </cell>
        </row>
        <row r="7816">
          <cell r="A7816" t="str">
            <v>SN1042-2XL</v>
          </cell>
          <cell r="B7816" t="str">
            <v>N1042</v>
          </cell>
          <cell r="C7816" t="str">
            <v>ซาติน แขนสั้นขาสั้น เสิอน้อย พื้นครีม 2XL (กปก)</v>
          </cell>
          <cell r="E7816">
            <v>0</v>
          </cell>
          <cell r="F7816">
            <v>790</v>
          </cell>
        </row>
        <row r="7817">
          <cell r="A7817" t="str">
            <v>SN1042-L</v>
          </cell>
          <cell r="B7817" t="str">
            <v>N1042</v>
          </cell>
          <cell r="C7817" t="str">
            <v>ซาติน แขนสั้นขาสั้น เสิอน้อย พื้นครีม L (กปก)</v>
          </cell>
          <cell r="E7817">
            <v>0</v>
          </cell>
          <cell r="F7817">
            <v>790</v>
          </cell>
        </row>
        <row r="7818">
          <cell r="A7818" t="str">
            <v>SN1042-M</v>
          </cell>
          <cell r="B7818" t="str">
            <v>QN1042</v>
          </cell>
          <cell r="C7818" t="str">
            <v>ซาติน แขนสั้นขาสั้น เสิอน้อย พื้นครีม M (กปก) QC</v>
          </cell>
          <cell r="E7818">
            <v>0</v>
          </cell>
          <cell r="F7818">
            <v>790</v>
          </cell>
        </row>
        <row r="7819">
          <cell r="A7819" t="str">
            <v>SN1042-XL</v>
          </cell>
          <cell r="B7819" t="str">
            <v>N1042</v>
          </cell>
          <cell r="C7819" t="str">
            <v>ซาติน แขนสั้นขาสั้น เสิอน้อย พื้นครีม XL (กปก)</v>
          </cell>
          <cell r="E7819">
            <v>0</v>
          </cell>
          <cell r="F7819">
            <v>790</v>
          </cell>
        </row>
        <row r="7820">
          <cell r="A7820" t="str">
            <v>SN1043-2XL</v>
          </cell>
          <cell r="B7820" t="str">
            <v>N1043</v>
          </cell>
          <cell r="C7820" t="str">
            <v>ซาติน แขนสั้นขาสั้น กราฟฟิก ขาวดำ 2XL (กปก)</v>
          </cell>
          <cell r="E7820">
            <v>0</v>
          </cell>
          <cell r="F7820">
            <v>790</v>
          </cell>
        </row>
        <row r="7821">
          <cell r="A7821" t="str">
            <v>SN1043-L</v>
          </cell>
          <cell r="B7821" t="str">
            <v>N1043</v>
          </cell>
          <cell r="C7821" t="str">
            <v>ซาติน แขนสั้นขาสั้น กราฟฟิก ขาวดำ L (กปก)</v>
          </cell>
          <cell r="E7821">
            <v>0</v>
          </cell>
          <cell r="F7821">
            <v>790</v>
          </cell>
        </row>
        <row r="7822">
          <cell r="A7822" t="str">
            <v>SN1043-M</v>
          </cell>
          <cell r="B7822" t="str">
            <v>N1043</v>
          </cell>
          <cell r="C7822" t="str">
            <v>[AB]  ซาติน แขนสั้นขาสั้น กราฟฟิก ขาวดำ M (กปก)</v>
          </cell>
          <cell r="E7822">
            <v>0</v>
          </cell>
          <cell r="F7822">
            <v>790</v>
          </cell>
        </row>
        <row r="7823">
          <cell r="A7823" t="str">
            <v>SN1043-XL</v>
          </cell>
          <cell r="B7823" t="str">
            <v>N1043</v>
          </cell>
          <cell r="C7823" t="str">
            <v>ซาติน แขนสั้นขาสั้น กราฟฟิก ขาวดำ XL (กปก)</v>
          </cell>
          <cell r="E7823">
            <v>0</v>
          </cell>
          <cell r="F7823">
            <v>790</v>
          </cell>
        </row>
        <row r="7824">
          <cell r="A7824" t="str">
            <v>SN1044-2XL</v>
          </cell>
          <cell r="B7824" t="str">
            <v>N1044</v>
          </cell>
          <cell r="C7824" t="str">
            <v>ซาติน แขนสั้นขาสั้น อาร์ทหน้ายิ้ม พื้นส้ม 2XL (กปก)</v>
          </cell>
          <cell r="E7824">
            <v>0</v>
          </cell>
          <cell r="F7824">
            <v>790</v>
          </cell>
        </row>
        <row r="7825">
          <cell r="A7825" t="str">
            <v>SN1044-L</v>
          </cell>
          <cell r="B7825" t="str">
            <v>N1044</v>
          </cell>
          <cell r="C7825" t="str">
            <v>ซาติน แขนสั้นขาสั้น อาร์ทหน้ายิ้ม พื้นส้ม L (กปก)</v>
          </cell>
          <cell r="E7825">
            <v>0</v>
          </cell>
          <cell r="F7825">
            <v>790</v>
          </cell>
        </row>
        <row r="7826">
          <cell r="A7826" t="str">
            <v>SN1044-M</v>
          </cell>
          <cell r="B7826" t="str">
            <v>N1044</v>
          </cell>
          <cell r="C7826" t="str">
            <v>ซาติน แขนสั้นขาสั้น อาร์ทหน้ายิ้ม พื้นส้ม M (กปก)</v>
          </cell>
          <cell r="E7826">
            <v>0</v>
          </cell>
          <cell r="F7826">
            <v>790</v>
          </cell>
        </row>
        <row r="7827">
          <cell r="A7827" t="str">
            <v>SN1044-XL</v>
          </cell>
          <cell r="B7827" t="str">
            <v>N1044</v>
          </cell>
          <cell r="C7827" t="str">
            <v>ซาติน แขนสั้นขาสั้น อาร์ทหน้ายิ้ม พื้นส้ม XL (กปก)</v>
          </cell>
          <cell r="E7827">
            <v>0</v>
          </cell>
          <cell r="F7827">
            <v>790</v>
          </cell>
        </row>
        <row r="7828">
          <cell r="A7828" t="str">
            <v>SN1045-2XL</v>
          </cell>
          <cell r="B7828" t="str">
            <v>N1045</v>
          </cell>
          <cell r="C7828" t="str">
            <v>ซาติน แขนสั้นขาสั้น โซ่ พื้นกรม 2XL (กปก)</v>
          </cell>
          <cell r="E7828">
            <v>0</v>
          </cell>
          <cell r="F7828">
            <v>790</v>
          </cell>
        </row>
        <row r="7829">
          <cell r="A7829" t="str">
            <v>SN1045-L</v>
          </cell>
          <cell r="B7829" t="str">
            <v>N1045</v>
          </cell>
          <cell r="C7829" t="str">
            <v>ซาติน แขนสั้นขาสั้น โซ่ พื้นกรม L (กปก)</v>
          </cell>
          <cell r="E7829">
            <v>0</v>
          </cell>
          <cell r="F7829">
            <v>790</v>
          </cell>
        </row>
        <row r="7830">
          <cell r="A7830" t="str">
            <v>SN1045-M</v>
          </cell>
          <cell r="B7830" t="str">
            <v>N1045</v>
          </cell>
          <cell r="C7830" t="str">
            <v>ซาติน แขนสั้นขาสั้น โซ่ พื้นกรม M (กปก)</v>
          </cell>
          <cell r="E7830">
            <v>0</v>
          </cell>
          <cell r="F7830">
            <v>790</v>
          </cell>
        </row>
        <row r="7831">
          <cell r="A7831" t="str">
            <v>SN1045-XL</v>
          </cell>
          <cell r="B7831" t="str">
            <v>N1045</v>
          </cell>
          <cell r="C7831" t="str">
            <v>ซาติน แขนสั้นขาสั้น โซ่ พื้นกรม XL (กปก)</v>
          </cell>
          <cell r="E7831">
            <v>0</v>
          </cell>
          <cell r="F7831">
            <v>790</v>
          </cell>
        </row>
        <row r="7832">
          <cell r="A7832" t="str">
            <v>SN1046-2XL</v>
          </cell>
          <cell r="B7832" t="str">
            <v>N1046</v>
          </cell>
          <cell r="C7832" t="str">
            <v>[AF]  ซาติน แขนสั้นขาสั้น ดอกไม้แดง ขอบเขียว 2XL</v>
          </cell>
          <cell r="E7832">
            <v>0</v>
          </cell>
          <cell r="F7832">
            <v>790</v>
          </cell>
        </row>
        <row r="7833">
          <cell r="A7833" t="str">
            <v>SN1046-L</v>
          </cell>
          <cell r="B7833" t="str">
            <v>N1046</v>
          </cell>
          <cell r="C7833" t="str">
            <v>ซาติน แขนสั้นขาสั้น ดอกไม้แดง ขอบเขียว L</v>
          </cell>
          <cell r="E7833">
            <v>0</v>
          </cell>
          <cell r="F7833">
            <v>790</v>
          </cell>
        </row>
        <row r="7834">
          <cell r="A7834" t="str">
            <v>SN1046-M</v>
          </cell>
          <cell r="B7834" t="str">
            <v>QN1046</v>
          </cell>
          <cell r="C7834" t="str">
            <v>ซาติน แขนสั้นขาสั้น ดอกไม้แดง ขอบเขียว M QC</v>
          </cell>
          <cell r="E7834">
            <v>0</v>
          </cell>
          <cell r="F7834">
            <v>790</v>
          </cell>
        </row>
        <row r="7835">
          <cell r="A7835" t="str">
            <v>SN1046-XL</v>
          </cell>
          <cell r="B7835" t="str">
            <v>N1046</v>
          </cell>
          <cell r="C7835" t="str">
            <v>[AF]  ซาติน แขนสั้นขาสั้น ดอกไม้แดง ขอบเขียว XL</v>
          </cell>
          <cell r="E7835">
            <v>0</v>
          </cell>
          <cell r="F7835">
            <v>790</v>
          </cell>
        </row>
        <row r="7836">
          <cell r="A7836" t="str">
            <v>SN1049-L</v>
          </cell>
          <cell r="B7836" t="str">
            <v>N1049</v>
          </cell>
          <cell r="C7836" t="str">
            <v>ซาติน แขนสั้นขาสั้น กระต่ายน้อย พื้นชมพู คอระบาย L (กปก)</v>
          </cell>
          <cell r="E7836">
            <v>0</v>
          </cell>
          <cell r="F7836">
            <v>790</v>
          </cell>
        </row>
        <row r="7837">
          <cell r="A7837" t="str">
            <v>SN1049-M</v>
          </cell>
          <cell r="B7837" t="str">
            <v>N1049</v>
          </cell>
          <cell r="C7837" t="str">
            <v>ซาติน แขนสั้นขาสั้น กระต่ายน้อย พื้นชมพู คอระบาย M (กปก)</v>
          </cell>
          <cell r="E7837">
            <v>0</v>
          </cell>
          <cell r="F7837">
            <v>790</v>
          </cell>
        </row>
        <row r="7838">
          <cell r="A7838" t="str">
            <v>SN1050-L</v>
          </cell>
          <cell r="B7838" t="str">
            <v>N1050</v>
          </cell>
          <cell r="C7838" t="str">
            <v>ซาติน แขนสั้นขาสั้น กระต่ายน้อย พื้นขาว คอระบาย L (กปก)</v>
          </cell>
          <cell r="E7838">
            <v>0</v>
          </cell>
          <cell r="F7838">
            <v>790</v>
          </cell>
        </row>
        <row r="7839">
          <cell r="A7839" t="str">
            <v>SN1050-M</v>
          </cell>
          <cell r="B7839" t="str">
            <v>N1050</v>
          </cell>
          <cell r="C7839" t="str">
            <v>ซาติน แขนสั้นขาสั้น กระต่ายน้อย พื้นขาว คอระบาย M (กปก)</v>
          </cell>
          <cell r="E7839">
            <v>0</v>
          </cell>
          <cell r="F7839">
            <v>590</v>
          </cell>
        </row>
        <row r="7840">
          <cell r="A7840" t="str">
            <v>SN1051-L</v>
          </cell>
          <cell r="B7840" t="str">
            <v>N1051</v>
          </cell>
          <cell r="C7840" t="str">
            <v>ซาติน แขนสั้นขาสั้น เขียวขอบระบาย L (กปก)</v>
          </cell>
          <cell r="E7840">
            <v>0</v>
          </cell>
          <cell r="F7840">
            <v>790</v>
          </cell>
        </row>
        <row r="7841">
          <cell r="A7841" t="str">
            <v>SN1051-M</v>
          </cell>
          <cell r="B7841" t="str">
            <v>N1051</v>
          </cell>
          <cell r="C7841" t="str">
            <v>ซาติน แขนสั้นขาสั้น เขียวขอบระบาย M (กปก)</v>
          </cell>
          <cell r="E7841">
            <v>0</v>
          </cell>
          <cell r="F7841">
            <v>790</v>
          </cell>
        </row>
        <row r="7842">
          <cell r="A7842" t="str">
            <v>SN1052-L</v>
          </cell>
          <cell r="B7842" t="str">
            <v>N1052</v>
          </cell>
          <cell r="C7842" t="str">
            <v>ซาติน แขนสั้นขาสั้น ครีมขอบระบาย L (กปก)</v>
          </cell>
          <cell r="E7842">
            <v>0</v>
          </cell>
          <cell r="F7842">
            <v>790</v>
          </cell>
        </row>
        <row r="7843">
          <cell r="A7843" t="str">
            <v>SN1052-M</v>
          </cell>
          <cell r="B7843" t="str">
            <v>N1052</v>
          </cell>
          <cell r="C7843" t="str">
            <v>ซาติน แขนสั้นขาสั้น ครีมขอบระบาย M (กปก)</v>
          </cell>
          <cell r="E7843">
            <v>0</v>
          </cell>
          <cell r="F7843">
            <v>790</v>
          </cell>
        </row>
        <row r="7844">
          <cell r="A7844" t="str">
            <v>SN1055-2XL</v>
          </cell>
          <cell r="B7844" t="str">
            <v>N1055</v>
          </cell>
          <cell r="C7844" t="str">
            <v>ซาติน แขนสั้นขาสั้น หมีน้อย พื้นน้ำตาล 2XL (กปก)</v>
          </cell>
          <cell r="E7844">
            <v>2</v>
          </cell>
          <cell r="F7844">
            <v>790</v>
          </cell>
        </row>
        <row r="7845">
          <cell r="A7845" t="str">
            <v>SN1055-L</v>
          </cell>
          <cell r="B7845" t="str">
            <v>N1055</v>
          </cell>
          <cell r="C7845" t="str">
            <v>ซาติน แขนสั้นขาสั้น หมีน้อย พื้นน้ำตาล L (กปก)</v>
          </cell>
          <cell r="E7845">
            <v>0</v>
          </cell>
          <cell r="F7845">
            <v>790</v>
          </cell>
        </row>
        <row r="7846">
          <cell r="A7846" t="str">
            <v>SN1055-M</v>
          </cell>
          <cell r="B7846" t="str">
            <v>N1055</v>
          </cell>
          <cell r="C7846" t="str">
            <v>ซาติน แขนสั้นขาสั้น หมีน้อย พื้นน้ำตาล M (กปก)</v>
          </cell>
          <cell r="E7846">
            <v>0</v>
          </cell>
          <cell r="F7846">
            <v>590</v>
          </cell>
        </row>
        <row r="7847">
          <cell r="A7847" t="str">
            <v>SN1055-XL</v>
          </cell>
          <cell r="B7847" t="str">
            <v>N1055</v>
          </cell>
          <cell r="C7847" t="str">
            <v>ซาติน แขนสั้นขาสั้น หมีน้อย พื้นน้ำตาล XL (กปก)</v>
          </cell>
          <cell r="E7847">
            <v>0</v>
          </cell>
          <cell r="F7847">
            <v>790</v>
          </cell>
        </row>
        <row r="7848">
          <cell r="A7848" t="str">
            <v>SN1056-2XL</v>
          </cell>
          <cell r="B7848" t="str">
            <v>N1056</v>
          </cell>
          <cell r="C7848" t="str">
            <v>ซาติน แขนสั้นขาสั้น หมีน้อย พื้นครีม 2XL (กปก)</v>
          </cell>
          <cell r="E7848">
            <v>0</v>
          </cell>
          <cell r="F7848">
            <v>790</v>
          </cell>
        </row>
        <row r="7849">
          <cell r="A7849" t="str">
            <v>SN1056-L</v>
          </cell>
          <cell r="B7849" t="str">
            <v>N1056</v>
          </cell>
          <cell r="C7849" t="str">
            <v>ซาติน แขนสั้นขาสั้น หมีน้อย พื้นครีม L (กปก)</v>
          </cell>
          <cell r="E7849">
            <v>0</v>
          </cell>
          <cell r="F7849">
            <v>790</v>
          </cell>
        </row>
        <row r="7850">
          <cell r="A7850" t="str">
            <v>SN1056-M</v>
          </cell>
          <cell r="B7850" t="str">
            <v>N1056</v>
          </cell>
          <cell r="C7850" t="str">
            <v>ซาติน แขนสั้นขาสั้น หมีน้อย พื้นครีม M (กปก)</v>
          </cell>
          <cell r="E7850">
            <v>0</v>
          </cell>
          <cell r="F7850">
            <v>790</v>
          </cell>
        </row>
        <row r="7851">
          <cell r="A7851" t="str">
            <v>SN1056-XL</v>
          </cell>
          <cell r="B7851" t="str">
            <v>N1056</v>
          </cell>
          <cell r="C7851" t="str">
            <v>ซาติน แขนสั้นขาสั้น หมีน้อย พื้นครีม XL (กปก)</v>
          </cell>
          <cell r="E7851">
            <v>0</v>
          </cell>
          <cell r="F7851">
            <v>790</v>
          </cell>
        </row>
        <row r="7852">
          <cell r="A7852" t="str">
            <v>SN1057-2XL</v>
          </cell>
          <cell r="B7852" t="str">
            <v>N1057</v>
          </cell>
          <cell r="C7852" t="str">
            <v>ซาติน แขนสั้นขาสั้น สุนัขลายทาง เขียวอ่อน 2XL (กปก)</v>
          </cell>
          <cell r="E7852">
            <v>0</v>
          </cell>
          <cell r="F7852">
            <v>790</v>
          </cell>
        </row>
        <row r="7853">
          <cell r="A7853" t="str">
            <v>SN1057-L</v>
          </cell>
          <cell r="B7853" t="str">
            <v>N1057</v>
          </cell>
          <cell r="C7853" t="str">
            <v>ซาติน แขนสั้นขาสั้น สุนัขลายทาง เขียวอ่อน L (กปก)</v>
          </cell>
          <cell r="E7853">
            <v>0</v>
          </cell>
          <cell r="F7853">
            <v>790</v>
          </cell>
        </row>
        <row r="7854">
          <cell r="A7854" t="str">
            <v>SN1057-M</v>
          </cell>
          <cell r="B7854" t="str">
            <v>N1057</v>
          </cell>
          <cell r="C7854" t="str">
            <v>ซาติน แขนสั้นขาสั้น สุนัขลายทาง เขียวอ่อน M (กปก)</v>
          </cell>
          <cell r="E7854">
            <v>0</v>
          </cell>
          <cell r="F7854">
            <v>590</v>
          </cell>
        </row>
        <row r="7855">
          <cell r="A7855" t="str">
            <v>SN1057-XL</v>
          </cell>
          <cell r="B7855" t="str">
            <v>N1057</v>
          </cell>
          <cell r="C7855" t="str">
            <v>ซาติน แขนสั้นขาสั้น สุนัขลายทาง เขียวอ่อน XL (กปก)</v>
          </cell>
          <cell r="E7855">
            <v>0</v>
          </cell>
          <cell r="F7855">
            <v>790</v>
          </cell>
        </row>
        <row r="7856">
          <cell r="A7856" t="str">
            <v>SN1058-2XL</v>
          </cell>
          <cell r="B7856" t="str">
            <v>N1058</v>
          </cell>
          <cell r="C7856" t="str">
            <v>ซาติน แขนสั้นขาสั้น กุหลาบขาว พื้นดำ ปกม่วง 2XL (กปก)</v>
          </cell>
          <cell r="E7856">
            <v>0</v>
          </cell>
          <cell r="F7856">
            <v>790</v>
          </cell>
        </row>
        <row r="7857">
          <cell r="A7857" t="str">
            <v>SN1058-L</v>
          </cell>
          <cell r="B7857" t="str">
            <v>N1058</v>
          </cell>
          <cell r="C7857" t="str">
            <v>ซาติน แขนสั้นขาสั้น กุหลาบขาว พื้นดำ ปกม่วง L (กปก)</v>
          </cell>
          <cell r="E7857">
            <v>0</v>
          </cell>
          <cell r="F7857">
            <v>790</v>
          </cell>
        </row>
        <row r="7858">
          <cell r="A7858" t="str">
            <v>SN1058-M</v>
          </cell>
          <cell r="B7858" t="str">
            <v>N1058</v>
          </cell>
          <cell r="C7858" t="str">
            <v>ซาติน แขนสั้นขาสั้น กุหลาบขาว พื้นดำ ปกม่วง M (กปก)</v>
          </cell>
          <cell r="E7858">
            <v>0</v>
          </cell>
          <cell r="F7858">
            <v>790</v>
          </cell>
        </row>
        <row r="7859">
          <cell r="A7859" t="str">
            <v>SN1058-XL</v>
          </cell>
          <cell r="B7859" t="str">
            <v>N1058</v>
          </cell>
          <cell r="C7859" t="str">
            <v>[AH]  ซาติน แขนสั้นขาสั้น กุหลาบขาว พื้นดำ ปกม่วง XL (กปก)</v>
          </cell>
          <cell r="E7859">
            <v>0</v>
          </cell>
          <cell r="F7859">
            <v>790</v>
          </cell>
        </row>
        <row r="7860">
          <cell r="A7860" t="str">
            <v>SN1062-2XL</v>
          </cell>
          <cell r="B7860" t="str">
            <v>N1062</v>
          </cell>
          <cell r="C7860" t="str">
            <v>ซาติน แขนสั้นขาสั้น คัพเค้ก เบบี้เกิร์ล 2XL</v>
          </cell>
          <cell r="E7860">
            <v>0</v>
          </cell>
          <cell r="F7860">
            <v>790</v>
          </cell>
        </row>
        <row r="7861">
          <cell r="A7861" t="str">
            <v>SN1062-L</v>
          </cell>
          <cell r="B7861" t="str">
            <v>N1062</v>
          </cell>
          <cell r="C7861" t="str">
            <v>ซาติน แขนสั้นขาสั้น คัพเค้ก เบบี้เกิร์ล L</v>
          </cell>
          <cell r="E7861">
            <v>0</v>
          </cell>
          <cell r="F7861">
            <v>790</v>
          </cell>
        </row>
        <row r="7862">
          <cell r="A7862" t="str">
            <v>SN1062-M</v>
          </cell>
          <cell r="B7862" t="str">
            <v>N1062</v>
          </cell>
          <cell r="C7862" t="str">
            <v>ซาติน แขนสั้นขาสั้น คัพเค้ก เบบี้เกิร์ล M</v>
          </cell>
          <cell r="E7862">
            <v>0</v>
          </cell>
          <cell r="F7862">
            <v>790</v>
          </cell>
        </row>
        <row r="7863">
          <cell r="A7863" t="str">
            <v>SN1062-XL</v>
          </cell>
          <cell r="B7863" t="str">
            <v>N1062</v>
          </cell>
          <cell r="C7863" t="str">
            <v>ซาติน แขนสั้นขาสั้น คัพเค้ก เบบี้เกิร์ล XL</v>
          </cell>
          <cell r="E7863">
            <v>0</v>
          </cell>
          <cell r="F7863">
            <v>790</v>
          </cell>
        </row>
        <row r="7864">
          <cell r="A7864" t="str">
            <v>SN1064-2XL</v>
          </cell>
          <cell r="B7864" t="str">
            <v>N1064</v>
          </cell>
          <cell r="C7864" t="str">
            <v>ซาติน แขนสั้นขาสั้น แมวทะเล พื้นครีม 2XL</v>
          </cell>
          <cell r="E7864">
            <v>0</v>
          </cell>
          <cell r="F7864">
            <v>790</v>
          </cell>
        </row>
        <row r="7865">
          <cell r="A7865" t="str">
            <v>SN1064-L</v>
          </cell>
          <cell r="B7865" t="str">
            <v>N1064</v>
          </cell>
          <cell r="C7865" t="str">
            <v>ซาติน แขนสั้นขาสั้น แมวทะเล พื้นครีม L</v>
          </cell>
          <cell r="E7865">
            <v>0</v>
          </cell>
          <cell r="F7865">
            <v>790</v>
          </cell>
        </row>
        <row r="7866">
          <cell r="A7866" t="str">
            <v>SN1064-M</v>
          </cell>
          <cell r="B7866" t="str">
            <v>N1064</v>
          </cell>
          <cell r="C7866" t="str">
            <v>ซาติน แขนสั้นขาสั้น แมวทะเล พื้นครีม M</v>
          </cell>
          <cell r="E7866">
            <v>0</v>
          </cell>
          <cell r="F7866">
            <v>790</v>
          </cell>
        </row>
        <row r="7867">
          <cell r="A7867" t="str">
            <v>SN1064-XL</v>
          </cell>
          <cell r="B7867" t="str">
            <v>N1064</v>
          </cell>
          <cell r="C7867" t="str">
            <v>ซาติน แขนสั้นขาสั้น แมวทะเล พื้นครีม XL</v>
          </cell>
          <cell r="E7867">
            <v>0</v>
          </cell>
          <cell r="F7867">
            <v>790</v>
          </cell>
        </row>
        <row r="7868">
          <cell r="A7868" t="str">
            <v>SN1065-2XL</v>
          </cell>
          <cell r="B7868" t="str">
            <v>N1065</v>
          </cell>
          <cell r="C7868" t="str">
            <v>ซาติน แขนสั้นขาสั้น รวมสัตว์ อวกาศ พื้นครีม 2XL</v>
          </cell>
          <cell r="E7868">
            <v>0</v>
          </cell>
          <cell r="F7868">
            <v>790</v>
          </cell>
        </row>
        <row r="7869">
          <cell r="A7869" t="str">
            <v>SN1065-L</v>
          </cell>
          <cell r="B7869" t="str">
            <v>QN1065</v>
          </cell>
          <cell r="C7869" t="str">
            <v>ซาติน แขนสั้นขาสั้น รวมสัตว์ อวกาศ พื้นครีม L QC</v>
          </cell>
          <cell r="E7869">
            <v>0</v>
          </cell>
          <cell r="F7869">
            <v>790</v>
          </cell>
        </row>
        <row r="7870">
          <cell r="A7870" t="str">
            <v>SN1065-M</v>
          </cell>
          <cell r="B7870" t="str">
            <v>N1065</v>
          </cell>
          <cell r="C7870" t="str">
            <v>ซาติน แขนสั้นขาสั้น รวมสัตว์ อวกาศ พื้นครีม M</v>
          </cell>
          <cell r="E7870">
            <v>0</v>
          </cell>
          <cell r="F7870">
            <v>790</v>
          </cell>
        </row>
        <row r="7871">
          <cell r="A7871" t="str">
            <v>SN1065-XL</v>
          </cell>
          <cell r="B7871" t="str">
            <v>N1065</v>
          </cell>
          <cell r="C7871" t="str">
            <v>ซาติน แขนสั้นขาสั้น รวมสัตว์ อวกาศ พื้นครีม XL</v>
          </cell>
          <cell r="E7871">
            <v>0</v>
          </cell>
          <cell r="F7871">
            <v>590</v>
          </cell>
        </row>
        <row r="7872">
          <cell r="A7872" t="str">
            <v>SN1066-2XL</v>
          </cell>
          <cell r="B7872" t="str">
            <v>N1066</v>
          </cell>
          <cell r="C7872" t="str">
            <v>ซาติน แขนสั้นขาสั้น รวมสัตว์ อวกาศ พื้นเขียว 2XL</v>
          </cell>
          <cell r="E7872">
            <v>0</v>
          </cell>
          <cell r="F7872">
            <v>790</v>
          </cell>
        </row>
        <row r="7873">
          <cell r="A7873" t="str">
            <v>SN1066-L</v>
          </cell>
          <cell r="B7873" t="str">
            <v>N1066</v>
          </cell>
          <cell r="C7873" t="str">
            <v>ซาติน แขนสั้นขาสั้น รวมสัตว์ อวกาศ พื้นเขียว L</v>
          </cell>
          <cell r="E7873">
            <v>0</v>
          </cell>
          <cell r="F7873">
            <v>790</v>
          </cell>
        </row>
        <row r="7874">
          <cell r="A7874" t="str">
            <v>SN1066-M</v>
          </cell>
          <cell r="B7874" t="str">
            <v>N1066</v>
          </cell>
          <cell r="C7874" t="str">
            <v>ซาติน แขนสั้นขาสั้น รวมสัตว์ อวกาศ พื้นเขียว M</v>
          </cell>
          <cell r="E7874">
            <v>0</v>
          </cell>
          <cell r="F7874">
            <v>790</v>
          </cell>
        </row>
        <row r="7875">
          <cell r="A7875" t="str">
            <v>SN1066-XL</v>
          </cell>
          <cell r="B7875" t="str">
            <v>N1066</v>
          </cell>
          <cell r="C7875" t="str">
            <v>ซาติน แขนสั้นขาสั้น รวมสัตว์ อวกาศ พื้นเขียว XL</v>
          </cell>
          <cell r="E7875">
            <v>0</v>
          </cell>
          <cell r="F7875">
            <v>790</v>
          </cell>
        </row>
        <row r="7876">
          <cell r="A7876" t="str">
            <v>SN1067-2XL</v>
          </cell>
          <cell r="B7876" t="str">
            <v>N1067</v>
          </cell>
          <cell r="C7876" t="str">
            <v>[AK]  ซาติน แขนสั้นขาสั้น Lion rose พื้นขาว 2XL</v>
          </cell>
          <cell r="E7876">
            <v>0</v>
          </cell>
          <cell r="F7876">
            <v>790</v>
          </cell>
        </row>
        <row r="7877">
          <cell r="A7877" t="str">
            <v>SN1067-L</v>
          </cell>
          <cell r="B7877" t="str">
            <v>N1067</v>
          </cell>
          <cell r="C7877" t="str">
            <v>ซาติน  แขนสั้นขาสั้น Lion rose พื้นขาว L</v>
          </cell>
          <cell r="E7877">
            <v>0</v>
          </cell>
          <cell r="F7877">
            <v>790</v>
          </cell>
        </row>
        <row r="7878">
          <cell r="A7878" t="str">
            <v>SN1067-M</v>
          </cell>
          <cell r="B7878" t="str">
            <v>N1067</v>
          </cell>
          <cell r="C7878" t="str">
            <v>ซาติน  แขนสั้นขาสั้น Lion rose พื้นขาว M</v>
          </cell>
          <cell r="E7878">
            <v>0</v>
          </cell>
          <cell r="F7878">
            <v>790</v>
          </cell>
        </row>
        <row r="7879">
          <cell r="A7879" t="str">
            <v>SN1067-XL</v>
          </cell>
          <cell r="B7879" t="str">
            <v>N1067</v>
          </cell>
          <cell r="C7879" t="str">
            <v>[AK]  ซาติน แขนสั้นขาสั้น Lion rose พื้นขาว XL</v>
          </cell>
          <cell r="E7879">
            <v>0</v>
          </cell>
          <cell r="F7879">
            <v>790</v>
          </cell>
        </row>
        <row r="7880">
          <cell r="A7880" t="str">
            <v>SN1068-2XL</v>
          </cell>
          <cell r="B7880" t="str">
            <v>N1068</v>
          </cell>
          <cell r="C7880" t="str">
            <v>ซาติน แขนสั้นขาสั้น ดอกไม้แดง ขอบเขียว กระดุม 2XL</v>
          </cell>
          <cell r="E7880">
            <v>0</v>
          </cell>
          <cell r="F7880">
            <v>790</v>
          </cell>
        </row>
        <row r="7881">
          <cell r="A7881" t="str">
            <v>SN1068-L</v>
          </cell>
          <cell r="B7881" t="str">
            <v>N1068</v>
          </cell>
          <cell r="C7881" t="str">
            <v>ซาติน แขนสั้นขาสั้น ดอกไม้แดง ขอบเขียว กระดุม L</v>
          </cell>
          <cell r="E7881">
            <v>0</v>
          </cell>
          <cell r="F7881">
            <v>790</v>
          </cell>
        </row>
        <row r="7882">
          <cell r="A7882" t="str">
            <v>SN1068-M</v>
          </cell>
          <cell r="B7882" t="str">
            <v>N1068</v>
          </cell>
          <cell r="C7882" t="str">
            <v>ซาติน แขนสั้นขาสั้น ดอกไม้แดง ขอบเขียว กระดุม M</v>
          </cell>
          <cell r="E7882">
            <v>0</v>
          </cell>
          <cell r="F7882">
            <v>790</v>
          </cell>
        </row>
        <row r="7883">
          <cell r="A7883" t="str">
            <v>SN1068-XL</v>
          </cell>
          <cell r="B7883" t="str">
            <v>N1068</v>
          </cell>
          <cell r="C7883" t="str">
            <v>[AA]    ซาติน แขนสั้นขาสั้น ดอกไม้แดง ขอบเขียว กระดุม XL</v>
          </cell>
          <cell r="E7883">
            <v>0</v>
          </cell>
          <cell r="F7883">
            <v>790</v>
          </cell>
        </row>
        <row r="7884">
          <cell r="A7884" t="str">
            <v>SN1069-2XL</v>
          </cell>
          <cell r="B7884" t="str">
            <v>N1069</v>
          </cell>
          <cell r="C7884" t="str">
            <v>ซาติน แขนสั้นขาสั้น เจ้าหญิงทานตะวัน 2XL</v>
          </cell>
          <cell r="E7884">
            <v>0</v>
          </cell>
          <cell r="F7884">
            <v>790</v>
          </cell>
        </row>
        <row r="7885">
          <cell r="A7885" t="str">
            <v>SN1069-L</v>
          </cell>
          <cell r="B7885" t="str">
            <v>N1069</v>
          </cell>
          <cell r="C7885" t="str">
            <v>ซาติน แขนสั้นขาสั้น เจ้าหญิงทานตะวัน L</v>
          </cell>
          <cell r="E7885">
            <v>0</v>
          </cell>
          <cell r="F7885">
            <v>790</v>
          </cell>
        </row>
        <row r="7886">
          <cell r="A7886" t="str">
            <v>SN1069-M</v>
          </cell>
          <cell r="B7886" t="str">
            <v>N1069</v>
          </cell>
          <cell r="C7886" t="str">
            <v>ซาติน แขนสั้นขาสั้น เจ้าหญิงทานตะวัน M</v>
          </cell>
          <cell r="E7886">
            <v>0</v>
          </cell>
          <cell r="F7886">
            <v>590</v>
          </cell>
        </row>
        <row r="7887">
          <cell r="A7887" t="str">
            <v>SN1069-XL</v>
          </cell>
          <cell r="B7887" t="str">
            <v>N1069</v>
          </cell>
          <cell r="C7887" t="str">
            <v>ซาติน แขนสั้นขาสั้น เจ้าหญิงทานตะวัน XL</v>
          </cell>
          <cell r="E7887">
            <v>0</v>
          </cell>
          <cell r="F7887">
            <v>790</v>
          </cell>
        </row>
        <row r="7888">
          <cell r="A7888" t="str">
            <v>SN1080-2XL</v>
          </cell>
          <cell r="B7888" t="str">
            <v>N1080</v>
          </cell>
          <cell r="C7888" t="str">
            <v>ซาติน แขนสั้นขาสั้น Flower Colourful 2XL  (กปก)</v>
          </cell>
          <cell r="E7888">
            <v>0</v>
          </cell>
          <cell r="F7888">
            <v>790</v>
          </cell>
        </row>
        <row r="7889">
          <cell r="A7889" t="str">
            <v>SN1080-L</v>
          </cell>
          <cell r="B7889" t="str">
            <v>N1080</v>
          </cell>
          <cell r="C7889" t="str">
            <v>ซาติน แขนสั้นขาสั้น Flower Colourful L (กปก)</v>
          </cell>
          <cell r="E7889">
            <v>0</v>
          </cell>
          <cell r="F7889">
            <v>790</v>
          </cell>
        </row>
        <row r="7890">
          <cell r="A7890" t="str">
            <v>SN1080-M</v>
          </cell>
          <cell r="B7890" t="str">
            <v>N1080</v>
          </cell>
          <cell r="C7890" t="str">
            <v>ซาติน แขนสั้นขาสั้น Flower Colourful M (กปก)</v>
          </cell>
          <cell r="E7890">
            <v>0</v>
          </cell>
          <cell r="F7890">
            <v>790</v>
          </cell>
        </row>
        <row r="7891">
          <cell r="A7891" t="str">
            <v>SN1080-XL</v>
          </cell>
          <cell r="B7891" t="str">
            <v>N1080</v>
          </cell>
          <cell r="C7891" t="str">
            <v>ซาติน แขนสั้นขาสั้น Flower Colourful XL (กปก)</v>
          </cell>
          <cell r="E7891">
            <v>0</v>
          </cell>
          <cell r="F7891">
            <v>790</v>
          </cell>
        </row>
        <row r="7892">
          <cell r="A7892" t="str">
            <v>SN1082-2XL</v>
          </cell>
          <cell r="B7892" t="str">
            <v>N1082</v>
          </cell>
          <cell r="C7892" t="str">
            <v>ซาติน แขนสั้นขาสั้น คัลเลอร์ฟูล โฮม 2XL  (กปก)</v>
          </cell>
          <cell r="E7892">
            <v>0</v>
          </cell>
          <cell r="F7892">
            <v>790</v>
          </cell>
        </row>
        <row r="7893">
          <cell r="A7893" t="str">
            <v>SN1082-L</v>
          </cell>
          <cell r="B7893" t="str">
            <v>N1082</v>
          </cell>
          <cell r="C7893" t="str">
            <v>ซาติน แขนสั้นขาสั้น คัลเลอร์ฟูล โฮม L (กปก)</v>
          </cell>
          <cell r="E7893">
            <v>0</v>
          </cell>
          <cell r="F7893">
            <v>790</v>
          </cell>
        </row>
        <row r="7894">
          <cell r="A7894" t="str">
            <v>SN1082-M</v>
          </cell>
          <cell r="B7894" t="str">
            <v>N1082</v>
          </cell>
          <cell r="C7894" t="str">
            <v>ซาติน แขนสั้นขาสั้น คัลเลอร์ฟูล โฮม M (กปก)</v>
          </cell>
          <cell r="E7894">
            <v>0</v>
          </cell>
          <cell r="F7894">
            <v>590</v>
          </cell>
        </row>
        <row r="7895">
          <cell r="A7895" t="str">
            <v>SN1082-XL</v>
          </cell>
          <cell r="B7895" t="str">
            <v>N1082</v>
          </cell>
          <cell r="C7895" t="str">
            <v>ซาติน แขนสั้นขาสั้น คัลเลอร์ฟูล โฮม XL (กปก)</v>
          </cell>
          <cell r="E7895">
            <v>0</v>
          </cell>
          <cell r="F7895">
            <v>790</v>
          </cell>
        </row>
        <row r="7896">
          <cell r="A7896" t="str">
            <v>SN1089-2XL</v>
          </cell>
          <cell r="B7896" t="str">
            <v>N1089</v>
          </cell>
          <cell r="C7896" t="str">
            <v>ซาติน แขนสั้นขาสั้น กราฟฟิกแดงฟ้า 2XL (กปก)</v>
          </cell>
          <cell r="E7896">
            <v>0</v>
          </cell>
          <cell r="F7896">
            <v>790</v>
          </cell>
        </row>
        <row r="7897">
          <cell r="A7897" t="str">
            <v>SN1089-L</v>
          </cell>
          <cell r="B7897" t="str">
            <v>N1089</v>
          </cell>
          <cell r="C7897" t="str">
            <v>ซาติน แขนสั้นขาสั้น กราฟฟิกแดงฟ้า L (กปก)</v>
          </cell>
          <cell r="E7897">
            <v>0</v>
          </cell>
          <cell r="F7897">
            <v>790</v>
          </cell>
        </row>
        <row r="7898">
          <cell r="A7898" t="str">
            <v>SN1089-M</v>
          </cell>
          <cell r="B7898" t="str">
            <v>QN1089</v>
          </cell>
          <cell r="C7898" t="str">
            <v>ซาติน แขนสั้นขาสั้น กราฟฟิกแดงฟ้า M (กปก) QC</v>
          </cell>
          <cell r="E7898">
            <v>0</v>
          </cell>
          <cell r="F7898">
            <v>790</v>
          </cell>
        </row>
        <row r="7899">
          <cell r="A7899" t="str">
            <v>SN1089-XL</v>
          </cell>
          <cell r="B7899" t="str">
            <v>N1089</v>
          </cell>
          <cell r="C7899" t="str">
            <v>ซาติน แขนสั้นขาสั้น กราฟฟิกแดงฟ้า XL (กปก)</v>
          </cell>
          <cell r="E7899">
            <v>0</v>
          </cell>
          <cell r="F7899">
            <v>790</v>
          </cell>
        </row>
        <row r="7900">
          <cell r="A7900" t="str">
            <v>SN1090-2XL</v>
          </cell>
          <cell r="B7900" t="str">
            <v>N1090</v>
          </cell>
          <cell r="C7900" t="str">
            <v>ซาติน แขนสั้นขาสั้น ดอกชบา พื้นดำ 2XL (กปก)</v>
          </cell>
          <cell r="E7900">
            <v>0</v>
          </cell>
          <cell r="F7900">
            <v>790</v>
          </cell>
        </row>
        <row r="7901">
          <cell r="A7901" t="str">
            <v>SN1090-L</v>
          </cell>
          <cell r="B7901" t="str">
            <v>N1090</v>
          </cell>
          <cell r="C7901" t="str">
            <v>ซาติน แขนสั้นขาสั้น ดอกชบา พื้นดำ L (กปก)</v>
          </cell>
          <cell r="E7901">
            <v>0</v>
          </cell>
          <cell r="F7901">
            <v>790</v>
          </cell>
        </row>
        <row r="7902">
          <cell r="A7902" t="str">
            <v>SN1090-M</v>
          </cell>
          <cell r="B7902" t="str">
            <v>N1090</v>
          </cell>
          <cell r="C7902" t="str">
            <v>ซาติน แขนสั้นขาสั้น ดอกชบา พื้นดำ M (กปก)</v>
          </cell>
          <cell r="E7902">
            <v>0</v>
          </cell>
          <cell r="F7902">
            <v>790</v>
          </cell>
        </row>
        <row r="7903">
          <cell r="A7903" t="str">
            <v>SN1090-XL</v>
          </cell>
          <cell r="B7903" t="str">
            <v>N1090</v>
          </cell>
          <cell r="C7903" t="str">
            <v>ซาติน แขนสั้นขาสั้น ดอกชบา พื้นดำ XL (กปก)</v>
          </cell>
          <cell r="E7903">
            <v>0</v>
          </cell>
          <cell r="F7903">
            <v>790</v>
          </cell>
        </row>
        <row r="7904">
          <cell r="A7904" t="str">
            <v>SN1092-2XL</v>
          </cell>
          <cell r="B7904" t="str">
            <v>QN1092</v>
          </cell>
          <cell r="C7904" t="str">
            <v>ซาติน แขนสั้นขาสั้น Teal Petals 2XL (กปก) QC</v>
          </cell>
          <cell r="E7904">
            <v>0</v>
          </cell>
          <cell r="F7904">
            <v>790</v>
          </cell>
        </row>
        <row r="7905">
          <cell r="A7905" t="str">
            <v>SN1092-L</v>
          </cell>
          <cell r="B7905" t="str">
            <v>N1092</v>
          </cell>
          <cell r="C7905" t="str">
            <v>ซาติน แขนสั้นขาสั้น ทูโทน น้ำเงินเขียว L (กปก)</v>
          </cell>
          <cell r="E7905">
            <v>0</v>
          </cell>
          <cell r="F7905">
            <v>790</v>
          </cell>
        </row>
        <row r="7906">
          <cell r="A7906" t="str">
            <v>SN1092-M</v>
          </cell>
          <cell r="B7906" t="str">
            <v>N1092</v>
          </cell>
          <cell r="C7906" t="str">
            <v>ซาติน แขนสั้นขาสั้น ทูโทน น้ำเงินเขียว M (กปก)</v>
          </cell>
          <cell r="E7906">
            <v>0</v>
          </cell>
          <cell r="F7906">
            <v>790</v>
          </cell>
        </row>
        <row r="7907">
          <cell r="A7907" t="str">
            <v>SN1092-XL</v>
          </cell>
          <cell r="B7907" t="str">
            <v>QN1092</v>
          </cell>
          <cell r="C7907" t="str">
            <v>[AL]   ซาติน แขนสั้นขาสั้น ทูโทน น้ำเงินเขียว XL (กปก) QC</v>
          </cell>
          <cell r="E7907">
            <v>0</v>
          </cell>
          <cell r="F7907">
            <v>790</v>
          </cell>
        </row>
        <row r="7908">
          <cell r="A7908" t="str">
            <v>SN1093-2XL</v>
          </cell>
          <cell r="B7908" t="str">
            <v>N1093</v>
          </cell>
          <cell r="C7908" t="str">
            <v>ซาติน แขนสั้นขาสั้น พาสเทลชมพู ส้มเหลือง 2XL (กปก)</v>
          </cell>
          <cell r="E7908">
            <v>0</v>
          </cell>
          <cell r="F7908">
            <v>790</v>
          </cell>
        </row>
        <row r="7909">
          <cell r="A7909" t="str">
            <v>SN1093-L</v>
          </cell>
          <cell r="B7909" t="str">
            <v>N1093</v>
          </cell>
          <cell r="C7909" t="str">
            <v>ซาติน แขนสั้นขาสั้น พาสเทลชมพู ส้มเหลือง L (กปก)</v>
          </cell>
          <cell r="E7909">
            <v>0</v>
          </cell>
          <cell r="F7909">
            <v>790</v>
          </cell>
        </row>
        <row r="7910">
          <cell r="A7910" t="str">
            <v>SN1093-M</v>
          </cell>
          <cell r="B7910" t="str">
            <v>N1093</v>
          </cell>
          <cell r="C7910" t="str">
            <v>ซาติน แขนสั้นขาสั้น พาสเทลชมพู ส้มเหลือง M (กปก)</v>
          </cell>
          <cell r="E7910">
            <v>0</v>
          </cell>
          <cell r="F7910">
            <v>790</v>
          </cell>
        </row>
        <row r="7911">
          <cell r="A7911" t="str">
            <v>SN1093-XL</v>
          </cell>
          <cell r="B7911" t="str">
            <v>N1093</v>
          </cell>
          <cell r="C7911" t="str">
            <v>ซาติน แขนสั้นขาสั้น พาสเทลชมพู ส้มเหลือง XL (กปก)</v>
          </cell>
          <cell r="E7911">
            <v>0</v>
          </cell>
          <cell r="F7911">
            <v>790</v>
          </cell>
        </row>
        <row r="7912">
          <cell r="A7912" t="str">
            <v>SN1094-2XL</v>
          </cell>
          <cell r="B7912" t="str">
            <v>N1094</v>
          </cell>
          <cell r="C7912" t="str">
            <v>ซาติน แขนสั้นขาสั้น ทูโทน เขียวชมพู 2XL (กปก)</v>
          </cell>
          <cell r="E7912">
            <v>0</v>
          </cell>
          <cell r="F7912">
            <v>790</v>
          </cell>
        </row>
        <row r="7913">
          <cell r="A7913" t="str">
            <v>SN1094-L</v>
          </cell>
          <cell r="B7913" t="str">
            <v>N1094</v>
          </cell>
          <cell r="C7913" t="str">
            <v>ซาติน แขนสั้นขาสั้น ทูโทน เขียวชมพู L (กปก)</v>
          </cell>
          <cell r="E7913">
            <v>0</v>
          </cell>
          <cell r="F7913">
            <v>790</v>
          </cell>
        </row>
        <row r="7914">
          <cell r="A7914" t="str">
            <v>SN1094-M</v>
          </cell>
          <cell r="B7914" t="str">
            <v>N1094</v>
          </cell>
          <cell r="C7914" t="str">
            <v>ซาติน แขนสั้นขาสั้น ทูโทน เขียวชมพู M (กปก)</v>
          </cell>
          <cell r="E7914">
            <v>0</v>
          </cell>
          <cell r="F7914">
            <v>790</v>
          </cell>
        </row>
        <row r="7915">
          <cell r="A7915" t="str">
            <v>SN1094-XL</v>
          </cell>
          <cell r="B7915" t="str">
            <v>QN1094</v>
          </cell>
          <cell r="C7915" t="str">
            <v>ซาติน แขนสั้นขาสั้น ทูโทน เขียวชมพู XL (กปก) QC</v>
          </cell>
          <cell r="E7915">
            <v>0</v>
          </cell>
          <cell r="F7915">
            <v>790</v>
          </cell>
        </row>
        <row r="7916">
          <cell r="A7916" t="str">
            <v>SN1095-2XL</v>
          </cell>
          <cell r="B7916" t="str">
            <v>N1095</v>
          </cell>
          <cell r="C7916" t="str">
            <v>[AG]  ซาติน แขนสั้นขาสั้น สิงโตพื้นส้ม (กปก) 2XL</v>
          </cell>
          <cell r="E7916">
            <v>0</v>
          </cell>
          <cell r="F7916">
            <v>790</v>
          </cell>
        </row>
        <row r="7917">
          <cell r="A7917" t="str">
            <v>SN1095-L</v>
          </cell>
          <cell r="B7917" t="str">
            <v>N1095</v>
          </cell>
          <cell r="C7917" t="str">
            <v>ซาติน แขนสั้นขาสั้น สิงโตพื้นส้ม (กปก) L</v>
          </cell>
          <cell r="E7917">
            <v>0</v>
          </cell>
          <cell r="F7917">
            <v>790</v>
          </cell>
        </row>
        <row r="7918">
          <cell r="A7918" t="str">
            <v>SN1095-M</v>
          </cell>
          <cell r="B7918" t="str">
            <v>QN1095</v>
          </cell>
          <cell r="C7918" t="str">
            <v>ซาติน แขนสั้นขาสั้น สิงโตพื้นส้ม (กปก) M QC</v>
          </cell>
          <cell r="E7918">
            <v>0</v>
          </cell>
          <cell r="F7918">
            <v>790</v>
          </cell>
        </row>
        <row r="7919">
          <cell r="A7919" t="str">
            <v>SN1095-XL</v>
          </cell>
          <cell r="B7919" t="str">
            <v>N1095</v>
          </cell>
          <cell r="C7919" t="str">
            <v>ซาติน แขนสั้นขาสั้น สิงโตพื้นส้ม (กปก) XL</v>
          </cell>
          <cell r="E7919">
            <v>0</v>
          </cell>
          <cell r="F7919">
            <v>790</v>
          </cell>
        </row>
        <row r="7920">
          <cell r="A7920" t="str">
            <v>SN1096-2XL</v>
          </cell>
          <cell r="B7920" t="str">
            <v>N1096</v>
          </cell>
          <cell r="C7920" t="str">
            <v>ซาติน แขนสั้นขาสั้น สีน้ำคัลเลอร์ฟลู (กปก) 2XL</v>
          </cell>
          <cell r="E7920">
            <v>0</v>
          </cell>
          <cell r="F7920">
            <v>790</v>
          </cell>
        </row>
        <row r="7921">
          <cell r="A7921" t="str">
            <v>SN1096-L</v>
          </cell>
          <cell r="B7921" t="str">
            <v>N1096</v>
          </cell>
          <cell r="C7921" t="str">
            <v>ซาติน แขนสั้นขาสั้น สีน้ำคัลเลอร์ฟลู (กปก) L</v>
          </cell>
          <cell r="E7921">
            <v>0</v>
          </cell>
          <cell r="F7921">
            <v>790</v>
          </cell>
        </row>
        <row r="7922">
          <cell r="A7922" t="str">
            <v>SN1096-M</v>
          </cell>
          <cell r="B7922" t="str">
            <v>N1096</v>
          </cell>
          <cell r="C7922" t="str">
            <v>ซาติน แขนสั้นขาสั้น สีน้ำคัลเลอร์ฟลู (กปก) M</v>
          </cell>
          <cell r="E7922">
            <v>0</v>
          </cell>
          <cell r="F7922">
            <v>590</v>
          </cell>
        </row>
        <row r="7923">
          <cell r="A7923" t="str">
            <v>SN1096-XL</v>
          </cell>
          <cell r="B7923" t="str">
            <v>N1096</v>
          </cell>
          <cell r="C7923" t="str">
            <v>ซาติน แขนสั้นขาสั้น สีน้ำคัลเลอร์ฟลู (กปก) XL</v>
          </cell>
          <cell r="E7923">
            <v>0</v>
          </cell>
          <cell r="F7923">
            <v>790</v>
          </cell>
        </row>
        <row r="7924">
          <cell r="A7924" t="str">
            <v>SN1097-2XL</v>
          </cell>
          <cell r="B7924" t="str">
            <v>N1097</v>
          </cell>
          <cell r="C7924" t="str">
            <v>ซาติน แขนสั้นขาสั้น เสือดาวอเมซอน พื้นดำ 2XL  (กปก)</v>
          </cell>
          <cell r="E7924">
            <v>0</v>
          </cell>
          <cell r="F7924">
            <v>790</v>
          </cell>
        </row>
        <row r="7925">
          <cell r="A7925" t="str">
            <v>SN1097-L</v>
          </cell>
          <cell r="B7925" t="str">
            <v>N1097</v>
          </cell>
          <cell r="C7925" t="str">
            <v>ซาติน แขนสั้นขาสั้น เสือดาวอเมซอน พื้นดำ L (กปก)</v>
          </cell>
          <cell r="E7925">
            <v>0</v>
          </cell>
          <cell r="F7925">
            <v>790</v>
          </cell>
        </row>
        <row r="7926">
          <cell r="A7926" t="str">
            <v>SN1097-M</v>
          </cell>
          <cell r="B7926" t="str">
            <v>N1097</v>
          </cell>
          <cell r="C7926" t="str">
            <v>ซาติน แขนสั้นขาสั้น เสือดาวอเมซอน พื้นดำ M (กปก)</v>
          </cell>
          <cell r="E7926">
            <v>0</v>
          </cell>
          <cell r="F7926">
            <v>790</v>
          </cell>
        </row>
        <row r="7927">
          <cell r="A7927" t="str">
            <v>SN1097-XL</v>
          </cell>
          <cell r="B7927" t="str">
            <v>N1097</v>
          </cell>
          <cell r="C7927" t="str">
            <v>ซาติน แขนสั้นขาสั้น เสือดาวอเมซอน พื้นดำ XL (กปก)</v>
          </cell>
          <cell r="E7927">
            <v>0</v>
          </cell>
          <cell r="F7927">
            <v>790</v>
          </cell>
        </row>
        <row r="7928">
          <cell r="A7928" t="str">
            <v>SN1098-2XL</v>
          </cell>
          <cell r="B7928" t="str">
            <v>N1098</v>
          </cell>
          <cell r="C7928" t="str">
            <v>[AG]   ซาติน แขนสั้นขาสั้น นกหงส์หยก พื้นดำ ปกเขียว 2XL  (กปก)</v>
          </cell>
          <cell r="E7928">
            <v>0</v>
          </cell>
          <cell r="F7928">
            <v>790</v>
          </cell>
        </row>
        <row r="7929">
          <cell r="A7929" t="str">
            <v>SN1098-3XL</v>
          </cell>
          <cell r="B7929" t="str">
            <v>N1098</v>
          </cell>
          <cell r="C7929" t="str">
            <v>[AG]  ซาติน แขนสั้นขาสั้น นกหงส์หยก พื้นดำ ปกเขียว 3XL  (กปก)</v>
          </cell>
          <cell r="E7929">
            <v>0</v>
          </cell>
          <cell r="F7929">
            <v>790</v>
          </cell>
        </row>
        <row r="7930">
          <cell r="A7930" t="str">
            <v>SN1098-L</v>
          </cell>
          <cell r="B7930" t="str">
            <v>N1098</v>
          </cell>
          <cell r="C7930" t="str">
            <v>[AA]  ซาติน แขนสั้นขาสั้น นกหงส์หยก พื้นดำ ปกเขียว L (กปก)</v>
          </cell>
          <cell r="E7930">
            <v>0</v>
          </cell>
          <cell r="F7930">
            <v>790</v>
          </cell>
        </row>
        <row r="7931">
          <cell r="A7931" t="str">
            <v>SN1098-M</v>
          </cell>
          <cell r="B7931" t="str">
            <v>N1098</v>
          </cell>
          <cell r="C7931" t="str">
            <v>[AG]   ซาติน แขนสั้นขาสั้น Swan Jade M (กปก)</v>
          </cell>
          <cell r="E7931">
            <v>0</v>
          </cell>
          <cell r="F7931">
            <v>790</v>
          </cell>
        </row>
        <row r="7932">
          <cell r="A7932" t="str">
            <v>SN1098-XL</v>
          </cell>
          <cell r="B7932" t="str">
            <v>N1098</v>
          </cell>
          <cell r="C7932" t="str">
            <v>[AG]   ซาติน แขนสั้นขาสั้น นกหงส์หยก พื้นดำ ปกเขียว XL (กปก)</v>
          </cell>
          <cell r="E7932">
            <v>0</v>
          </cell>
          <cell r="F7932">
            <v>790</v>
          </cell>
        </row>
        <row r="7933">
          <cell r="A7933" t="str">
            <v>SN1099-2XL</v>
          </cell>
          <cell r="B7933" t="str">
            <v>QN1099</v>
          </cell>
          <cell r="C7933" t="str">
            <v>ซาติน แขนสั้นขาสั้น เสื้อกราฟฟิก กางเกงส้ม 2XL QC</v>
          </cell>
          <cell r="E7933">
            <v>0</v>
          </cell>
          <cell r="F7933">
            <v>790</v>
          </cell>
        </row>
        <row r="7934">
          <cell r="A7934" t="str">
            <v>SN1099-L</v>
          </cell>
          <cell r="B7934" t="str">
            <v>QN1099</v>
          </cell>
          <cell r="C7934" t="str">
            <v>ซาติน แขนสั้นขาสั้น เสื้อกราฟฟิก กางเกงส้ม L QC</v>
          </cell>
          <cell r="E7934">
            <v>0</v>
          </cell>
          <cell r="F7934">
            <v>790</v>
          </cell>
        </row>
        <row r="7935">
          <cell r="A7935" t="str">
            <v>SN1099-M</v>
          </cell>
          <cell r="B7935" t="str">
            <v>QN1099</v>
          </cell>
          <cell r="C7935" t="str">
            <v>ซาติน แขนสั้นขาสั้น เสื้อกราฟฟิก กางเกงส้ม M QC</v>
          </cell>
          <cell r="E7935">
            <v>0</v>
          </cell>
          <cell r="F7935">
            <v>790</v>
          </cell>
        </row>
        <row r="7936">
          <cell r="A7936" t="str">
            <v>SN1099-XL</v>
          </cell>
          <cell r="B7936" t="str">
            <v>QN1099</v>
          </cell>
          <cell r="C7936" t="str">
            <v>ซาติน แขนสั้นขาสั้น เสื้อกราฟฟิก กางเกงส้ม XL QC</v>
          </cell>
          <cell r="E7936">
            <v>0</v>
          </cell>
          <cell r="F7936">
            <v>790</v>
          </cell>
        </row>
        <row r="7937">
          <cell r="A7937" t="str">
            <v>SN1100-2XL</v>
          </cell>
          <cell r="B7937" t="str">
            <v>N1100</v>
          </cell>
          <cell r="C7937" t="str">
            <v>ซาติน แขนสั้นขาสั้น ศิลปะ พื้นขาว 2XL (กปก)</v>
          </cell>
          <cell r="E7937">
            <v>0</v>
          </cell>
          <cell r="F7937">
            <v>790</v>
          </cell>
        </row>
        <row r="7938">
          <cell r="A7938" t="str">
            <v>SN1100-L</v>
          </cell>
          <cell r="B7938" t="str">
            <v>N1100</v>
          </cell>
          <cell r="C7938" t="str">
            <v>[AK]  ซาติน แขนสั้นขาสั้น ศิลปะ พื้นขาว L (กปก)</v>
          </cell>
          <cell r="E7938">
            <v>0</v>
          </cell>
          <cell r="F7938">
            <v>790</v>
          </cell>
        </row>
        <row r="7939">
          <cell r="A7939" t="str">
            <v>SN1100-M</v>
          </cell>
          <cell r="B7939" t="str">
            <v>N1100</v>
          </cell>
          <cell r="C7939" t="str">
            <v>ซาติน แขนสั้นขาสั้น ศิลปะ พื้นขาว M (กปก)</v>
          </cell>
          <cell r="E7939">
            <v>0</v>
          </cell>
          <cell r="F7939">
            <v>790</v>
          </cell>
        </row>
        <row r="7940">
          <cell r="A7940" t="str">
            <v>SN1100-XL</v>
          </cell>
          <cell r="B7940" t="str">
            <v>N1100</v>
          </cell>
          <cell r="C7940" t="str">
            <v>ซาติน แขนสั้นขาสั้น ศิลปะ พื้นขาว XL (กปก)</v>
          </cell>
          <cell r="E7940">
            <v>0</v>
          </cell>
          <cell r="F7940">
            <v>790</v>
          </cell>
        </row>
        <row r="7941">
          <cell r="A7941" t="str">
            <v>SN1101-2XL</v>
          </cell>
          <cell r="B7941" t="str">
            <v>N1101</v>
          </cell>
          <cell r="C7941" t="str">
            <v>ซาติน แขนสั้นขาสั้น ดอกไม้หลากสี พื้นครีม 2XL (กปก)</v>
          </cell>
          <cell r="E7941">
            <v>0</v>
          </cell>
          <cell r="F7941">
            <v>790</v>
          </cell>
        </row>
        <row r="7942">
          <cell r="A7942" t="str">
            <v>SN1101-L</v>
          </cell>
          <cell r="B7942" t="str">
            <v>N1101</v>
          </cell>
          <cell r="C7942" t="str">
            <v>ซาติน แขนสั้นขาสั้น ดอกไม้หลากสี พื้นครีม L (กปก)</v>
          </cell>
          <cell r="E7942">
            <v>0</v>
          </cell>
          <cell r="F7942">
            <v>790</v>
          </cell>
        </row>
        <row r="7943">
          <cell r="A7943" t="str">
            <v>SN1101-M</v>
          </cell>
          <cell r="B7943" t="str">
            <v>N1101</v>
          </cell>
          <cell r="C7943" t="str">
            <v>ซาติน แขนสั้นขาสั้น ดอกไม้หลากสี พื้นครีม M (กปก)</v>
          </cell>
          <cell r="E7943">
            <v>0</v>
          </cell>
          <cell r="F7943">
            <v>790</v>
          </cell>
        </row>
        <row r="7944">
          <cell r="A7944" t="str">
            <v>SN1101-XL</v>
          </cell>
          <cell r="B7944" t="str">
            <v>N1101</v>
          </cell>
          <cell r="C7944" t="str">
            <v>ซาติน แขนสั้นขาสั้น ดอกไม้หลากสี พื้นครีม XL (กปก)</v>
          </cell>
          <cell r="E7944">
            <v>0</v>
          </cell>
          <cell r="F7944">
            <v>790</v>
          </cell>
        </row>
        <row r="7945">
          <cell r="A7945" t="str">
            <v>SN1102-L</v>
          </cell>
          <cell r="B7945" t="str">
            <v>N1102</v>
          </cell>
          <cell r="C7945" t="str">
            <v>ซาติน แขนสั้นขาสั้น โอโรส ลายไม้ L</v>
          </cell>
          <cell r="E7945">
            <v>0</v>
          </cell>
          <cell r="F7945">
            <v>790</v>
          </cell>
        </row>
        <row r="7946">
          <cell r="A7946" t="str">
            <v>SN1102-M</v>
          </cell>
          <cell r="B7946" t="str">
            <v>N1102</v>
          </cell>
          <cell r="C7946" t="str">
            <v>ซาติน แขนสั้นขาสั้น โอโรส ลายไม้ M</v>
          </cell>
          <cell r="E7946">
            <v>0</v>
          </cell>
          <cell r="F7946">
            <v>590</v>
          </cell>
        </row>
        <row r="7947">
          <cell r="A7947" t="str">
            <v>SN1103-L</v>
          </cell>
          <cell r="B7947" t="str">
            <v>N1103</v>
          </cell>
          <cell r="C7947" t="str">
            <v>ซาติน แขนสั้นขาสั้น พื้นชมพู ขอบขาว L</v>
          </cell>
          <cell r="E7947">
            <v>0</v>
          </cell>
          <cell r="F7947">
            <v>790</v>
          </cell>
        </row>
        <row r="7948">
          <cell r="A7948" t="str">
            <v>SN1103-M</v>
          </cell>
          <cell r="B7948" t="str">
            <v>N1103</v>
          </cell>
          <cell r="C7948" t="str">
            <v>ซาติน แขนสั้นขาสั้น พื้นชมพู ขอบขาว M</v>
          </cell>
          <cell r="E7948">
            <v>0</v>
          </cell>
          <cell r="F7948">
            <v>790</v>
          </cell>
        </row>
        <row r="7949">
          <cell r="A7949" t="str">
            <v>SN1104-L</v>
          </cell>
          <cell r="B7949" t="str">
            <v>N1104</v>
          </cell>
          <cell r="C7949" t="str">
            <v>ซาติน แขนสั้นขาสั้น พื้นหลังครีม ขอบเขียว L</v>
          </cell>
          <cell r="E7949">
            <v>0</v>
          </cell>
          <cell r="F7949">
            <v>790</v>
          </cell>
        </row>
        <row r="7950">
          <cell r="A7950" t="str">
            <v>SN1104-M</v>
          </cell>
          <cell r="B7950" t="str">
            <v>N1104</v>
          </cell>
          <cell r="C7950" t="str">
            <v>ซาติน แขนสั้นขาสั้น พื้นหลังครีม ขอบเขียว M</v>
          </cell>
          <cell r="E7950">
            <v>0</v>
          </cell>
          <cell r="F7950">
            <v>590</v>
          </cell>
        </row>
        <row r="7951">
          <cell r="A7951" t="str">
            <v>SN1105-L</v>
          </cell>
          <cell r="B7951" t="str">
            <v>N1105</v>
          </cell>
          <cell r="C7951" t="str">
            <v>ซาติน แขนสั้นขาสั้น พื้นเทาอ่อน ขอบชมพู L</v>
          </cell>
          <cell r="E7951">
            <v>0</v>
          </cell>
          <cell r="F7951">
            <v>790</v>
          </cell>
        </row>
        <row r="7952">
          <cell r="A7952" t="str">
            <v>SN1105-M</v>
          </cell>
          <cell r="B7952" t="str">
            <v>N1105</v>
          </cell>
          <cell r="C7952" t="str">
            <v>ซาติน แขนสั้นขาสั้น พื้นเทาอ่อน ขอบชมพู M</v>
          </cell>
          <cell r="E7952">
            <v>0</v>
          </cell>
          <cell r="F7952">
            <v>790</v>
          </cell>
        </row>
        <row r="7953">
          <cell r="A7953" t="str">
            <v>SN1106-L</v>
          </cell>
          <cell r="B7953" t="str">
            <v>N1106</v>
          </cell>
          <cell r="C7953" t="str">
            <v>ซิลค์แจ็คการ์ด แขนสั้นขาสั้น กล้วยไม้ป่า พื้นขาว L</v>
          </cell>
          <cell r="E7953">
            <v>0</v>
          </cell>
          <cell r="F7953">
            <v>890</v>
          </cell>
        </row>
        <row r="7954">
          <cell r="A7954" t="str">
            <v>SN1106-M</v>
          </cell>
          <cell r="B7954" t="str">
            <v>QN1106</v>
          </cell>
          <cell r="C7954" t="str">
            <v>ซิลค์แจ็คการ์ด แขนสั้นขาสั้น กล้วยไม้ป่า พื้นขาว M QC</v>
          </cell>
          <cell r="E7954">
            <v>0</v>
          </cell>
          <cell r="F7954">
            <v>890</v>
          </cell>
        </row>
        <row r="7955">
          <cell r="A7955" t="str">
            <v>SN1107-L</v>
          </cell>
          <cell r="B7955" t="str">
            <v>N1107</v>
          </cell>
          <cell r="C7955" t="str">
            <v>ซาติน แขนสั้นขาสั้น กล้วยไม้ป่าพื้น ม่วงกุ๊นขาว L</v>
          </cell>
          <cell r="E7955">
            <v>0</v>
          </cell>
          <cell r="F7955">
            <v>890</v>
          </cell>
        </row>
        <row r="7956">
          <cell r="A7956" t="str">
            <v>SN1107-M</v>
          </cell>
          <cell r="B7956" t="str">
            <v>N1107</v>
          </cell>
          <cell r="C7956" t="str">
            <v>ซิลค์แจ็คการ์ด แขนสั้นขาสั้น กล้วยไม้ป่าพื้น ม่วงกุ๊นขาว M</v>
          </cell>
          <cell r="E7956">
            <v>0</v>
          </cell>
          <cell r="F7956">
            <v>890</v>
          </cell>
        </row>
        <row r="7957">
          <cell r="A7957" t="str">
            <v>SN1108-L</v>
          </cell>
          <cell r="B7957" t="str">
            <v>N1108</v>
          </cell>
          <cell r="C7957" t="str">
            <v>ซาติน แขนสั้นขาสั้น น้องหมีลายทาง ครีมขาว L</v>
          </cell>
          <cell r="E7957">
            <v>0</v>
          </cell>
          <cell r="F7957">
            <v>790</v>
          </cell>
        </row>
        <row r="7958">
          <cell r="A7958" t="str">
            <v>SN1108-M</v>
          </cell>
          <cell r="B7958" t="str">
            <v>N1108</v>
          </cell>
          <cell r="C7958" t="str">
            <v>ซาติน แขนสั้นขาสั้น น้องหมีลายทาง ครีมขาว M</v>
          </cell>
          <cell r="E7958">
            <v>0</v>
          </cell>
          <cell r="F7958">
            <v>790</v>
          </cell>
        </row>
        <row r="7959">
          <cell r="A7959" t="str">
            <v>SN1109-2XL</v>
          </cell>
          <cell r="B7959" t="str">
            <v>N1109</v>
          </cell>
          <cell r="C7959" t="str">
            <v>ซาติน แขนสั้นขาสั้น น้องหมีลายทาง ฟ้าขาว 2XL</v>
          </cell>
          <cell r="E7959">
            <v>0</v>
          </cell>
          <cell r="F7959">
            <v>790</v>
          </cell>
        </row>
        <row r="7960">
          <cell r="A7960" t="str">
            <v>SN1109-L</v>
          </cell>
          <cell r="B7960" t="str">
            <v>N1109</v>
          </cell>
          <cell r="C7960" t="str">
            <v>ซาติน แขนสั้นขาสั้น น้องหมีลายทาง ฟ้าขาว L</v>
          </cell>
          <cell r="E7960">
            <v>0</v>
          </cell>
          <cell r="F7960">
            <v>790</v>
          </cell>
        </row>
        <row r="7961">
          <cell r="A7961" t="str">
            <v>SN1109-M</v>
          </cell>
          <cell r="B7961" t="str">
            <v>N1109</v>
          </cell>
          <cell r="C7961" t="str">
            <v>ซาติน แขนสั้นขาสั้น น้องหมีลายทาง ฟ้าขาว M</v>
          </cell>
          <cell r="E7961">
            <v>0</v>
          </cell>
          <cell r="F7961">
            <v>790</v>
          </cell>
        </row>
        <row r="7962">
          <cell r="A7962" t="str">
            <v>SN1109-XL</v>
          </cell>
          <cell r="B7962" t="str">
            <v>N1109</v>
          </cell>
          <cell r="C7962" t="str">
            <v>ซาติน แขนสั้นขาสั้น น้องหมีลายทาง ฟ้าขาว XL</v>
          </cell>
          <cell r="E7962">
            <v>0</v>
          </cell>
          <cell r="F7962">
            <v>790</v>
          </cell>
        </row>
        <row r="7963">
          <cell r="A7963" t="str">
            <v>SN1110-2XL</v>
          </cell>
          <cell r="B7963" t="str">
            <v>N1110</v>
          </cell>
          <cell r="C7963" t="str">
            <v>ซาติน แขนสั้นขาสั้น น้องหมีลายทาง ชมพูขาว 2XL</v>
          </cell>
          <cell r="E7963">
            <v>0</v>
          </cell>
          <cell r="F7963">
            <v>790</v>
          </cell>
        </row>
        <row r="7964">
          <cell r="A7964" t="str">
            <v>SN1110-L</v>
          </cell>
          <cell r="B7964" t="str">
            <v>N1110</v>
          </cell>
          <cell r="C7964" t="str">
            <v>ซาติน แขนสั้นขาสั้น น้องหมีลายทาง ชมพูขาว L</v>
          </cell>
          <cell r="E7964">
            <v>0</v>
          </cell>
          <cell r="F7964">
            <v>790</v>
          </cell>
        </row>
        <row r="7965">
          <cell r="A7965" t="str">
            <v>SN1110-M</v>
          </cell>
          <cell r="B7965" t="str">
            <v>N1110</v>
          </cell>
          <cell r="C7965" t="str">
            <v>ซาติน แขนสั้นขาสั้น น้องหมีลายทาง ชมพูขาว M</v>
          </cell>
          <cell r="E7965">
            <v>0</v>
          </cell>
          <cell r="F7965">
            <v>790</v>
          </cell>
        </row>
        <row r="7966">
          <cell r="A7966" t="str">
            <v>SN1110-XL</v>
          </cell>
          <cell r="B7966" t="str">
            <v>N1110</v>
          </cell>
          <cell r="C7966" t="str">
            <v>ซาติน แขนสั้นขาสั้น น้องหมีลายทาง ชมพูขาว XL</v>
          </cell>
          <cell r="E7966">
            <v>0</v>
          </cell>
          <cell r="F7966">
            <v>790</v>
          </cell>
        </row>
        <row r="7967">
          <cell r="A7967" t="str">
            <v>SN1111-2XL</v>
          </cell>
          <cell r="B7967" t="str">
            <v>N1111</v>
          </cell>
          <cell r="C7967" t="str">
            <v>[AB]     ซาติน แขนสั้นขาสั้น แมวฟ้า กุ๊นขอบ 2XL (กปก)</v>
          </cell>
          <cell r="E7967">
            <v>0</v>
          </cell>
          <cell r="F7967">
            <v>790</v>
          </cell>
        </row>
        <row r="7968">
          <cell r="A7968" t="str">
            <v>SN1111-3XL</v>
          </cell>
          <cell r="B7968" t="str">
            <v>N1111</v>
          </cell>
          <cell r="C7968" t="str">
            <v>ซาติน แขนสั้นขาสั้น แมวฟ้า กุ๊นขอบ 3XL (กปก)</v>
          </cell>
          <cell r="E7968">
            <v>0</v>
          </cell>
          <cell r="F7968">
            <v>790</v>
          </cell>
        </row>
        <row r="7969">
          <cell r="A7969" t="str">
            <v>SN1111-L</v>
          </cell>
          <cell r="B7969" t="str">
            <v>QN1111</v>
          </cell>
          <cell r="C7969" t="str">
            <v>[AA]    ซาติน แขนสั้นขาสั้น แมวฟ้า กุ๊นขอบ L (กปก) QC</v>
          </cell>
          <cell r="E7969">
            <v>0</v>
          </cell>
          <cell r="F7969">
            <v>790</v>
          </cell>
        </row>
        <row r="7970">
          <cell r="A7970" t="str">
            <v>SN1111-M</v>
          </cell>
          <cell r="B7970" t="str">
            <v>QN1111</v>
          </cell>
          <cell r="C7970" t="str">
            <v>[AG]  ซาติน แขนสั้นขาสั้น แมวฟ้า กุ๊นขอบ M (กปก) QC</v>
          </cell>
          <cell r="E7970">
            <v>0</v>
          </cell>
          <cell r="F7970">
            <v>790</v>
          </cell>
        </row>
        <row r="7971">
          <cell r="A7971" t="str">
            <v>SN1111-XL</v>
          </cell>
          <cell r="B7971" t="str">
            <v>N1111</v>
          </cell>
          <cell r="C7971" t="str">
            <v>[AB]    ซาติน แขนสั้นขาสั้น แมวฟ้า กุ๊นขอบ XL (กปก)</v>
          </cell>
          <cell r="E7971">
            <v>0</v>
          </cell>
          <cell r="F7971">
            <v>790</v>
          </cell>
        </row>
        <row r="7972">
          <cell r="A7972" t="str">
            <v>SN1114-L</v>
          </cell>
          <cell r="B7972" t="str">
            <v>N1114</v>
          </cell>
          <cell r="C7972" t="str">
            <v>ซาติน แขนสั้นขาสั้น หัวใจเล็ก พื้นขาว กระเป๋าโบว์ L</v>
          </cell>
          <cell r="E7972">
            <v>0</v>
          </cell>
          <cell r="F7972">
            <v>790</v>
          </cell>
        </row>
        <row r="7973">
          <cell r="A7973" t="str">
            <v>SN1114-M</v>
          </cell>
          <cell r="B7973" t="str">
            <v>N1114</v>
          </cell>
          <cell r="C7973" t="str">
            <v>ซาติน แขนสั้นขาสั้น หัวใจเล็ก พื้นขาว กระเป๋าโบว์ M</v>
          </cell>
          <cell r="E7973">
            <v>0</v>
          </cell>
          <cell r="F7973">
            <v>790</v>
          </cell>
        </row>
        <row r="7974">
          <cell r="A7974" t="str">
            <v>SN1115-L</v>
          </cell>
          <cell r="B7974" t="str">
            <v>QN1115</v>
          </cell>
          <cell r="C7974" t="str">
            <v>[AB]  ซาติน แขนสั้นขาสั้น หัวใจเล็ก พื้นชมพู กระเป๋าโบว์ L QC</v>
          </cell>
          <cell r="E7974">
            <v>0</v>
          </cell>
          <cell r="F7974">
            <v>790</v>
          </cell>
        </row>
        <row r="7975">
          <cell r="A7975" t="str">
            <v>SN1115-M</v>
          </cell>
          <cell r="B7975" t="str">
            <v>N1115</v>
          </cell>
          <cell r="C7975" t="str">
            <v>ซาติน แขนสั้นขาสั้น หัวใจเล็ก พื้นชมพู กระเป๋าโบว์ M</v>
          </cell>
          <cell r="E7975">
            <v>0</v>
          </cell>
          <cell r="F7975">
            <v>790</v>
          </cell>
        </row>
        <row r="7976">
          <cell r="A7976" t="str">
            <v>SN1116-L</v>
          </cell>
          <cell r="B7976" t="str">
            <v>N1116</v>
          </cell>
          <cell r="C7976" t="str">
            <v>ซาติน แขนสั้นขาสั้น สีชมพู ขอบระบาย กระเป๋าหัวใจ L</v>
          </cell>
          <cell r="E7976">
            <v>0</v>
          </cell>
          <cell r="F7976">
            <v>790</v>
          </cell>
        </row>
        <row r="7977">
          <cell r="A7977" t="str">
            <v>SN1116-M</v>
          </cell>
          <cell r="B7977" t="str">
            <v>N1116</v>
          </cell>
          <cell r="C7977" t="str">
            <v>ซาติน แขนสั้นขาสั้น สีชมพู ขอบระบาย กระเป๋าหัวใจ M</v>
          </cell>
          <cell r="E7977">
            <v>0</v>
          </cell>
          <cell r="F7977">
            <v>590</v>
          </cell>
        </row>
        <row r="7978">
          <cell r="A7978" t="str">
            <v>SN1117-L</v>
          </cell>
          <cell r="B7978" t="str">
            <v>N1117</v>
          </cell>
          <cell r="C7978" t="str">
            <v>ซาติน แขนสั้นขาสั้น สีครีม ขอบระบาย กระเป๋าหัวใจ L</v>
          </cell>
          <cell r="E7978">
            <v>0</v>
          </cell>
          <cell r="F7978">
            <v>790</v>
          </cell>
        </row>
        <row r="7979">
          <cell r="A7979" t="str">
            <v>SN1117-M</v>
          </cell>
          <cell r="B7979" t="str">
            <v>N1117</v>
          </cell>
          <cell r="C7979" t="str">
            <v>[AK]  ซาติน แขนสั้นขาสั้น สีครีม ขอบระบาย กระเป๋าหัวใจ M</v>
          </cell>
          <cell r="E7979">
            <v>0</v>
          </cell>
          <cell r="F7979">
            <v>790</v>
          </cell>
        </row>
        <row r="7980">
          <cell r="A7980" t="str">
            <v>SN1118-L</v>
          </cell>
          <cell r="B7980" t="str">
            <v>N1118</v>
          </cell>
          <cell r="C7980" t="str">
            <v>[AJ]  ซาติน แขนสั้นขาสั้น สีกรม ขอบระบาย กระเป๋าหัวใจ L</v>
          </cell>
          <cell r="E7980">
            <v>0</v>
          </cell>
          <cell r="F7980">
            <v>790</v>
          </cell>
        </row>
        <row r="7981">
          <cell r="A7981" t="str">
            <v>SN1118-M</v>
          </cell>
          <cell r="B7981" t="str">
            <v>QN1118</v>
          </cell>
          <cell r="C7981" t="str">
            <v>[AJ]  ซาติน แขนสั้นขาสั้น สีกรม ขอบระบาย กระเป๋าหัวใจ M QC</v>
          </cell>
          <cell r="E7981">
            <v>0</v>
          </cell>
          <cell r="F7981">
            <v>790</v>
          </cell>
        </row>
        <row r="7982">
          <cell r="A7982" t="str">
            <v>SN1119-L</v>
          </cell>
          <cell r="B7982" t="str">
            <v>N1119</v>
          </cell>
          <cell r="C7982" t="str">
            <v>[AK]  ซาติน แขนสั้นขาสั้น สีม่วง ขอบระบาย กระเป๋าหัวใจ L</v>
          </cell>
          <cell r="E7982">
            <v>0</v>
          </cell>
          <cell r="F7982">
            <v>790</v>
          </cell>
        </row>
        <row r="7983">
          <cell r="A7983" t="str">
            <v>SN1119-M</v>
          </cell>
          <cell r="B7983" t="str">
            <v>QN1119</v>
          </cell>
          <cell r="C7983" t="str">
            <v>[AK]  ซาติน แขนสั้นขาสั้น สีม่วง ขอบระบาย กระเป๋าหัวใจ M QC</v>
          </cell>
          <cell r="E7983">
            <v>0</v>
          </cell>
          <cell r="F7983">
            <v>790</v>
          </cell>
        </row>
        <row r="7984">
          <cell r="A7984" t="str">
            <v>SN1120-L</v>
          </cell>
          <cell r="B7984" t="str">
            <v>N1120</v>
          </cell>
          <cell r="C7984" t="str">
            <v>ซาติน แขนสั้นขาสั้น เขียวมินท์ ลายดอกไม้ ระบายลูกไม้สีขาว L</v>
          </cell>
          <cell r="E7984">
            <v>0</v>
          </cell>
          <cell r="F7984">
            <v>890</v>
          </cell>
        </row>
        <row r="7985">
          <cell r="A7985" t="str">
            <v>SN1120-M</v>
          </cell>
          <cell r="B7985" t="str">
            <v>N1120</v>
          </cell>
          <cell r="C7985" t="str">
            <v>ซาติน แขนสั้นขาสั้น เขียวมินท์ ลายดอกไม้ ระบายลูกไม้สีขาว M</v>
          </cell>
          <cell r="E7985">
            <v>0</v>
          </cell>
          <cell r="F7985">
            <v>890</v>
          </cell>
        </row>
        <row r="7986">
          <cell r="A7986" t="str">
            <v>SN1121-L</v>
          </cell>
          <cell r="B7986" t="str">
            <v>N1121</v>
          </cell>
          <cell r="C7986" t="str">
            <v>ซาติน แขนสั้นขาสั้น ส้ม ลายดอกไม้ ระบายลูกไม้สีขาว L</v>
          </cell>
          <cell r="E7986">
            <v>1</v>
          </cell>
          <cell r="F7986">
            <v>890</v>
          </cell>
        </row>
        <row r="7987">
          <cell r="A7987" t="str">
            <v>SN1121-M</v>
          </cell>
          <cell r="B7987" t="str">
            <v>N1121</v>
          </cell>
          <cell r="C7987" t="str">
            <v>ซาติน แขนสั้นขาสั้น ส้ม ลายดอกไม้ ระบายลูกไม้สีขาว M</v>
          </cell>
          <cell r="E7987">
            <v>2</v>
          </cell>
          <cell r="F7987">
            <v>890</v>
          </cell>
        </row>
        <row r="7988">
          <cell r="A7988" t="str">
            <v>SN1122-L</v>
          </cell>
          <cell r="B7988" t="str">
            <v>N1122</v>
          </cell>
          <cell r="C7988" t="str">
            <v>ซาติน แขนสั้นขาสั้น ชมพู ลายดอกไม้ ระบายลูกไม้สีขาว L</v>
          </cell>
          <cell r="E7988">
            <v>0</v>
          </cell>
          <cell r="F7988">
            <v>890</v>
          </cell>
        </row>
        <row r="7989">
          <cell r="A7989" t="str">
            <v>SN1122-M</v>
          </cell>
          <cell r="B7989" t="str">
            <v>N1122</v>
          </cell>
          <cell r="C7989" t="str">
            <v>ซาติน แขนสั้นขาสั้น ชมพู ลายดอกไม้ ระบายลูกไม้สีขาว M</v>
          </cell>
          <cell r="E7989">
            <v>0</v>
          </cell>
          <cell r="F7989">
            <v>890</v>
          </cell>
        </row>
        <row r="7990">
          <cell r="A7990" t="str">
            <v>SN1123-2XL</v>
          </cell>
          <cell r="B7990" t="str">
            <v>N1123</v>
          </cell>
          <cell r="C7990" t="str">
            <v>ซาติน แขนสั้นขาสั้น ดอกไม้หลากสี พื้นชมพู 2XL (กปก)</v>
          </cell>
          <cell r="E7990">
            <v>0</v>
          </cell>
          <cell r="F7990">
            <v>790</v>
          </cell>
        </row>
        <row r="7991">
          <cell r="A7991" t="str">
            <v>SN1123-L</v>
          </cell>
          <cell r="B7991" t="str">
            <v>N1123</v>
          </cell>
          <cell r="C7991" t="str">
            <v>ซาติน แขนสั้นขาสั้น ดอกไม้หลากสี พื้นชมพู L (กปก)</v>
          </cell>
          <cell r="E7991">
            <v>0</v>
          </cell>
          <cell r="F7991">
            <v>790</v>
          </cell>
        </row>
        <row r="7992">
          <cell r="A7992" t="str">
            <v>SN1123-M</v>
          </cell>
          <cell r="B7992" t="str">
            <v>QN1123</v>
          </cell>
          <cell r="C7992" t="str">
            <v>ซาติน แขนสั้นขาสั้น ดอกไม้หลากสี พื้นชมพู M (กปก) QC</v>
          </cell>
          <cell r="E7992">
            <v>0</v>
          </cell>
          <cell r="F7992">
            <v>790</v>
          </cell>
        </row>
        <row r="7993">
          <cell r="A7993" t="str">
            <v>SN1123-XL</v>
          </cell>
          <cell r="B7993" t="str">
            <v>N1123</v>
          </cell>
          <cell r="C7993" t="str">
            <v>ซาติน แขนสั้นขาสั้น ดอกไม้หลากสี พื้นชมพู XL (กปก)</v>
          </cell>
          <cell r="E7993">
            <v>0</v>
          </cell>
          <cell r="F7993">
            <v>790</v>
          </cell>
        </row>
        <row r="7994">
          <cell r="A7994" t="str">
            <v>SN1124-L</v>
          </cell>
          <cell r="B7994" t="str">
            <v>N1124</v>
          </cell>
          <cell r="C7994" t="str">
            <v>ซาติน แขนสั้นขาสั้น กุหลาบแดง พื้นชมพู ขอบระบาย L</v>
          </cell>
          <cell r="E7994">
            <v>0</v>
          </cell>
          <cell r="F7994">
            <v>890</v>
          </cell>
        </row>
        <row r="7995">
          <cell r="A7995" t="str">
            <v>SN1124-M</v>
          </cell>
          <cell r="B7995" t="str">
            <v>N1124</v>
          </cell>
          <cell r="C7995" t="str">
            <v>ซาติน แขนสั้นขาสั้น กุหลาบแดง พื้นชมพู ขอบระบาย M</v>
          </cell>
          <cell r="E7995">
            <v>0</v>
          </cell>
          <cell r="F7995">
            <v>890</v>
          </cell>
        </row>
        <row r="7996">
          <cell r="A7996" t="str">
            <v>SN1124-S</v>
          </cell>
          <cell r="B7996" t="str">
            <v>N1124</v>
          </cell>
          <cell r="C7996" t="str">
            <v>ซาติน แขนสั้นขาสั้น กุหลาบแดง พื้นชมพู ขอบระบาย S</v>
          </cell>
          <cell r="E7996">
            <v>0</v>
          </cell>
          <cell r="F7996">
            <v>890</v>
          </cell>
        </row>
        <row r="7997">
          <cell r="A7997" t="str">
            <v>SN1124-XL</v>
          </cell>
          <cell r="B7997" t="str">
            <v>N1124</v>
          </cell>
          <cell r="C7997" t="str">
            <v>ซาติน แขนสั้นขาสั้น กุหลาบแดง พื้นชมพู ขอบระบาย XL</v>
          </cell>
          <cell r="E7997">
            <v>0</v>
          </cell>
          <cell r="F7997">
            <v>890</v>
          </cell>
        </row>
        <row r="7998">
          <cell r="A7998" t="str">
            <v>SN1125-L</v>
          </cell>
          <cell r="B7998" t="str">
            <v>N1125</v>
          </cell>
          <cell r="C7998" t="str">
            <v>ซาติน แขนสั้นขาสั้น จุดม่วง พื้นชมพู ระบายเขียว L</v>
          </cell>
          <cell r="E7998">
            <v>0</v>
          </cell>
          <cell r="F7998">
            <v>890</v>
          </cell>
        </row>
        <row r="7999">
          <cell r="A7999" t="str">
            <v>SN1125-M</v>
          </cell>
          <cell r="B7999" t="str">
            <v>N1125</v>
          </cell>
          <cell r="C7999" t="str">
            <v>ซาติน แขนสั้นขาสั้น จุดม่วง พื้นชมพู ระบายเขียว M</v>
          </cell>
          <cell r="E7999">
            <v>0</v>
          </cell>
          <cell r="F7999">
            <v>890</v>
          </cell>
        </row>
        <row r="8000">
          <cell r="A8000" t="str">
            <v>SN1125-S</v>
          </cell>
          <cell r="B8000" t="str">
            <v>N1125</v>
          </cell>
          <cell r="C8000" t="str">
            <v>[AH]  ซาติน แขนสั้นขาสั้น จุดม่วง พื้นชมพู ระบายเขียว S</v>
          </cell>
          <cell r="E8000">
            <v>0</v>
          </cell>
          <cell r="F8000">
            <v>890</v>
          </cell>
        </row>
        <row r="8001">
          <cell r="A8001" t="str">
            <v>SN1125-XL</v>
          </cell>
          <cell r="B8001" t="str">
            <v>N1125</v>
          </cell>
          <cell r="C8001" t="str">
            <v>ซาติน แขนสั้นขาสั้น จุดม่วง พื้นชมพู ระบายเขียว XL</v>
          </cell>
          <cell r="E8001">
            <v>0</v>
          </cell>
          <cell r="F8001">
            <v>890</v>
          </cell>
        </row>
        <row r="8002">
          <cell r="A8002" t="str">
            <v>SN1126-2XL</v>
          </cell>
          <cell r="B8002" t="str">
            <v>N1126</v>
          </cell>
          <cell r="C8002" t="str">
            <v>ซาติน แขนสั้นขาสั้น กราฟฟิกฟ้า น้ำเงิน ขาว 2XL (กปก)</v>
          </cell>
          <cell r="E8002">
            <v>0</v>
          </cell>
          <cell r="F8002">
            <v>790</v>
          </cell>
        </row>
        <row r="8003">
          <cell r="A8003" t="str">
            <v>SN1126-L</v>
          </cell>
          <cell r="B8003" t="str">
            <v>N1126</v>
          </cell>
          <cell r="C8003" t="str">
            <v>ซาติน แขนสั้นขาสั้น กราฟฟิกฟ้า น้ำเงิน ขาว L (กปก)</v>
          </cell>
          <cell r="E8003">
            <v>0</v>
          </cell>
          <cell r="F8003">
            <v>790</v>
          </cell>
        </row>
        <row r="8004">
          <cell r="A8004" t="str">
            <v>SN1126-M</v>
          </cell>
          <cell r="B8004" t="str">
            <v>QN1126</v>
          </cell>
          <cell r="C8004" t="str">
            <v>ซาติน แขนสั้นขาสั้น กราฟฟิกฟ้า น้ำเงิน ขาว M (กปก) QC</v>
          </cell>
          <cell r="E8004">
            <v>0</v>
          </cell>
          <cell r="F8004">
            <v>790</v>
          </cell>
        </row>
        <row r="8005">
          <cell r="A8005" t="str">
            <v>SN1126-XL</v>
          </cell>
          <cell r="B8005" t="str">
            <v>N1126</v>
          </cell>
          <cell r="C8005" t="str">
            <v>[AG]   ซาติน แขนสั้นขาสั้น กราฟฟิกฟ้า น้ำเงิน ขาว XL (กปก)</v>
          </cell>
          <cell r="E8005">
            <v>0</v>
          </cell>
          <cell r="F8005">
            <v>790</v>
          </cell>
        </row>
        <row r="8006">
          <cell r="A8006" t="str">
            <v>SN1127-2XL</v>
          </cell>
          <cell r="B8006" t="str">
            <v>N1127</v>
          </cell>
          <cell r="C8006" t="str">
            <v>[AL]  ซาติน แขนสั้นขาสั้น สีรุ้ง พาสเทล 2XL (กปก)</v>
          </cell>
          <cell r="E8006">
            <v>0</v>
          </cell>
          <cell r="F8006">
            <v>790</v>
          </cell>
        </row>
        <row r="8007">
          <cell r="A8007" t="str">
            <v>SN1127-L</v>
          </cell>
          <cell r="B8007" t="str">
            <v>N1127</v>
          </cell>
          <cell r="C8007" t="str">
            <v>ซาติน แขนสั้นขาสั้น สีรุ้ง พาสเทล L (กปก)</v>
          </cell>
          <cell r="E8007">
            <v>0</v>
          </cell>
          <cell r="F8007">
            <v>790</v>
          </cell>
        </row>
        <row r="8008">
          <cell r="A8008" t="str">
            <v>SN1127-M</v>
          </cell>
          <cell r="B8008" t="str">
            <v>QN1127</v>
          </cell>
          <cell r="C8008" t="str">
            <v>ซาติน แขนสั้นขาสั้น สีรุ้ง พาสเทล M (กปก) QC</v>
          </cell>
          <cell r="E8008">
            <v>0</v>
          </cell>
          <cell r="F8008">
            <v>790</v>
          </cell>
        </row>
        <row r="8009">
          <cell r="A8009" t="str">
            <v>SN1127-XL</v>
          </cell>
          <cell r="B8009" t="str">
            <v>QN1127</v>
          </cell>
          <cell r="C8009" t="str">
            <v>[AL]  ซาติน แขนสั้นขาสั้น สีรุ้ง พาสเทล XL (กปก) QC</v>
          </cell>
          <cell r="E8009">
            <v>0</v>
          </cell>
          <cell r="F8009">
            <v>790</v>
          </cell>
        </row>
        <row r="8010">
          <cell r="A8010" t="str">
            <v>SN1128-2XL</v>
          </cell>
          <cell r="B8010" t="str">
            <v>N1128</v>
          </cell>
          <cell r="C8010" t="str">
            <v>ซาติน แขนสั้นขาสั้น ลายอาร์ท สีน้ำ 2XL (กปก)</v>
          </cell>
          <cell r="E8010">
            <v>0</v>
          </cell>
          <cell r="F8010">
            <v>790</v>
          </cell>
        </row>
        <row r="8011">
          <cell r="A8011" t="str">
            <v>SN1128-L</v>
          </cell>
          <cell r="B8011" t="str">
            <v>N1128</v>
          </cell>
          <cell r="C8011" t="str">
            <v>ซาติน แขนสั้นขาสั้น ลายอาร์ท สีน้ำ L (กปก)</v>
          </cell>
          <cell r="E8011">
            <v>0</v>
          </cell>
          <cell r="F8011">
            <v>790</v>
          </cell>
        </row>
        <row r="8012">
          <cell r="A8012" t="str">
            <v>SN1128-M</v>
          </cell>
          <cell r="B8012" t="str">
            <v>N1128</v>
          </cell>
          <cell r="C8012" t="str">
            <v>ซาติน แขนสั้นขาสั้น ลายอาร์ท สีน้ำ M (กปก)</v>
          </cell>
          <cell r="E8012">
            <v>0</v>
          </cell>
          <cell r="F8012">
            <v>590</v>
          </cell>
        </row>
        <row r="8013">
          <cell r="A8013" t="str">
            <v>SN1128-XL</v>
          </cell>
          <cell r="B8013" t="str">
            <v>N1128</v>
          </cell>
          <cell r="C8013" t="str">
            <v>ซาติน แขนสั้นขาสั้น ลายอาร์ท สีน้ำ XL (กปก)</v>
          </cell>
          <cell r="E8013">
            <v>0</v>
          </cell>
          <cell r="F8013">
            <v>790</v>
          </cell>
        </row>
        <row r="8014">
          <cell r="A8014" t="str">
            <v>SN1129-2XL</v>
          </cell>
          <cell r="B8014" t="str">
            <v>N1129</v>
          </cell>
          <cell r="C8014" t="str">
            <v>ซาติน แขนสั้นขาสั้น ดอกไม้กาสะลอง พื้นดำ 2XL</v>
          </cell>
          <cell r="E8014">
            <v>0</v>
          </cell>
          <cell r="F8014">
            <v>790</v>
          </cell>
        </row>
        <row r="8015">
          <cell r="A8015" t="str">
            <v>SN1129-L</v>
          </cell>
          <cell r="B8015" t="str">
            <v>N1129</v>
          </cell>
          <cell r="C8015" t="str">
            <v>ซาติน แขนสั้นขาสั้น ดอกไม้กาสะลอง พื้นดำ L</v>
          </cell>
          <cell r="E8015">
            <v>0</v>
          </cell>
          <cell r="F8015">
            <v>790</v>
          </cell>
        </row>
        <row r="8016">
          <cell r="A8016" t="str">
            <v>SN1129-M</v>
          </cell>
          <cell r="B8016" t="str">
            <v>N1129</v>
          </cell>
          <cell r="C8016" t="str">
            <v>ซาติน แขนสั้นขาสั้น ดอกไม้กาสะลอง พื้นดำ M</v>
          </cell>
          <cell r="E8016">
            <v>0</v>
          </cell>
          <cell r="F8016">
            <v>790</v>
          </cell>
        </row>
        <row r="8017">
          <cell r="A8017" t="str">
            <v>SN1129-XL</v>
          </cell>
          <cell r="B8017" t="str">
            <v>QN1129</v>
          </cell>
          <cell r="C8017" t="str">
            <v>ซาติน แขนสั้นขาสั้น ดอกไม้กาสะลอง พื้นดำ XL QC</v>
          </cell>
          <cell r="E8017">
            <v>0</v>
          </cell>
          <cell r="F8017">
            <v>790</v>
          </cell>
        </row>
        <row r="8018">
          <cell r="A8018" t="str">
            <v>SN1130-2XL</v>
          </cell>
          <cell r="B8018" t="str">
            <v>N1130</v>
          </cell>
          <cell r="C8018" t="str">
            <v>ซาติน แขนสั้นขาสั้น นกกระยาง พื้นฟ้า 2XL</v>
          </cell>
          <cell r="E8018">
            <v>0</v>
          </cell>
          <cell r="F8018">
            <v>790</v>
          </cell>
        </row>
        <row r="8019">
          <cell r="A8019" t="str">
            <v>SN1130-L</v>
          </cell>
          <cell r="B8019" t="str">
            <v>QN1130</v>
          </cell>
          <cell r="C8019" t="str">
            <v>ซาติน แขนสั้นขาสั้น นกกระยาง พื้นฟ้า L QC</v>
          </cell>
          <cell r="E8019">
            <v>0</v>
          </cell>
          <cell r="F8019">
            <v>790</v>
          </cell>
        </row>
        <row r="8020">
          <cell r="A8020" t="str">
            <v>SN1130-M</v>
          </cell>
          <cell r="B8020" t="str">
            <v>N1130</v>
          </cell>
          <cell r="C8020" t="str">
            <v>ซาติน แขนสั้นขาสั้น นกกระยาง พื้นฟ้า M</v>
          </cell>
          <cell r="E8020">
            <v>0</v>
          </cell>
          <cell r="F8020">
            <v>790</v>
          </cell>
        </row>
        <row r="8021">
          <cell r="A8021" t="str">
            <v>SN1130-XL</v>
          </cell>
          <cell r="B8021" t="str">
            <v>N1130</v>
          </cell>
          <cell r="C8021" t="str">
            <v>ซาติน แขนสั้นขาสั้น นกกระยาง พื้นฟ้า XL</v>
          </cell>
          <cell r="E8021">
            <v>0</v>
          </cell>
          <cell r="F8021">
            <v>790</v>
          </cell>
        </row>
        <row r="8022">
          <cell r="A8022" t="str">
            <v>SN1132-L</v>
          </cell>
          <cell r="B8022" t="str">
            <v>N1132</v>
          </cell>
          <cell r="C8022" t="str">
            <v>ซาติน แขนสั้นขาสั้น ลายมัดย้อม พื้นเหลือง แขนระบาย L</v>
          </cell>
          <cell r="E8022">
            <v>0</v>
          </cell>
          <cell r="F8022">
            <v>890</v>
          </cell>
        </row>
        <row r="8023">
          <cell r="A8023" t="str">
            <v>SN1132-M</v>
          </cell>
          <cell r="B8023" t="str">
            <v>N1132</v>
          </cell>
          <cell r="C8023" t="str">
            <v>ซาติน แขนสั้นขาสั้น ลายมัดย้อม พื้นเหลือง แขนระบาย M</v>
          </cell>
          <cell r="E8023">
            <v>0</v>
          </cell>
          <cell r="F8023">
            <v>890</v>
          </cell>
        </row>
        <row r="8024">
          <cell r="A8024" t="str">
            <v>SN1132-S</v>
          </cell>
          <cell r="B8024" t="str">
            <v>N1132</v>
          </cell>
          <cell r="C8024" t="str">
            <v>ซาติน แขนสั้นขาสั้น ลายมัดย้อม พื้นเหลือง แขนระบาย S</v>
          </cell>
          <cell r="E8024">
            <v>0</v>
          </cell>
          <cell r="F8024">
            <v>890</v>
          </cell>
        </row>
        <row r="8025">
          <cell r="A8025" t="str">
            <v>SN1132-XL</v>
          </cell>
          <cell r="B8025" t="str">
            <v>N1132</v>
          </cell>
          <cell r="C8025" t="str">
            <v>ซาติน แขนสั้นขาสั้น ลายมัดย้อม พื้นเหลือง แขนระบาย XL</v>
          </cell>
          <cell r="E8025">
            <v>0</v>
          </cell>
          <cell r="F8025">
            <v>890</v>
          </cell>
        </row>
        <row r="8026">
          <cell r="A8026" t="str">
            <v>SN1133-2XL</v>
          </cell>
          <cell r="B8026" t="str">
            <v>N1133</v>
          </cell>
          <cell r="C8026" t="str">
            <v>ซาติน แขนสั้นขาสั้น แมว ชมพู กุ้นชอบขาว (กปก) 2XL</v>
          </cell>
          <cell r="E8026">
            <v>0</v>
          </cell>
          <cell r="F8026">
            <v>790</v>
          </cell>
        </row>
        <row r="8027">
          <cell r="A8027" t="str">
            <v>SN1133-3XL</v>
          </cell>
          <cell r="B8027" t="str">
            <v>N1133</v>
          </cell>
          <cell r="C8027" t="str">
            <v>ซาติน แขนสั้นขาสั้น แมว ชมพู กุ้นชอบขาว (กปก) 3XL</v>
          </cell>
          <cell r="E8027">
            <v>0</v>
          </cell>
          <cell r="F8027">
            <v>790</v>
          </cell>
        </row>
        <row r="8028">
          <cell r="A8028" t="str">
            <v>SN1133-L</v>
          </cell>
          <cell r="B8028" t="str">
            <v>N1133</v>
          </cell>
          <cell r="C8028" t="str">
            <v>ซาติน แขนสั้นขาสั้น แมว ชมพู กุ้นชอบขาว (กปก) L</v>
          </cell>
          <cell r="E8028">
            <v>0</v>
          </cell>
          <cell r="F8028">
            <v>790</v>
          </cell>
        </row>
        <row r="8029">
          <cell r="A8029" t="str">
            <v>SN1133-M</v>
          </cell>
          <cell r="B8029" t="str">
            <v>N1133</v>
          </cell>
          <cell r="C8029" t="str">
            <v>ซาติน แขนสั้นขาสั้น แมว ชมพู กุ้นชอบขาว (กปก) M</v>
          </cell>
          <cell r="E8029">
            <v>0</v>
          </cell>
          <cell r="F8029">
            <v>790</v>
          </cell>
        </row>
        <row r="8030">
          <cell r="A8030" t="str">
            <v>SN1133-XL</v>
          </cell>
          <cell r="B8030" t="str">
            <v>N1133</v>
          </cell>
          <cell r="C8030" t="str">
            <v>ซาติน แขนสั้นขาสั้น แมว ชมพู กุ้นชอบขาว (กปก) XL</v>
          </cell>
          <cell r="E8030">
            <v>0</v>
          </cell>
          <cell r="F8030">
            <v>790</v>
          </cell>
        </row>
        <row r="8031">
          <cell r="A8031" t="str">
            <v>SN1134-2XL</v>
          </cell>
          <cell r="B8031" t="str">
            <v>N1134</v>
          </cell>
          <cell r="C8031" t="str">
            <v>ซาติน แขนสั้นขาสั้น น้องแมว พื้นครีม (กปก) 2XL</v>
          </cell>
          <cell r="E8031">
            <v>0</v>
          </cell>
          <cell r="F8031">
            <v>790</v>
          </cell>
        </row>
        <row r="8032">
          <cell r="A8032" t="str">
            <v>SN1134-L</v>
          </cell>
          <cell r="B8032" t="str">
            <v>N1134</v>
          </cell>
          <cell r="C8032" t="str">
            <v>ซาติน แขนสั้นขาสั้น น้องแมว พื้นครีม (กปก) L</v>
          </cell>
          <cell r="E8032">
            <v>0</v>
          </cell>
          <cell r="F8032">
            <v>790</v>
          </cell>
        </row>
        <row r="8033">
          <cell r="A8033" t="str">
            <v>SN1134-M</v>
          </cell>
          <cell r="B8033" t="str">
            <v>N1134</v>
          </cell>
          <cell r="C8033" t="str">
            <v>ซาติน แขนสั้นขาสั้น น้องแมว พื้นครีม (กปก) M</v>
          </cell>
          <cell r="E8033">
            <v>0</v>
          </cell>
          <cell r="F8033">
            <v>790</v>
          </cell>
        </row>
        <row r="8034">
          <cell r="A8034" t="str">
            <v>SN1134-XL</v>
          </cell>
          <cell r="B8034" t="str">
            <v>N1134</v>
          </cell>
          <cell r="C8034" t="str">
            <v>ซาติน แขนสั้นขาสั้น น้องแมว พื้นครีม (กปก) XL</v>
          </cell>
          <cell r="E8034">
            <v>0</v>
          </cell>
          <cell r="F8034">
            <v>790</v>
          </cell>
        </row>
        <row r="8035">
          <cell r="A8035" t="str">
            <v>SN1135-L</v>
          </cell>
          <cell r="B8035" t="str">
            <v>N1135</v>
          </cell>
          <cell r="C8035" t="str">
            <v>[AF]  ซาติน แขนสั้นขาสั้น พื้นม่วง แทบขาวครีม L</v>
          </cell>
          <cell r="E8035">
            <v>0</v>
          </cell>
          <cell r="F8035">
            <v>790</v>
          </cell>
        </row>
        <row r="8036">
          <cell r="A8036" t="str">
            <v>SN1135-M</v>
          </cell>
          <cell r="B8036" t="str">
            <v>QN1135</v>
          </cell>
          <cell r="C8036" t="str">
            <v>ซาติน แขนสั้นขาสั้น พื้นม่วง แทบขาวครีม M QC</v>
          </cell>
          <cell r="E8036">
            <v>0</v>
          </cell>
          <cell r="F8036">
            <v>790</v>
          </cell>
        </row>
        <row r="8037">
          <cell r="A8037" t="str">
            <v>SN1136-L</v>
          </cell>
          <cell r="B8037" t="str">
            <v>N1136</v>
          </cell>
          <cell r="C8037" t="str">
            <v>[AK]  ซาติน แขนสั้นขาสั้น พื้นชมพู กระเป๋าแทบขาว L</v>
          </cell>
          <cell r="E8037">
            <v>0</v>
          </cell>
          <cell r="F8037">
            <v>790</v>
          </cell>
        </row>
        <row r="8038">
          <cell r="A8038" t="str">
            <v>SN1136-M</v>
          </cell>
          <cell r="B8038" t="str">
            <v>QN1136</v>
          </cell>
          <cell r="C8038" t="str">
            <v>[AK]  ซาติน แขนสั้นขาสั้น พื้นชมพู กระเป๋าแทบขาว M QC</v>
          </cell>
          <cell r="E8038">
            <v>0</v>
          </cell>
          <cell r="F8038">
            <v>790</v>
          </cell>
        </row>
        <row r="8039">
          <cell r="A8039" t="str">
            <v>SN1138-2XL</v>
          </cell>
          <cell r="B8039" t="str">
            <v>N1138</v>
          </cell>
          <cell r="C8039" t="str">
            <v>ซาติน แขนสั้นขาสั้น กราฟฟิกฟาโร เขียวแดง 2XL  (กปก)</v>
          </cell>
          <cell r="E8039">
            <v>0</v>
          </cell>
          <cell r="F8039">
            <v>790</v>
          </cell>
        </row>
        <row r="8040">
          <cell r="A8040" t="str">
            <v>SN1138-L</v>
          </cell>
          <cell r="B8040" t="str">
            <v>N1138</v>
          </cell>
          <cell r="C8040" t="str">
            <v>ซาติน แขนสั้นขาสั้น กราฟฟิกฟาโร เขียวแดง L (กปก)</v>
          </cell>
          <cell r="E8040">
            <v>0</v>
          </cell>
          <cell r="F8040">
            <v>790</v>
          </cell>
        </row>
        <row r="8041">
          <cell r="A8041" t="str">
            <v>SN1138-M</v>
          </cell>
          <cell r="B8041" t="str">
            <v>QN1138</v>
          </cell>
          <cell r="C8041" t="str">
            <v>ซาติน แขนสั้นขาสั้น กราฟฟิกฟาโร เขียวแดง M (กปก) QC</v>
          </cell>
          <cell r="E8041">
            <v>0</v>
          </cell>
          <cell r="F8041">
            <v>790</v>
          </cell>
        </row>
        <row r="8042">
          <cell r="A8042" t="str">
            <v>SN1138-XL</v>
          </cell>
          <cell r="B8042" t="str">
            <v>N1138</v>
          </cell>
          <cell r="C8042" t="str">
            <v>ซาติน แขนสั้นขาสั้น กราฟฟิกฟาโร เขียวแดง XL (กปก)</v>
          </cell>
          <cell r="E8042">
            <v>0</v>
          </cell>
          <cell r="F8042">
            <v>790</v>
          </cell>
        </row>
        <row r="8043">
          <cell r="A8043" t="str">
            <v>SN1146-2XL</v>
          </cell>
          <cell r="B8043" t="str">
            <v>N1146</v>
          </cell>
          <cell r="C8043" t="str">
            <v>ซาติน แขนสั้นขาสั้น Pinky Flowers คอปกชมพูอ่อน 2XL</v>
          </cell>
          <cell r="E8043">
            <v>0</v>
          </cell>
          <cell r="F8043">
            <v>790</v>
          </cell>
        </row>
        <row r="8044">
          <cell r="A8044" t="str">
            <v>SN1146-L</v>
          </cell>
          <cell r="B8044" t="str">
            <v>N1146</v>
          </cell>
          <cell r="C8044" t="str">
            <v>ซาติน แขนสั้นขาสั้น Pinky Flowers คอปกชมพูอ่อน L</v>
          </cell>
          <cell r="E8044">
            <v>0</v>
          </cell>
          <cell r="F8044">
            <v>790</v>
          </cell>
        </row>
        <row r="8045">
          <cell r="A8045" t="str">
            <v>SN1146-M</v>
          </cell>
          <cell r="B8045" t="str">
            <v>QN1146</v>
          </cell>
          <cell r="C8045" t="str">
            <v>ซาติน แขนสั้นขาสั้น Pinky Flowers คอปกชมพูอ่อน M QC</v>
          </cell>
          <cell r="E8045">
            <v>0</v>
          </cell>
          <cell r="F8045">
            <v>790</v>
          </cell>
        </row>
        <row r="8046">
          <cell r="A8046" t="str">
            <v>SN1146-XL</v>
          </cell>
          <cell r="B8046" t="str">
            <v>N1146</v>
          </cell>
          <cell r="C8046" t="str">
            <v>ซาติน แขนสั้นขาสั้น Pinky Flowers คอปกชมพูอ่อน XL</v>
          </cell>
          <cell r="E8046">
            <v>0</v>
          </cell>
          <cell r="F8046">
            <v>790</v>
          </cell>
        </row>
        <row r="8047">
          <cell r="A8047" t="str">
            <v>SN1147-2XL</v>
          </cell>
          <cell r="B8047" t="str">
            <v>N1147</v>
          </cell>
          <cell r="C8047" t="str">
            <v>ซาติน แขนสั้นขาสั้น ผลไม้รวม พื้นชมพู ขอบลายทางเขียว (มีกปก) 2XL</v>
          </cell>
          <cell r="E8047">
            <v>0</v>
          </cell>
          <cell r="F8047">
            <v>790</v>
          </cell>
        </row>
        <row r="8048">
          <cell r="A8048" t="str">
            <v>SN1147-L</v>
          </cell>
          <cell r="B8048" t="str">
            <v>N1147</v>
          </cell>
          <cell r="C8048" t="str">
            <v>ซาติน แขนสั้นขาสั้น ผลไม้รวม พื้นชมพู ขอบลายทางเขียว (มีกปก) L</v>
          </cell>
          <cell r="E8048">
            <v>0</v>
          </cell>
          <cell r="F8048">
            <v>790</v>
          </cell>
        </row>
        <row r="8049">
          <cell r="A8049" t="str">
            <v>SN1147-M</v>
          </cell>
          <cell r="B8049" t="str">
            <v>QN1147</v>
          </cell>
          <cell r="C8049" t="str">
            <v>ซาติน แขนสั้นขาสั้น ผลไม้รวม พื้นชมพู ขอบลายทางเขียว (มีกปก) M QC</v>
          </cell>
          <cell r="E8049">
            <v>0</v>
          </cell>
          <cell r="F8049">
            <v>790</v>
          </cell>
        </row>
        <row r="8050">
          <cell r="A8050" t="str">
            <v>SN1147-XL</v>
          </cell>
          <cell r="B8050" t="str">
            <v>N1147</v>
          </cell>
          <cell r="C8050" t="str">
            <v>ซาติน แขนสั้นขาสั้น ผลไม้รวม พื้นชมพู ขอบลายทางเขียว (มีกปก) XL</v>
          </cell>
          <cell r="E8050">
            <v>0</v>
          </cell>
          <cell r="F8050">
            <v>790</v>
          </cell>
        </row>
        <row r="8051">
          <cell r="A8051" t="str">
            <v>SN1148-2XL</v>
          </cell>
          <cell r="B8051" t="str">
            <v>N1148</v>
          </cell>
          <cell r="C8051" t="str">
            <v>ซาติน แขนสั้นขาสั้น Tiger Pink (มีกปก) 2XL</v>
          </cell>
          <cell r="E8051">
            <v>9</v>
          </cell>
          <cell r="F8051">
            <v>790</v>
          </cell>
        </row>
        <row r="8052">
          <cell r="A8052" t="str">
            <v>SN1148-3XL</v>
          </cell>
          <cell r="B8052" t="str">
            <v>N1148</v>
          </cell>
          <cell r="C8052" t="str">
            <v>ซาติน แขนสั้นขาสั้น Tiger Pink (มีกปก) 3XL</v>
          </cell>
          <cell r="E8052">
            <v>0</v>
          </cell>
          <cell r="F8052">
            <v>790</v>
          </cell>
        </row>
        <row r="8053">
          <cell r="A8053" t="str">
            <v>SN1148-L</v>
          </cell>
          <cell r="B8053" t="str">
            <v>N1148</v>
          </cell>
          <cell r="C8053" t="str">
            <v>ซาติน แขนสั้นขาสั้น Tiger Pink (มีกปก) L</v>
          </cell>
          <cell r="E8053">
            <v>3</v>
          </cell>
          <cell r="F8053">
            <v>790</v>
          </cell>
        </row>
        <row r="8054">
          <cell r="A8054" t="str">
            <v>SN1148-M</v>
          </cell>
          <cell r="B8054" t="str">
            <v>N1148</v>
          </cell>
          <cell r="C8054" t="str">
            <v>ซาติน แขนสั้นขาสั้น Tiger Pink (มีกปก) M</v>
          </cell>
          <cell r="E8054">
            <v>15</v>
          </cell>
          <cell r="F8054">
            <v>790</v>
          </cell>
        </row>
        <row r="8055">
          <cell r="A8055" t="str">
            <v>SN1148-XL</v>
          </cell>
          <cell r="B8055" t="str">
            <v>N1148</v>
          </cell>
          <cell r="C8055" t="str">
            <v>ซาติน แขนสั้นขาสั้น Tiger Pink (มีกปก) XL</v>
          </cell>
          <cell r="E8055">
            <v>7</v>
          </cell>
          <cell r="F8055">
            <v>790</v>
          </cell>
        </row>
        <row r="8056">
          <cell r="A8056" t="str">
            <v>SN1149-2XL</v>
          </cell>
          <cell r="B8056" t="str">
            <v>N1149</v>
          </cell>
          <cell r="C8056" t="str">
            <v>ซาติน แขนสั้นขาสั้น 12 ราศี พื้นกรม (มีกปก) 2XL</v>
          </cell>
          <cell r="E8056">
            <v>0</v>
          </cell>
          <cell r="F8056">
            <v>790</v>
          </cell>
        </row>
        <row r="8057">
          <cell r="A8057" t="str">
            <v>SN1149-3XL</v>
          </cell>
          <cell r="B8057" t="str">
            <v>N1149</v>
          </cell>
          <cell r="C8057" t="str">
            <v>ซาติน แขนสั้นขาสั้น 12 ราศี พื้นกรม (มีกปก) 3XL</v>
          </cell>
          <cell r="E8057">
            <v>0</v>
          </cell>
          <cell r="F8057">
            <v>790</v>
          </cell>
        </row>
        <row r="8058">
          <cell r="A8058" t="str">
            <v>SN1149-L</v>
          </cell>
          <cell r="B8058" t="str">
            <v>QN1149</v>
          </cell>
          <cell r="C8058" t="str">
            <v>ซาติน แขนสั้นขาสั้น 12 ราศี พื้นกรม (มีกปก) L QC</v>
          </cell>
          <cell r="E8058">
            <v>0</v>
          </cell>
          <cell r="F8058">
            <v>790</v>
          </cell>
        </row>
        <row r="8059">
          <cell r="A8059" t="str">
            <v>SN1149-M</v>
          </cell>
          <cell r="B8059" t="str">
            <v>QN1149</v>
          </cell>
          <cell r="C8059" t="str">
            <v>ซาติน แขนสั้นขาสั้น 12 ราศี พื้นกรม (มีกปก) M QC</v>
          </cell>
          <cell r="E8059">
            <v>0</v>
          </cell>
          <cell r="F8059">
            <v>790</v>
          </cell>
        </row>
        <row r="8060">
          <cell r="A8060" t="str">
            <v>SN1149-XL</v>
          </cell>
          <cell r="B8060" t="str">
            <v>N1149</v>
          </cell>
          <cell r="C8060" t="str">
            <v>ซาติน แขนสั้นขาสั้น 12 ราศี พื้นกรม (มีกปก) XL</v>
          </cell>
          <cell r="E8060">
            <v>0</v>
          </cell>
          <cell r="F8060">
            <v>790</v>
          </cell>
        </row>
        <row r="8061">
          <cell r="A8061" t="str">
            <v>SN1150-2XL</v>
          </cell>
          <cell r="B8061" t="str">
            <v>N1150</v>
          </cell>
          <cell r="C8061" t="str">
            <v>ซาติน แขนสั้นขาสั้น 12 ราศี พื้นเขียว (มีกปก) 2XL</v>
          </cell>
          <cell r="E8061">
            <v>0</v>
          </cell>
          <cell r="F8061">
            <v>790</v>
          </cell>
        </row>
        <row r="8062">
          <cell r="A8062" t="str">
            <v>SN1150-3XL</v>
          </cell>
          <cell r="B8062" t="str">
            <v>N1150</v>
          </cell>
          <cell r="C8062" t="str">
            <v>ซาติน แขนสั้นขาสั้น 12 ราศี พื้นเขียว (มีกปก) 3XL</v>
          </cell>
          <cell r="E8062">
            <v>0</v>
          </cell>
          <cell r="F8062">
            <v>790</v>
          </cell>
        </row>
        <row r="8063">
          <cell r="A8063" t="str">
            <v>SN1150-L</v>
          </cell>
          <cell r="B8063" t="str">
            <v>N1150</v>
          </cell>
          <cell r="C8063" t="str">
            <v>ซาติน แขนสั้นขาสั้น 12 ราศี พื้นเขียว (มีกปก) L</v>
          </cell>
          <cell r="E8063">
            <v>0</v>
          </cell>
          <cell r="F8063">
            <v>790</v>
          </cell>
        </row>
        <row r="8064">
          <cell r="A8064" t="str">
            <v>SN1150-M</v>
          </cell>
          <cell r="B8064" t="str">
            <v>N1150</v>
          </cell>
          <cell r="C8064" t="str">
            <v>ซาติน แขนสั้นขาสั้น 12 ราศี พื้นเขียว (มีกปก) M</v>
          </cell>
          <cell r="E8064">
            <v>0</v>
          </cell>
          <cell r="F8064">
            <v>790</v>
          </cell>
        </row>
        <row r="8065">
          <cell r="A8065" t="str">
            <v>SN1150-XL</v>
          </cell>
          <cell r="B8065" t="str">
            <v>N1150</v>
          </cell>
          <cell r="C8065" t="str">
            <v>ซาติน แขนสั้นขาสั้น 12 ราศี พื้นเขียว (มีกปก) XL</v>
          </cell>
          <cell r="E8065">
            <v>0</v>
          </cell>
          <cell r="F8065">
            <v>790</v>
          </cell>
        </row>
        <row r="8066">
          <cell r="A8066" t="str">
            <v>SN1151-2XL</v>
          </cell>
          <cell r="B8066" t="str">
            <v>N1151</v>
          </cell>
          <cell r="C8066" t="str">
            <v>ซาติน แขนสั้นขาสั้น อาชา ฟ้าคราม (กปก) 2XL</v>
          </cell>
          <cell r="E8066">
            <v>0</v>
          </cell>
          <cell r="F8066">
            <v>790</v>
          </cell>
        </row>
        <row r="8067">
          <cell r="A8067" t="str">
            <v>SN1151-L</v>
          </cell>
          <cell r="B8067" t="str">
            <v>N1151</v>
          </cell>
          <cell r="C8067" t="str">
            <v>[AA]  ซาติน แขนสั้นขาสั้น อาชา ฟ้าคราม (กปก) L</v>
          </cell>
          <cell r="E8067">
            <v>0</v>
          </cell>
          <cell r="F8067">
            <v>790</v>
          </cell>
        </row>
        <row r="8068">
          <cell r="A8068" t="str">
            <v>SN1151-M</v>
          </cell>
          <cell r="B8068" t="str">
            <v>N1151</v>
          </cell>
          <cell r="C8068" t="str">
            <v>ซาติน แขนสั้นขาสั้น อาชา ฟ้าคราม (กปก) M</v>
          </cell>
          <cell r="E8068">
            <v>0</v>
          </cell>
          <cell r="F8068">
            <v>790</v>
          </cell>
        </row>
        <row r="8069">
          <cell r="A8069" t="str">
            <v>SN1151-XL</v>
          </cell>
          <cell r="B8069" t="str">
            <v>N1151</v>
          </cell>
          <cell r="C8069" t="str">
            <v>ซาติน แขนสั้นขาสั้น อาชา ฟ้าคราม (กปก) XL</v>
          </cell>
          <cell r="E8069">
            <v>0</v>
          </cell>
          <cell r="F8069">
            <v>790</v>
          </cell>
        </row>
        <row r="8070">
          <cell r="A8070" t="str">
            <v>SN1153-2XL</v>
          </cell>
          <cell r="B8070" t="str">
            <v>N1153</v>
          </cell>
          <cell r="C8070" t="str">
            <v>ซาติน แขนสั้นขาสั้น ทิวลิปส้ม พื้นขาว 2XL</v>
          </cell>
          <cell r="E8070">
            <v>0</v>
          </cell>
          <cell r="F8070">
            <v>790</v>
          </cell>
        </row>
        <row r="8071">
          <cell r="A8071" t="str">
            <v>SN1153-L</v>
          </cell>
          <cell r="B8071" t="str">
            <v>QN1153</v>
          </cell>
          <cell r="C8071" t="str">
            <v>[AL]  ซาติน แขนสั้นขาสั้น ทิวลิปส้ม พื้นขาว L QC</v>
          </cell>
          <cell r="E8071">
            <v>0</v>
          </cell>
          <cell r="F8071">
            <v>790</v>
          </cell>
        </row>
        <row r="8072">
          <cell r="A8072" t="str">
            <v>SN1153-M</v>
          </cell>
          <cell r="B8072" t="str">
            <v>N1153</v>
          </cell>
          <cell r="C8072" t="str">
            <v>ซาติน แขนสั้นขาสั้น ทิวลิปส้ม พื้นขาว M</v>
          </cell>
          <cell r="E8072">
            <v>0</v>
          </cell>
          <cell r="F8072">
            <v>790</v>
          </cell>
        </row>
        <row r="8073">
          <cell r="A8073" t="str">
            <v>SN1153-XL</v>
          </cell>
          <cell r="B8073" t="str">
            <v>N1153</v>
          </cell>
          <cell r="C8073" t="str">
            <v>[AL]  ซาติน แขนสั้นขาสั้น ทิวลิปส้ม พื้นขาว XL</v>
          </cell>
          <cell r="E8073">
            <v>0</v>
          </cell>
          <cell r="F8073">
            <v>790</v>
          </cell>
        </row>
        <row r="8074">
          <cell r="A8074" t="str">
            <v>SN1154-2XL</v>
          </cell>
          <cell r="B8074" t="str">
            <v>N1154</v>
          </cell>
          <cell r="C8074" t="str">
            <v>ซาติน แขนสั้นขาสั้น Pink Heart 2XL (กปก)</v>
          </cell>
          <cell r="E8074">
            <v>0</v>
          </cell>
          <cell r="F8074">
            <v>790</v>
          </cell>
        </row>
        <row r="8075">
          <cell r="A8075" t="str">
            <v>SN1154-L</v>
          </cell>
          <cell r="B8075" t="str">
            <v>N1154</v>
          </cell>
          <cell r="C8075" t="str">
            <v>ซาติน แขนสั้นขาสั้น Pink Heart L (กปก)</v>
          </cell>
          <cell r="E8075">
            <v>0</v>
          </cell>
          <cell r="F8075">
            <v>790</v>
          </cell>
        </row>
        <row r="8076">
          <cell r="A8076" t="str">
            <v>SN1154-M</v>
          </cell>
          <cell r="B8076" t="str">
            <v>N1154</v>
          </cell>
          <cell r="C8076" t="str">
            <v>ซาติน แขนสั้นขาสั้น Pink Heart M (กปก)</v>
          </cell>
          <cell r="E8076">
            <v>0</v>
          </cell>
          <cell r="F8076">
            <v>790</v>
          </cell>
        </row>
        <row r="8077">
          <cell r="A8077" t="str">
            <v>SN1154-XL</v>
          </cell>
          <cell r="B8077" t="str">
            <v>QN1154</v>
          </cell>
          <cell r="C8077" t="str">
            <v>ซาติน แขนสั้นขาสั้น Pink Heart XL (กปก) QC</v>
          </cell>
          <cell r="E8077">
            <v>0</v>
          </cell>
          <cell r="F8077">
            <v>790</v>
          </cell>
        </row>
        <row r="8078">
          <cell r="A8078" t="str">
            <v>SN1155-2XL</v>
          </cell>
          <cell r="B8078" t="str">
            <v>N1155</v>
          </cell>
          <cell r="C8078" t="str">
            <v>[AJ]  ซาติน แขนสั้นขาสั้น Violet Forest 2XL (กปก)</v>
          </cell>
          <cell r="E8078">
            <v>0</v>
          </cell>
          <cell r="F8078">
            <v>790</v>
          </cell>
        </row>
        <row r="8079">
          <cell r="A8079" t="str">
            <v>SN1155-L</v>
          </cell>
          <cell r="B8079" t="str">
            <v>N1155</v>
          </cell>
          <cell r="C8079" t="str">
            <v>ซาติน แขนสั้นขาสั้น Violet Forest L (กปก)</v>
          </cell>
          <cell r="E8079">
            <v>0</v>
          </cell>
          <cell r="F8079">
            <v>790</v>
          </cell>
        </row>
        <row r="8080">
          <cell r="A8080" t="str">
            <v>SN1155-M</v>
          </cell>
          <cell r="B8080" t="str">
            <v>N1155</v>
          </cell>
          <cell r="C8080" t="str">
            <v>ซาติน แขนสั้นขาสั้น Violet Forest M (กปก)</v>
          </cell>
          <cell r="E8080">
            <v>0</v>
          </cell>
          <cell r="F8080">
            <v>790</v>
          </cell>
        </row>
        <row r="8081">
          <cell r="A8081" t="str">
            <v>SN1155-XL</v>
          </cell>
          <cell r="B8081" t="str">
            <v>N1155</v>
          </cell>
          <cell r="C8081" t="str">
            <v>ซาติน แขนสั้นขาสั้น Violet Forest XL (กปก)</v>
          </cell>
          <cell r="E8081">
            <v>0</v>
          </cell>
          <cell r="F8081">
            <v>790</v>
          </cell>
        </row>
        <row r="8082">
          <cell r="A8082" t="str">
            <v>SN1156-2XL</v>
          </cell>
          <cell r="B8082" t="str">
            <v>QN1156</v>
          </cell>
          <cell r="C8082" t="str">
            <v>ซาติน แขนสั้นขาสั้น Beautiful Women White 2XL (กปก) QC</v>
          </cell>
          <cell r="E8082">
            <v>0</v>
          </cell>
          <cell r="F8082">
            <v>790</v>
          </cell>
        </row>
        <row r="8083">
          <cell r="A8083" t="str">
            <v>SN1156-L</v>
          </cell>
          <cell r="B8083" t="str">
            <v>N1156</v>
          </cell>
          <cell r="C8083" t="str">
            <v>ซาติน แขนสั้นขาสั้น Beautiful Women White L (กปก)</v>
          </cell>
          <cell r="E8083">
            <v>0</v>
          </cell>
          <cell r="F8083">
            <v>790</v>
          </cell>
        </row>
        <row r="8084">
          <cell r="A8084" t="str">
            <v>SN1156-M</v>
          </cell>
          <cell r="B8084" t="str">
            <v>N1156</v>
          </cell>
          <cell r="C8084" t="str">
            <v>ซาติน แขนสั้นขาสั้น Beautiful Women White M (กปก)</v>
          </cell>
          <cell r="E8084">
            <v>0</v>
          </cell>
          <cell r="F8084">
            <v>790</v>
          </cell>
        </row>
        <row r="8085">
          <cell r="A8085" t="str">
            <v>SN1156-XL</v>
          </cell>
          <cell r="B8085" t="str">
            <v>N1156</v>
          </cell>
          <cell r="C8085" t="str">
            <v>ซาติน แขนสั้นขาสั้น Beautiful Women White XL (กปก)</v>
          </cell>
          <cell r="E8085">
            <v>0</v>
          </cell>
          <cell r="F8085">
            <v>790</v>
          </cell>
        </row>
        <row r="8086">
          <cell r="A8086" t="str">
            <v>SN1157-2XL</v>
          </cell>
          <cell r="B8086" t="str">
            <v>N1157</v>
          </cell>
          <cell r="C8086" t="str">
            <v>[AL]   ซาติน แขนสั้นขาสั้น ฟอนท์อังกฤษ พื้นขาว 2XL (กปก)</v>
          </cell>
          <cell r="E8086">
            <v>0</v>
          </cell>
          <cell r="F8086">
            <v>790</v>
          </cell>
        </row>
        <row r="8087">
          <cell r="A8087" t="str">
            <v>SN1157-L</v>
          </cell>
          <cell r="B8087" t="str">
            <v>N1157</v>
          </cell>
          <cell r="C8087" t="str">
            <v>ซาติน แขนสั้นขาสั้น ฟอนท์อังกฤษ พื้นขาว L (กปก)</v>
          </cell>
          <cell r="E8087">
            <v>0</v>
          </cell>
          <cell r="F8087">
            <v>790</v>
          </cell>
        </row>
        <row r="8088">
          <cell r="A8088" t="str">
            <v>SN1157-M</v>
          </cell>
          <cell r="B8088" t="str">
            <v>N1157</v>
          </cell>
          <cell r="C8088" t="str">
            <v>ซาติน แขนสั้นขาสั้น ฟอนท์อังกฤษ พื้นขาว M (กปก)</v>
          </cell>
          <cell r="E8088">
            <v>0</v>
          </cell>
          <cell r="F8088">
            <v>790</v>
          </cell>
        </row>
        <row r="8089">
          <cell r="A8089" t="str">
            <v>SN1157-XL</v>
          </cell>
          <cell r="B8089" t="str">
            <v>N1157</v>
          </cell>
          <cell r="C8089" t="str">
            <v>[AL]  ซาติน แขนสั้นขาสั้น ฟอนท์อังกฤษ พื้นขาว XL (กปก)</v>
          </cell>
          <cell r="E8089">
            <v>0</v>
          </cell>
          <cell r="F8089">
            <v>790</v>
          </cell>
        </row>
        <row r="8090">
          <cell r="A8090" t="str">
            <v>SN1158-2XL</v>
          </cell>
          <cell r="B8090" t="str">
            <v>QN1158</v>
          </cell>
          <cell r="C8090" t="str">
            <v>ซาติน แขนสั้นขาสั้น Beautiful Women Pink 2XL (กปก) QC</v>
          </cell>
          <cell r="E8090">
            <v>0</v>
          </cell>
          <cell r="F8090">
            <v>790</v>
          </cell>
        </row>
        <row r="8091">
          <cell r="A8091" t="str">
            <v>SN1158-L</v>
          </cell>
          <cell r="B8091" t="str">
            <v>N1158</v>
          </cell>
          <cell r="C8091" t="str">
            <v>[AK]  ซาติน แขนสั้นขาสั้น Beautiful Women Pink L (กปก)</v>
          </cell>
          <cell r="E8091">
            <v>0</v>
          </cell>
          <cell r="F8091">
            <v>790</v>
          </cell>
        </row>
        <row r="8092">
          <cell r="A8092" t="str">
            <v>SN1158-M</v>
          </cell>
          <cell r="B8092" t="str">
            <v>QN1158</v>
          </cell>
          <cell r="C8092" t="str">
            <v>[AK]  ซาติน แขนสั้นขาสั้น Beautiful Women Pink M (กปก) QC</v>
          </cell>
          <cell r="E8092">
            <v>0</v>
          </cell>
          <cell r="F8092">
            <v>790</v>
          </cell>
        </row>
        <row r="8093">
          <cell r="A8093" t="str">
            <v>SN1158-XL</v>
          </cell>
          <cell r="B8093" t="str">
            <v>QN1158</v>
          </cell>
          <cell r="C8093" t="str">
            <v>[AK]  ซาติน แขนสั้นขาสั้น Beautiful Women Pink XL (กปก) QC</v>
          </cell>
          <cell r="E8093">
            <v>0</v>
          </cell>
          <cell r="F8093">
            <v>790</v>
          </cell>
        </row>
        <row r="8094">
          <cell r="A8094" t="str">
            <v>SN1159-2XL</v>
          </cell>
          <cell r="B8094" t="str">
            <v>N1159</v>
          </cell>
          <cell r="C8094" t="str">
            <v>ซาติน แขนสั้นขาสั้น Violet Rose พื้นเขียวมินท์ 2XL</v>
          </cell>
          <cell r="E8094">
            <v>0</v>
          </cell>
          <cell r="F8094">
            <v>790</v>
          </cell>
        </row>
        <row r="8095">
          <cell r="A8095" t="str">
            <v>SN1159-L</v>
          </cell>
          <cell r="B8095" t="str">
            <v>QN1159</v>
          </cell>
          <cell r="C8095" t="str">
            <v>ซาติน แขนสั้นขาสั้น Violet Rose พื้นเขียวมินท์ L QC</v>
          </cell>
          <cell r="E8095">
            <v>0</v>
          </cell>
          <cell r="F8095">
            <v>790</v>
          </cell>
        </row>
        <row r="8096">
          <cell r="A8096" t="str">
            <v>SN1159-M</v>
          </cell>
          <cell r="B8096" t="str">
            <v>N1159</v>
          </cell>
          <cell r="C8096" t="str">
            <v>ซาติน แขนสั้นขาสั้น Violet Rose พื้นเขียวมินท์ M</v>
          </cell>
          <cell r="E8096">
            <v>0</v>
          </cell>
          <cell r="F8096">
            <v>790</v>
          </cell>
        </row>
        <row r="8097">
          <cell r="A8097" t="str">
            <v>SN1159-XL</v>
          </cell>
          <cell r="B8097" t="str">
            <v>N1159</v>
          </cell>
          <cell r="C8097" t="str">
            <v>ซาติน แขนสั้นขาสั้น Violet Rose พื้นเขียวมินท์ XL</v>
          </cell>
          <cell r="E8097">
            <v>0</v>
          </cell>
          <cell r="F8097">
            <v>790</v>
          </cell>
        </row>
        <row r="8098">
          <cell r="A8098" t="str">
            <v>SN1160-2XL</v>
          </cell>
          <cell r="B8098" t="str">
            <v>N1160</v>
          </cell>
          <cell r="C8098" t="str">
            <v>[AJ]  ซาติน แขนสั้นขาสั้น Muslin Yellow 2XL</v>
          </cell>
          <cell r="E8098">
            <v>0</v>
          </cell>
          <cell r="F8098">
            <v>790</v>
          </cell>
        </row>
        <row r="8099">
          <cell r="A8099" t="str">
            <v>SN1160-L</v>
          </cell>
          <cell r="B8099" t="str">
            <v>N1160</v>
          </cell>
          <cell r="C8099" t="str">
            <v>[AJ]  ซาติน แขนสั้นขาสั้น Muslin Yellow L</v>
          </cell>
          <cell r="E8099">
            <v>0</v>
          </cell>
          <cell r="F8099">
            <v>790</v>
          </cell>
        </row>
        <row r="8100">
          <cell r="A8100" t="str">
            <v>SN1160-M</v>
          </cell>
          <cell r="B8100" t="str">
            <v>N1160</v>
          </cell>
          <cell r="C8100" t="str">
            <v>ซาติน แขนสั้นขาสั้น Muslin Yellow M</v>
          </cell>
          <cell r="E8100">
            <v>0</v>
          </cell>
          <cell r="F8100">
            <v>790</v>
          </cell>
        </row>
        <row r="8101">
          <cell r="A8101" t="str">
            <v>SN1160-XL</v>
          </cell>
          <cell r="B8101" t="str">
            <v>N1160</v>
          </cell>
          <cell r="C8101" t="str">
            <v>[AJ]  ซาติน แขนสั้นขาสั้น Muslin Yellow XL</v>
          </cell>
          <cell r="E8101">
            <v>0</v>
          </cell>
          <cell r="F8101">
            <v>790</v>
          </cell>
        </row>
        <row r="8102">
          <cell r="A8102" t="str">
            <v>SN1161-2XL</v>
          </cell>
          <cell r="B8102" t="str">
            <v>N1161</v>
          </cell>
          <cell r="C8102" t="str">
            <v>[AI]  ซาติน แขนสั้นขาสั้น Muslin Light Blue 2XL</v>
          </cell>
          <cell r="E8102">
            <v>0</v>
          </cell>
          <cell r="F8102">
            <v>790</v>
          </cell>
        </row>
        <row r="8103">
          <cell r="A8103" t="str">
            <v>SN1161-L</v>
          </cell>
          <cell r="B8103" t="str">
            <v>N1161</v>
          </cell>
          <cell r="C8103" t="str">
            <v>ซาติน แขนสั้นขาสั้น Muslin Light Blue L</v>
          </cell>
          <cell r="E8103">
            <v>0</v>
          </cell>
          <cell r="F8103">
            <v>790</v>
          </cell>
        </row>
        <row r="8104">
          <cell r="A8104" t="str">
            <v>SN1161-M</v>
          </cell>
          <cell r="B8104" t="str">
            <v>N1161</v>
          </cell>
          <cell r="C8104" t="str">
            <v>ซาติน แขนสั้นขาสั้น Muslin Light Blue M</v>
          </cell>
          <cell r="E8104">
            <v>0</v>
          </cell>
          <cell r="F8104">
            <v>790</v>
          </cell>
        </row>
        <row r="8105">
          <cell r="A8105" t="str">
            <v>SN1161-XL</v>
          </cell>
          <cell r="B8105" t="str">
            <v>N1161</v>
          </cell>
          <cell r="C8105" t="str">
            <v>[AI]  ซาติน แขนสั้นขาสั้น Muslin Light Blue XL</v>
          </cell>
          <cell r="E8105">
            <v>0</v>
          </cell>
          <cell r="F8105">
            <v>790</v>
          </cell>
        </row>
        <row r="8106">
          <cell r="A8106" t="str">
            <v>SN1162-2XL</v>
          </cell>
          <cell r="B8106" t="str">
            <v>N1162</v>
          </cell>
          <cell r="C8106" t="str">
            <v>ซาติน แขนสั้นขาสั้น Muslin Green 2XL</v>
          </cell>
          <cell r="E8106">
            <v>0</v>
          </cell>
          <cell r="F8106">
            <v>790</v>
          </cell>
        </row>
        <row r="8107">
          <cell r="A8107" t="str">
            <v>SN1162-L</v>
          </cell>
          <cell r="B8107" t="str">
            <v>N1162</v>
          </cell>
          <cell r="C8107" t="str">
            <v>ซาติน แขนสั้นขาสั้น Muslin Green L</v>
          </cell>
          <cell r="E8107">
            <v>0</v>
          </cell>
          <cell r="F8107">
            <v>790</v>
          </cell>
        </row>
        <row r="8108">
          <cell r="A8108" t="str">
            <v>SN1162-M</v>
          </cell>
          <cell r="B8108" t="str">
            <v>N1162</v>
          </cell>
          <cell r="C8108" t="str">
            <v>ซาติน แขนสั้นขาสั้น Muslin Green M</v>
          </cell>
          <cell r="E8108">
            <v>0</v>
          </cell>
          <cell r="F8108">
            <v>790</v>
          </cell>
        </row>
        <row r="8109">
          <cell r="A8109" t="str">
            <v>SN1162-XL</v>
          </cell>
          <cell r="B8109" t="str">
            <v>N1162</v>
          </cell>
          <cell r="C8109" t="str">
            <v>ซาติน แขนสั้นขาสั้น Muslin Green XL</v>
          </cell>
          <cell r="E8109">
            <v>0</v>
          </cell>
          <cell r="F8109">
            <v>790</v>
          </cell>
        </row>
        <row r="8110">
          <cell r="A8110" t="str">
            <v>SN1163-2XL</v>
          </cell>
          <cell r="B8110" t="str">
            <v>N1163</v>
          </cell>
          <cell r="C8110" t="str">
            <v>[AJ]  ซาติน แขนสั้นขาสั้น Muslin Pinkky 2XL</v>
          </cell>
          <cell r="E8110">
            <v>0</v>
          </cell>
          <cell r="F8110">
            <v>790</v>
          </cell>
        </row>
        <row r="8111">
          <cell r="A8111" t="str">
            <v>SN1163-L</v>
          </cell>
          <cell r="B8111" t="str">
            <v>N1163</v>
          </cell>
          <cell r="C8111" t="str">
            <v>ซาติน แขนสั้นขาสั้น Muslin Pinkky L</v>
          </cell>
          <cell r="E8111">
            <v>0</v>
          </cell>
          <cell r="F8111">
            <v>790</v>
          </cell>
        </row>
        <row r="8112">
          <cell r="A8112" t="str">
            <v>SN1163-M</v>
          </cell>
          <cell r="B8112" t="str">
            <v>N1163</v>
          </cell>
          <cell r="C8112" t="str">
            <v>ซาติน แขนสั้นขาสั้น Muslin Pinkky M</v>
          </cell>
          <cell r="E8112">
            <v>0</v>
          </cell>
          <cell r="F8112">
            <v>790</v>
          </cell>
        </row>
        <row r="8113">
          <cell r="A8113" t="str">
            <v>SN1163-XL</v>
          </cell>
          <cell r="B8113" t="str">
            <v>N1163</v>
          </cell>
          <cell r="C8113" t="str">
            <v>ซาติน แขนสั้นขาสั้น Muslin Pinkky XL</v>
          </cell>
          <cell r="E8113">
            <v>0</v>
          </cell>
          <cell r="F8113">
            <v>790</v>
          </cell>
        </row>
        <row r="8114">
          <cell r="A8114" t="str">
            <v>SN1164-2XL</v>
          </cell>
          <cell r="B8114" t="str">
            <v>N1164</v>
          </cell>
          <cell r="C8114" t="str">
            <v>[AI]  ซาติน แขนสั้นขาสั้น Muslin Dark Blue 2XL</v>
          </cell>
          <cell r="E8114">
            <v>7</v>
          </cell>
          <cell r="F8114">
            <v>790</v>
          </cell>
        </row>
        <row r="8115">
          <cell r="A8115" t="str">
            <v>SN1164-L</v>
          </cell>
          <cell r="B8115" t="str">
            <v>N1164</v>
          </cell>
          <cell r="C8115" t="str">
            <v>ซาติน แขนสั้นขาสั้น Muslin Dark Blue L</v>
          </cell>
          <cell r="E8115">
            <v>0</v>
          </cell>
          <cell r="F8115">
            <v>790</v>
          </cell>
        </row>
        <row r="8116">
          <cell r="A8116" t="str">
            <v>SN1164-M</v>
          </cell>
          <cell r="B8116" t="str">
            <v>N1164</v>
          </cell>
          <cell r="C8116" t="str">
            <v>[AJ]      ซาติน แขนสั้นขาสั้น Muslin Dark Blue M</v>
          </cell>
          <cell r="E8116">
            <v>0</v>
          </cell>
          <cell r="F8116">
            <v>790</v>
          </cell>
        </row>
        <row r="8117">
          <cell r="A8117" t="str">
            <v>SN1164-XL</v>
          </cell>
          <cell r="B8117" t="str">
            <v>N1164</v>
          </cell>
          <cell r="C8117" t="str">
            <v>[AI]  ซาติน แขนสั้นขาสั้น Muslin Dark Blue XL</v>
          </cell>
          <cell r="E8117">
            <v>8</v>
          </cell>
          <cell r="F8117">
            <v>790</v>
          </cell>
        </row>
        <row r="8118">
          <cell r="A8118" t="str">
            <v>SN1168-2XL</v>
          </cell>
          <cell r="B8118" t="str">
            <v>N1168</v>
          </cell>
          <cell r="C8118" t="str">
            <v>ซาติน แขนสั้นขาสั้น Mini Cute เขียวขาว 2XL (กปก)</v>
          </cell>
          <cell r="E8118">
            <v>0</v>
          </cell>
          <cell r="F8118">
            <v>790</v>
          </cell>
        </row>
        <row r="8119">
          <cell r="A8119" t="str">
            <v>SN1168-L</v>
          </cell>
          <cell r="B8119" t="str">
            <v>N1168</v>
          </cell>
          <cell r="C8119" t="str">
            <v>ซาติน แขนสั้นขาสั้น Mini Cute เขียวขาว L (กปก)</v>
          </cell>
          <cell r="E8119">
            <v>0</v>
          </cell>
          <cell r="F8119">
            <v>790</v>
          </cell>
        </row>
        <row r="8120">
          <cell r="A8120" t="str">
            <v>SN1168-M</v>
          </cell>
          <cell r="B8120" t="str">
            <v>N1168</v>
          </cell>
          <cell r="C8120" t="str">
            <v>ซาติน แขนสั้นขาสั้น Mini Cute เขียวขาว M (กปก)</v>
          </cell>
          <cell r="E8120">
            <v>0</v>
          </cell>
          <cell r="F8120">
            <v>790</v>
          </cell>
        </row>
        <row r="8121">
          <cell r="A8121" t="str">
            <v>SN1168-XL</v>
          </cell>
          <cell r="B8121" t="str">
            <v>QN1168</v>
          </cell>
          <cell r="C8121" t="str">
            <v>ซาติน แขนสั้นขาสั้น Mini Cute เขียวขาว XL (กปก) QC</v>
          </cell>
          <cell r="E8121">
            <v>0</v>
          </cell>
          <cell r="F8121">
            <v>790</v>
          </cell>
        </row>
        <row r="8122">
          <cell r="A8122" t="str">
            <v>SN1169-2XL</v>
          </cell>
          <cell r="B8122" t="str">
            <v>N1169</v>
          </cell>
          <cell r="C8122" t="str">
            <v>ซาติน แขนสั้นขาสั้น Mini Cute เทาขาว 2XL (กปก)</v>
          </cell>
          <cell r="E8122">
            <v>0</v>
          </cell>
          <cell r="F8122">
            <v>790</v>
          </cell>
        </row>
        <row r="8123">
          <cell r="A8123" t="str">
            <v>SN1169-L</v>
          </cell>
          <cell r="B8123" t="str">
            <v>N1169</v>
          </cell>
          <cell r="C8123" t="str">
            <v>ซาติน แขนสั้นขาสั้น Mini Cute เทาขาว L (กปก)</v>
          </cell>
          <cell r="E8123">
            <v>0</v>
          </cell>
          <cell r="F8123">
            <v>790</v>
          </cell>
        </row>
        <row r="8124">
          <cell r="A8124" t="str">
            <v>SN1169-M</v>
          </cell>
          <cell r="B8124" t="str">
            <v>N1169</v>
          </cell>
          <cell r="C8124" t="str">
            <v>ซาติน แขนสั้นขาสั้น Mini Cute เทาขาว M (กปก)</v>
          </cell>
          <cell r="E8124">
            <v>0</v>
          </cell>
          <cell r="F8124">
            <v>790</v>
          </cell>
        </row>
        <row r="8125">
          <cell r="A8125" t="str">
            <v>SN1169-XL</v>
          </cell>
          <cell r="B8125" t="str">
            <v>N1169</v>
          </cell>
          <cell r="C8125" t="str">
            <v>ซาติน แขนสั้นขาสั้น Mini Cute เทาขาว XL (กปก)</v>
          </cell>
          <cell r="E8125">
            <v>0</v>
          </cell>
          <cell r="F8125">
            <v>790</v>
          </cell>
        </row>
        <row r="8126">
          <cell r="A8126" t="str">
            <v>SN1170-2XL</v>
          </cell>
          <cell r="B8126" t="str">
            <v>N1170</v>
          </cell>
          <cell r="C8126" t="str">
            <v>ซาติน แขนสั้นขาสั้น Mini Cute โอโรสขาว 2XL (กปก)</v>
          </cell>
          <cell r="E8126">
            <v>0</v>
          </cell>
          <cell r="F8126">
            <v>790</v>
          </cell>
        </row>
        <row r="8127">
          <cell r="A8127" t="str">
            <v>SN1170-L</v>
          </cell>
          <cell r="B8127" t="str">
            <v>N1170</v>
          </cell>
          <cell r="C8127" t="str">
            <v>ซาติน แขนสั้นขาสั้น Mini Cute โอโรสขาว L (กปก)</v>
          </cell>
          <cell r="E8127">
            <v>0</v>
          </cell>
          <cell r="F8127">
            <v>790</v>
          </cell>
        </row>
        <row r="8128">
          <cell r="A8128" t="str">
            <v>SN1170-M</v>
          </cell>
          <cell r="B8128" t="str">
            <v>N1170</v>
          </cell>
          <cell r="C8128" t="str">
            <v>ซาติน แขนสั้นขาสั้น Mini Cute โอโรสขาว M (กปก)</v>
          </cell>
          <cell r="E8128">
            <v>0</v>
          </cell>
          <cell r="F8128">
            <v>790</v>
          </cell>
        </row>
        <row r="8129">
          <cell r="A8129" t="str">
            <v>SN1170-XL</v>
          </cell>
          <cell r="B8129" t="str">
            <v>N1170</v>
          </cell>
          <cell r="C8129" t="str">
            <v>ซาติน แขนสั้นขาสั้น Mini Cute โอโรสขาว XL (กปก)</v>
          </cell>
          <cell r="E8129">
            <v>0</v>
          </cell>
          <cell r="F8129">
            <v>790</v>
          </cell>
        </row>
        <row r="8130">
          <cell r="A8130" t="str">
            <v>SN1175-2XL</v>
          </cell>
          <cell r="B8130" t="str">
            <v>N1175</v>
          </cell>
          <cell r="C8130" t="str">
            <v>ซาติน แขนสั้นขาสั้น กวางน้อย พื้นขาว ปกเทา 2XL  (กปก)</v>
          </cell>
          <cell r="E8130">
            <v>0</v>
          </cell>
          <cell r="F8130">
            <v>790</v>
          </cell>
        </row>
        <row r="8131">
          <cell r="A8131" t="str">
            <v>SN1175-L</v>
          </cell>
          <cell r="B8131" t="str">
            <v>N1175</v>
          </cell>
          <cell r="C8131" t="str">
            <v>ซาติน แขนสั้นขาสั้น กวางน้อย พื้นขาว ปกเทา L (กปก)</v>
          </cell>
          <cell r="E8131">
            <v>0</v>
          </cell>
          <cell r="F8131">
            <v>790</v>
          </cell>
        </row>
        <row r="8132">
          <cell r="A8132" t="str">
            <v>SN1175-M</v>
          </cell>
          <cell r="B8132" t="str">
            <v>N1175</v>
          </cell>
          <cell r="C8132" t="str">
            <v>ซาติน แขนสั้นขาสั้น กวางน้อย พื้นขาว ปกเทา M (กปก)</v>
          </cell>
          <cell r="E8132">
            <v>0</v>
          </cell>
          <cell r="F8132">
            <v>790</v>
          </cell>
        </row>
        <row r="8133">
          <cell r="A8133" t="str">
            <v>SN1175-XL</v>
          </cell>
          <cell r="B8133" t="str">
            <v>QN1175</v>
          </cell>
          <cell r="C8133" t="str">
            <v>[AK]  ซาติน แขนสั้นขาสั้น กวางน้อย พื้นขาว ปกเทา XL (กปก) QC</v>
          </cell>
          <cell r="E8133">
            <v>0</v>
          </cell>
          <cell r="F8133">
            <v>790</v>
          </cell>
        </row>
        <row r="8134">
          <cell r="A8134" t="str">
            <v>SN1176-2XL</v>
          </cell>
          <cell r="B8134" t="str">
            <v>N1176</v>
          </cell>
          <cell r="C8134" t="str">
            <v>ซาติน แขนสั้นขาสั้น กราฟฟิก พาสเทล ส้ม ชมพู 2XL (กปก)</v>
          </cell>
          <cell r="E8134">
            <v>0</v>
          </cell>
          <cell r="F8134">
            <v>790</v>
          </cell>
        </row>
        <row r="8135">
          <cell r="A8135" t="str">
            <v>SN1176-L</v>
          </cell>
          <cell r="B8135" t="str">
            <v>N1176</v>
          </cell>
          <cell r="C8135" t="str">
            <v>[AG]  ซาติน แขนสั้นขาสั้น กราฟฟิก พาสเทล ส้ม ชมพู L (กปก)</v>
          </cell>
          <cell r="E8135">
            <v>0</v>
          </cell>
          <cell r="F8135">
            <v>790</v>
          </cell>
        </row>
        <row r="8136">
          <cell r="A8136" t="str">
            <v>SN1176-M</v>
          </cell>
          <cell r="B8136" t="str">
            <v>QN1176</v>
          </cell>
          <cell r="C8136" t="str">
            <v>[AA]   ซาติน แขนสั้นขาสั้น กราฟฟิก พาสเทล ส้ม ชมพู M (กปก) QC</v>
          </cell>
          <cell r="E8136">
            <v>0</v>
          </cell>
          <cell r="F8136">
            <v>790</v>
          </cell>
        </row>
        <row r="8137">
          <cell r="A8137" t="str">
            <v>SN1176-XL</v>
          </cell>
          <cell r="B8137" t="str">
            <v>N1176</v>
          </cell>
          <cell r="C8137" t="str">
            <v>[AG]  ซาติน แขนสั้นขาสั้น กราฟฟิก พาสเทล ส้ม ชมพู XL (กปก)</v>
          </cell>
          <cell r="E8137">
            <v>0</v>
          </cell>
          <cell r="F8137">
            <v>790</v>
          </cell>
        </row>
        <row r="8138">
          <cell r="A8138" t="str">
            <v>SN1178-2XL</v>
          </cell>
          <cell r="B8138" t="str">
            <v>N1178</v>
          </cell>
          <cell r="C8138" t="str">
            <v>ซาติน แขนสั้นขาสั้น ใบตอง เทาม่วง พื้นเขียว 2XL (กปก)</v>
          </cell>
          <cell r="E8138">
            <v>0</v>
          </cell>
          <cell r="F8138">
            <v>790</v>
          </cell>
        </row>
        <row r="8139">
          <cell r="A8139" t="str">
            <v>SN1178-L</v>
          </cell>
          <cell r="B8139" t="str">
            <v>N1178</v>
          </cell>
          <cell r="C8139" t="str">
            <v>ซาติน แขนสั้นขาสั้น ใบตอง เทาม่วง พื้นเขียว L (กปก)</v>
          </cell>
          <cell r="E8139">
            <v>0</v>
          </cell>
          <cell r="F8139">
            <v>790</v>
          </cell>
        </row>
        <row r="8140">
          <cell r="A8140" t="str">
            <v>SN1178-M</v>
          </cell>
          <cell r="B8140" t="str">
            <v>N1178</v>
          </cell>
          <cell r="C8140" t="str">
            <v>ซาติน แขนสั้นขาสั้น ใบตอง เทาม่วง พื้นเขียว M (กปก)</v>
          </cell>
          <cell r="E8140">
            <v>0</v>
          </cell>
          <cell r="F8140">
            <v>790</v>
          </cell>
        </row>
        <row r="8141">
          <cell r="A8141" t="str">
            <v>SN1178-XL</v>
          </cell>
          <cell r="B8141" t="str">
            <v>N1178</v>
          </cell>
          <cell r="C8141" t="str">
            <v>ซาติน แขนสั้นขาสั้น ใบตอง เทาม่วง พื้นเขียว XL (กปก)</v>
          </cell>
          <cell r="E8141">
            <v>0</v>
          </cell>
          <cell r="F8141">
            <v>790</v>
          </cell>
        </row>
        <row r="8142">
          <cell r="A8142" t="str">
            <v>SN1182-2XL</v>
          </cell>
          <cell r="B8142" t="str">
            <v>QN1182</v>
          </cell>
          <cell r="C8142" t="str">
            <v>ซาติน แขนสั้นขาสั้น หมีฟ้า พื้นฟ้า 2XL QC</v>
          </cell>
          <cell r="E8142">
            <v>0</v>
          </cell>
          <cell r="F8142">
            <v>790</v>
          </cell>
        </row>
        <row r="8143">
          <cell r="A8143" t="str">
            <v>SN1182-3XL</v>
          </cell>
          <cell r="B8143" t="str">
            <v>N1182</v>
          </cell>
          <cell r="C8143" t="str">
            <v>ซาติน แขนสั้นขาสั้น หมีฟ้า พื้นฟ้า 3XL</v>
          </cell>
          <cell r="E8143">
            <v>0</v>
          </cell>
          <cell r="F8143">
            <v>790</v>
          </cell>
        </row>
        <row r="8144">
          <cell r="A8144" t="str">
            <v>SN1182-L</v>
          </cell>
          <cell r="B8144" t="str">
            <v>N1182</v>
          </cell>
          <cell r="C8144" t="str">
            <v>ซาติน แขนสั้นขาสั้น หมีฟ้า พื้นฟ้า L</v>
          </cell>
          <cell r="E8144">
            <v>0</v>
          </cell>
          <cell r="F8144">
            <v>790</v>
          </cell>
        </row>
        <row r="8145">
          <cell r="A8145" t="str">
            <v>SN1182-M</v>
          </cell>
          <cell r="B8145" t="str">
            <v>QN1182</v>
          </cell>
          <cell r="C8145" t="str">
            <v>ซาติน แขนสั้นขาสั้น หมีฟ้า พื้นฟ้า M QC</v>
          </cell>
          <cell r="E8145">
            <v>0</v>
          </cell>
          <cell r="F8145">
            <v>790</v>
          </cell>
        </row>
        <row r="8146">
          <cell r="A8146" t="str">
            <v>SN1182-XL</v>
          </cell>
          <cell r="B8146" t="str">
            <v>N1182</v>
          </cell>
          <cell r="C8146" t="str">
            <v>ซาติน แขนสั้นขาสั้น หมีฟ้า พื้นฟ้า XL</v>
          </cell>
          <cell r="E8146">
            <v>0</v>
          </cell>
          <cell r="F8146">
            <v>790</v>
          </cell>
        </row>
        <row r="8147">
          <cell r="A8147" t="str">
            <v>SN1183-2XL</v>
          </cell>
          <cell r="B8147" t="str">
            <v>N1183</v>
          </cell>
          <cell r="C8147" t="str">
            <v>ซาติน แขนสั้นขาสั้น กระต่ายชมพู ปกเขียว 2XL</v>
          </cell>
          <cell r="E8147">
            <v>0</v>
          </cell>
          <cell r="F8147">
            <v>790</v>
          </cell>
        </row>
        <row r="8148">
          <cell r="A8148" t="str">
            <v>SN1183-3XL</v>
          </cell>
          <cell r="B8148" t="str">
            <v>N1183</v>
          </cell>
          <cell r="C8148" t="str">
            <v>[AG]  ซาติน แขนสั้นขาสั้น กระต่ายชมพู ปกเขียว 3XL</v>
          </cell>
          <cell r="E8148">
            <v>0</v>
          </cell>
          <cell r="F8148">
            <v>790</v>
          </cell>
        </row>
        <row r="8149">
          <cell r="A8149" t="str">
            <v>SN1183-L</v>
          </cell>
          <cell r="B8149" t="str">
            <v>N1183</v>
          </cell>
          <cell r="C8149" t="str">
            <v>[AG]  ซาติน แขนสั้นขาสั้น กระต่ายชมพู ปกเขียว L</v>
          </cell>
          <cell r="E8149">
            <v>0</v>
          </cell>
          <cell r="F8149">
            <v>790</v>
          </cell>
        </row>
        <row r="8150">
          <cell r="A8150" t="str">
            <v>SN1183-M</v>
          </cell>
          <cell r="B8150" t="str">
            <v>N1183</v>
          </cell>
          <cell r="C8150" t="str">
            <v>ซาติน แขนสั้นขาสั้น กระต่ายชมพู ปกเขียว M</v>
          </cell>
          <cell r="E8150">
            <v>0</v>
          </cell>
          <cell r="F8150">
            <v>790</v>
          </cell>
        </row>
        <row r="8151">
          <cell r="A8151" t="str">
            <v>SN1183-XL</v>
          </cell>
          <cell r="B8151" t="str">
            <v>N1183</v>
          </cell>
          <cell r="C8151" t="str">
            <v>[AG]  ซาติน แขนสั้นขาสั้น กระต่ายชมพู ปกเขียว XL</v>
          </cell>
          <cell r="E8151">
            <v>0</v>
          </cell>
          <cell r="F8151">
            <v>790</v>
          </cell>
        </row>
        <row r="8152">
          <cell r="A8152" t="str">
            <v>SN1184-2XL</v>
          </cell>
          <cell r="B8152" t="str">
            <v>N1184</v>
          </cell>
          <cell r="C8152" t="str">
            <v>ซาติน แขนสั้นขาสั้น ม้าลาย ปกชมพู 2XL</v>
          </cell>
          <cell r="E8152">
            <v>0</v>
          </cell>
          <cell r="F8152">
            <v>890</v>
          </cell>
        </row>
        <row r="8153">
          <cell r="A8153" t="str">
            <v>SN1184-3XL</v>
          </cell>
          <cell r="B8153" t="str">
            <v>N1184</v>
          </cell>
          <cell r="C8153" t="str">
            <v>[AA]  ซาติน แขนสั้นขาสั้น ม้าลาย ปกชมพู 3XL</v>
          </cell>
          <cell r="E8153">
            <v>0</v>
          </cell>
          <cell r="F8153">
            <v>890</v>
          </cell>
        </row>
        <row r="8154">
          <cell r="A8154" t="str">
            <v>SN1184-L</v>
          </cell>
          <cell r="B8154" t="str">
            <v>N1184</v>
          </cell>
          <cell r="C8154" t="str">
            <v>ซาติน แขนสั้นขาสั้น ม้าลาย ปกชมพู L</v>
          </cell>
          <cell r="E8154">
            <v>0</v>
          </cell>
          <cell r="F8154">
            <v>890</v>
          </cell>
        </row>
        <row r="8155">
          <cell r="A8155" t="str">
            <v>SN1184-M</v>
          </cell>
          <cell r="B8155" t="str">
            <v>N1184</v>
          </cell>
          <cell r="C8155" t="str">
            <v>ซาติน แขนสั้นขาสั้น ม้าลาย ปกชมพู M</v>
          </cell>
          <cell r="E8155">
            <v>0</v>
          </cell>
          <cell r="F8155">
            <v>890</v>
          </cell>
        </row>
        <row r="8156">
          <cell r="A8156" t="str">
            <v>SN1184-XL</v>
          </cell>
          <cell r="B8156" t="str">
            <v>N1184</v>
          </cell>
          <cell r="C8156" t="str">
            <v>ซาติน แขนสั้นขาสั้น ม้าลาย ปกชมพู XL</v>
          </cell>
          <cell r="E8156">
            <v>0</v>
          </cell>
          <cell r="F8156">
            <v>890</v>
          </cell>
        </row>
        <row r="8157">
          <cell r="A8157" t="str">
            <v>SN1188-2XL</v>
          </cell>
          <cell r="B8157" t="str">
            <v>N1188</v>
          </cell>
          <cell r="C8157" t="str">
            <v>ซาติน แขนสั้นขาสั้น Aquata Mermaid 2XL</v>
          </cell>
          <cell r="E8157">
            <v>0</v>
          </cell>
          <cell r="F8157">
            <v>790</v>
          </cell>
        </row>
        <row r="8158">
          <cell r="A8158" t="str">
            <v>SN1188-3XL</v>
          </cell>
          <cell r="B8158" t="str">
            <v>N1188</v>
          </cell>
          <cell r="C8158" t="str">
            <v>ซาติน แขนสั้นขาสั้น Aquata Mermaid 3XL</v>
          </cell>
          <cell r="E8158">
            <v>0</v>
          </cell>
          <cell r="F8158">
            <v>790</v>
          </cell>
        </row>
        <row r="8159">
          <cell r="A8159" t="str">
            <v>SN1188-L</v>
          </cell>
          <cell r="B8159" t="str">
            <v>QN1188</v>
          </cell>
          <cell r="C8159" t="str">
            <v>ซาติน แขนสั้นขาสั้น Aquata Mermaid L QC</v>
          </cell>
          <cell r="E8159">
            <v>0</v>
          </cell>
          <cell r="F8159">
            <v>790</v>
          </cell>
        </row>
        <row r="8160">
          <cell r="A8160" t="str">
            <v>SN1188-M</v>
          </cell>
          <cell r="B8160" t="str">
            <v>QN1188</v>
          </cell>
          <cell r="C8160" t="str">
            <v>ซาติน แขนสั้นขาสั้น Aquata Mermaid M QC</v>
          </cell>
          <cell r="E8160">
            <v>0</v>
          </cell>
          <cell r="F8160">
            <v>790</v>
          </cell>
        </row>
        <row r="8161">
          <cell r="A8161" t="str">
            <v>SN1188-XL</v>
          </cell>
          <cell r="B8161" t="str">
            <v>QN1188</v>
          </cell>
          <cell r="C8161" t="str">
            <v>ซาติน แขนสั้นขาสั้น Aquata Mermaid XL QC</v>
          </cell>
          <cell r="E8161">
            <v>0</v>
          </cell>
          <cell r="F8161">
            <v>790</v>
          </cell>
        </row>
        <row r="8162">
          <cell r="A8162" t="str">
            <v>SN1190-2XL</v>
          </cell>
          <cell r="B8162" t="str">
            <v>N1190</v>
          </cell>
          <cell r="C8162" t="str">
            <v>ซาติน แขนสั้นขาสั้น two tone white blue (กปก) 2XL</v>
          </cell>
          <cell r="E8162">
            <v>0</v>
          </cell>
          <cell r="F8162">
            <v>790</v>
          </cell>
        </row>
        <row r="8163">
          <cell r="A8163" t="str">
            <v>SN1190-3XL</v>
          </cell>
          <cell r="B8163" t="str">
            <v>N1190</v>
          </cell>
          <cell r="C8163" t="str">
            <v>ซาติน แขนสั้นขาสั้น two tone white blue (กปก) 3XL</v>
          </cell>
          <cell r="E8163">
            <v>0</v>
          </cell>
          <cell r="F8163">
            <v>790</v>
          </cell>
        </row>
        <row r="8164">
          <cell r="A8164" t="str">
            <v>SN1190-L</v>
          </cell>
          <cell r="B8164" t="str">
            <v>N1190</v>
          </cell>
          <cell r="C8164" t="str">
            <v>ซาติน แขนสั้นขาสั้น two tone white blue (กปก) L</v>
          </cell>
          <cell r="E8164">
            <v>0</v>
          </cell>
          <cell r="F8164">
            <v>790</v>
          </cell>
        </row>
        <row r="8165">
          <cell r="A8165" t="str">
            <v>SN1190-M</v>
          </cell>
          <cell r="B8165" t="str">
            <v>N1190</v>
          </cell>
          <cell r="C8165" t="str">
            <v>ซาติน แขนสั้นขาสั้น two tone white blue (กปก) M</v>
          </cell>
          <cell r="E8165">
            <v>0</v>
          </cell>
          <cell r="F8165">
            <v>790</v>
          </cell>
        </row>
        <row r="8166">
          <cell r="A8166" t="str">
            <v>SN1190-XL</v>
          </cell>
          <cell r="B8166" t="str">
            <v>N1190</v>
          </cell>
          <cell r="C8166" t="str">
            <v>ซาติน แขนสั้นขาสั้น two tone white blue (กปก) XL</v>
          </cell>
          <cell r="E8166">
            <v>0</v>
          </cell>
          <cell r="F8166">
            <v>790</v>
          </cell>
        </row>
        <row r="8167">
          <cell r="A8167" t="str">
            <v>SN1191-2XL</v>
          </cell>
          <cell r="B8167" t="str">
            <v>N1191</v>
          </cell>
          <cell r="C8167" t="str">
            <v>ซาติน แขนสั้นขาสั้น two tone white brown (กปก) 2XL</v>
          </cell>
          <cell r="E8167">
            <v>1</v>
          </cell>
          <cell r="F8167">
            <v>790</v>
          </cell>
        </row>
        <row r="8168">
          <cell r="A8168" t="str">
            <v>SN1191-3XL</v>
          </cell>
          <cell r="B8168" t="str">
            <v>N1191</v>
          </cell>
          <cell r="C8168" t="str">
            <v>ซาติน แขนสั้นขาสั้น two tone white brown (กปก) 3XL</v>
          </cell>
          <cell r="E8168">
            <v>0</v>
          </cell>
          <cell r="F8168">
            <v>790</v>
          </cell>
        </row>
        <row r="8169">
          <cell r="A8169" t="str">
            <v>SN1191-L</v>
          </cell>
          <cell r="B8169" t="str">
            <v>N1191</v>
          </cell>
          <cell r="C8169" t="str">
            <v>ซาติน แขนสั้นขาสั้น two tone white brown (กปก) L</v>
          </cell>
          <cell r="E8169">
            <v>0</v>
          </cell>
          <cell r="F8169">
            <v>790</v>
          </cell>
        </row>
        <row r="8170">
          <cell r="A8170" t="str">
            <v>SN1191-M</v>
          </cell>
          <cell r="B8170" t="str">
            <v>N1191</v>
          </cell>
          <cell r="C8170" t="str">
            <v>ซาติน แขนสั้นขาสั้น two tone white brown (กปก) M</v>
          </cell>
          <cell r="E8170">
            <v>0</v>
          </cell>
          <cell r="F8170">
            <v>790</v>
          </cell>
        </row>
        <row r="8171">
          <cell r="A8171" t="str">
            <v>SN1191-XL</v>
          </cell>
          <cell r="B8171" t="str">
            <v>N1191</v>
          </cell>
          <cell r="C8171" t="str">
            <v>ซาติน แขนสั้นขาสั้น two tone white brown (กปก) XL</v>
          </cell>
          <cell r="E8171">
            <v>0</v>
          </cell>
          <cell r="F8171">
            <v>790</v>
          </cell>
        </row>
        <row r="8172">
          <cell r="A8172" t="str">
            <v>SN1192-2XL</v>
          </cell>
          <cell r="B8172" t="str">
            <v>QN1192</v>
          </cell>
          <cell r="C8172" t="str">
            <v>ซาติน แขนสั้นขาสั้น two tone white gold (กปก) 2XL QC</v>
          </cell>
          <cell r="E8172">
            <v>0</v>
          </cell>
          <cell r="F8172">
            <v>790</v>
          </cell>
        </row>
        <row r="8173">
          <cell r="A8173" t="str">
            <v>SN1192-3XL</v>
          </cell>
          <cell r="B8173" t="str">
            <v>N1192</v>
          </cell>
          <cell r="C8173" t="str">
            <v>ซาติน แขนสั้นขาสั้น two tone white gold (กปก) 3XL</v>
          </cell>
          <cell r="E8173">
            <v>0</v>
          </cell>
          <cell r="F8173">
            <v>790</v>
          </cell>
        </row>
        <row r="8174">
          <cell r="A8174" t="str">
            <v>SN1192-L</v>
          </cell>
          <cell r="B8174" t="str">
            <v>QN1192</v>
          </cell>
          <cell r="C8174" t="str">
            <v>ซาติน แขนสั้นขาสั้น two tone white gold (กปก) L QC</v>
          </cell>
          <cell r="E8174">
            <v>0</v>
          </cell>
          <cell r="F8174">
            <v>790</v>
          </cell>
        </row>
        <row r="8175">
          <cell r="A8175" t="str">
            <v>SN1192-M</v>
          </cell>
          <cell r="B8175" t="str">
            <v>N1192</v>
          </cell>
          <cell r="C8175" t="str">
            <v>ซาติน แขนสั้นขาสั้น two tone white gold (กปก) M</v>
          </cell>
          <cell r="E8175">
            <v>0</v>
          </cell>
          <cell r="F8175">
            <v>790</v>
          </cell>
        </row>
        <row r="8176">
          <cell r="A8176" t="str">
            <v>SN1192-XL</v>
          </cell>
          <cell r="B8176" t="str">
            <v>N1192</v>
          </cell>
          <cell r="C8176" t="str">
            <v>ซาติน แขนสั้นขาสั้น two tone white gold (กปก) XL</v>
          </cell>
          <cell r="E8176">
            <v>0</v>
          </cell>
          <cell r="F8176">
            <v>790</v>
          </cell>
        </row>
        <row r="8177">
          <cell r="A8177" t="str">
            <v>SN1193-2XL</v>
          </cell>
          <cell r="B8177" t="str">
            <v>N1193</v>
          </cell>
          <cell r="C8177" t="str">
            <v>ซาติน แขนสั้นขาสั้น ใบไม้พื้นชมพู (กปก) 2XL</v>
          </cell>
          <cell r="E8177">
            <v>0</v>
          </cell>
          <cell r="F8177">
            <v>790</v>
          </cell>
        </row>
        <row r="8178">
          <cell r="A8178" t="str">
            <v>SN1193-L</v>
          </cell>
          <cell r="B8178" t="str">
            <v>N1193</v>
          </cell>
          <cell r="C8178" t="str">
            <v>ซาติน แขนสั้นขาสั้น ใบไม้พื้นชมพู (กปก) L</v>
          </cell>
          <cell r="E8178">
            <v>0</v>
          </cell>
          <cell r="F8178">
            <v>790</v>
          </cell>
        </row>
        <row r="8179">
          <cell r="A8179" t="str">
            <v>SN1193-M</v>
          </cell>
          <cell r="B8179" t="str">
            <v>N1193</v>
          </cell>
          <cell r="C8179" t="str">
            <v>ซาติน แขนสั้นขาสั้น ใบไม้พื้นชมพู (กปก) M</v>
          </cell>
          <cell r="E8179">
            <v>0</v>
          </cell>
          <cell r="F8179">
            <v>790</v>
          </cell>
        </row>
        <row r="8180">
          <cell r="A8180" t="str">
            <v>SN1193-XL</v>
          </cell>
          <cell r="B8180" t="str">
            <v>N1193</v>
          </cell>
          <cell r="C8180" t="str">
            <v>ซาติน แขนสั้นขาสั้น ใบไม้พื้นชมพู (กปก) XL</v>
          </cell>
          <cell r="E8180">
            <v>0</v>
          </cell>
          <cell r="F8180">
            <v>790</v>
          </cell>
        </row>
        <row r="8181">
          <cell r="A8181" t="str">
            <v>SN1194-2XL</v>
          </cell>
          <cell r="B8181" t="str">
            <v>N1194</v>
          </cell>
          <cell r="C8181" t="str">
            <v>ซาติน แขนสั้นขาสั้น pink sunny time (กปก) 2XL</v>
          </cell>
          <cell r="E8181">
            <v>0</v>
          </cell>
          <cell r="F8181">
            <v>0</v>
          </cell>
        </row>
        <row r="8182">
          <cell r="A8182" t="str">
            <v>SN1194-L</v>
          </cell>
          <cell r="B8182" t="str">
            <v>N1194</v>
          </cell>
          <cell r="C8182" t="str">
            <v>ซาติน แขนสั้นขาสั้น pink sunny time (กปก) L</v>
          </cell>
          <cell r="E8182">
            <v>0</v>
          </cell>
          <cell r="F8182">
            <v>0</v>
          </cell>
        </row>
        <row r="8183">
          <cell r="A8183" t="str">
            <v>SN1194-M</v>
          </cell>
          <cell r="B8183" t="str">
            <v>N1194</v>
          </cell>
          <cell r="C8183" t="str">
            <v>ซาติน แขนสั้นขาสั้น pink sunny time (กปก) M</v>
          </cell>
          <cell r="E8183">
            <v>0</v>
          </cell>
          <cell r="F8183">
            <v>0</v>
          </cell>
        </row>
        <row r="8184">
          <cell r="A8184" t="str">
            <v>SN1194-XL</v>
          </cell>
          <cell r="B8184" t="str">
            <v>N1194</v>
          </cell>
          <cell r="C8184" t="str">
            <v>[AG]  ซาติน แขนสั้นขาสั้น pink sunny time (กปก) XL</v>
          </cell>
          <cell r="E8184">
            <v>0</v>
          </cell>
          <cell r="F8184">
            <v>790</v>
          </cell>
        </row>
        <row r="8185">
          <cell r="A8185" t="str">
            <v>SN1195-2XL</v>
          </cell>
          <cell r="B8185" t="str">
            <v>N1195</v>
          </cell>
          <cell r="C8185" t="str">
            <v>[AG]   ซาติน แขนสั้นขาสั้น กระต่ายขาว พื้นม่วง (กปก) 2XL</v>
          </cell>
          <cell r="E8185">
            <v>0</v>
          </cell>
          <cell r="F8185">
            <v>790</v>
          </cell>
        </row>
        <row r="8186">
          <cell r="A8186" t="str">
            <v>SN1195-3XL</v>
          </cell>
          <cell r="B8186" t="str">
            <v>N1195</v>
          </cell>
          <cell r="C8186" t="str">
            <v>[AG]  ซาติน แขนสั้นขาสั้น กระต่ายขาว พื้นม่วง (กปก) 3XL</v>
          </cell>
          <cell r="E8186">
            <v>0</v>
          </cell>
          <cell r="F8186">
            <v>790</v>
          </cell>
        </row>
        <row r="8187">
          <cell r="A8187" t="str">
            <v>SN1195-L</v>
          </cell>
          <cell r="B8187" t="str">
            <v>N1195</v>
          </cell>
          <cell r="C8187" t="str">
            <v>ซาติน แขนสั้นขาสั้น กระต่ายขาว พื้นม่วง (กปก) L</v>
          </cell>
          <cell r="E8187">
            <v>0</v>
          </cell>
          <cell r="F8187">
            <v>0</v>
          </cell>
        </row>
        <row r="8188">
          <cell r="A8188" t="str">
            <v>SN1195-M</v>
          </cell>
          <cell r="B8188" t="str">
            <v>N1195</v>
          </cell>
          <cell r="C8188" t="str">
            <v>ซาติน แขนสั้นขาสั้น กระต่ายขาว พื้นม่วง (กปก) M</v>
          </cell>
          <cell r="E8188">
            <v>0</v>
          </cell>
          <cell r="F8188">
            <v>0</v>
          </cell>
        </row>
        <row r="8189">
          <cell r="A8189" t="str">
            <v>SN1195-XL</v>
          </cell>
          <cell r="B8189" t="str">
            <v>N1195</v>
          </cell>
          <cell r="C8189" t="str">
            <v>[AG]  ซาติน แขนสั้นขาสั้น กระต่ายขาว พื้นม่วง (กปก) XL</v>
          </cell>
          <cell r="E8189">
            <v>0</v>
          </cell>
          <cell r="F8189">
            <v>790</v>
          </cell>
        </row>
        <row r="8190">
          <cell r="A8190" t="str">
            <v>SN1198-2XL</v>
          </cell>
          <cell r="B8190" t="str">
            <v>N1198</v>
          </cell>
          <cell r="C8190" t="str">
            <v>ซาติน แขนสั้นขาสั้น กระต่ายขาว พื้นชมพู ขอบเขียว 2XL</v>
          </cell>
          <cell r="E8190">
            <v>0</v>
          </cell>
          <cell r="F8190">
            <v>890</v>
          </cell>
        </row>
        <row r="8191">
          <cell r="A8191" t="str">
            <v>SN1198-3XL</v>
          </cell>
          <cell r="B8191" t="str">
            <v>N1198</v>
          </cell>
          <cell r="C8191" t="str">
            <v>ซาติน แขนสั้นขาสั้น กระต่ายขาว พื้นชมพู ขอบเขียว 3XL</v>
          </cell>
          <cell r="E8191">
            <v>0</v>
          </cell>
          <cell r="F8191">
            <v>890</v>
          </cell>
        </row>
        <row r="8192">
          <cell r="A8192" t="str">
            <v>SN1198-L</v>
          </cell>
          <cell r="B8192" t="str">
            <v>N1198</v>
          </cell>
          <cell r="C8192" t="str">
            <v>ซาติน แขนสั้นขาสั้น กระต่ายขาว พื้นชมพู ขอบเขียว L</v>
          </cell>
          <cell r="E8192">
            <v>0</v>
          </cell>
          <cell r="F8192">
            <v>0</v>
          </cell>
        </row>
        <row r="8193">
          <cell r="A8193" t="str">
            <v>SN1198-M</v>
          </cell>
          <cell r="B8193" t="str">
            <v>N1198</v>
          </cell>
          <cell r="C8193" t="str">
            <v>ซาติน แขนสั้นขาสั้น กระต่ายขาว พื้นชมพู ขอบเขียว M</v>
          </cell>
          <cell r="E8193">
            <v>0</v>
          </cell>
          <cell r="F8193">
            <v>0</v>
          </cell>
        </row>
        <row r="8194">
          <cell r="A8194" t="str">
            <v>SN1198-XL</v>
          </cell>
          <cell r="B8194" t="str">
            <v>N1198</v>
          </cell>
          <cell r="C8194" t="str">
            <v>ซาติน แขนสั้นขาสั้น กระต่ายขาว พื้นชมพู ขอบเขียว XL</v>
          </cell>
          <cell r="E8194">
            <v>0</v>
          </cell>
          <cell r="F8194">
            <v>890</v>
          </cell>
        </row>
        <row r="8195">
          <cell r="A8195" t="str">
            <v>SN1199-2XL</v>
          </cell>
          <cell r="B8195" t="str">
            <v>QN1199</v>
          </cell>
          <cell r="C8195" t="str">
            <v>ซาติน แขนสั้นขาสั้น กระต่ายขาว พื้นเขียวมิ้น ขอบขาว 2XL QC</v>
          </cell>
          <cell r="E8195">
            <v>0</v>
          </cell>
          <cell r="F8195">
            <v>790</v>
          </cell>
        </row>
        <row r="8196">
          <cell r="A8196" t="str">
            <v>SN1199-3XL</v>
          </cell>
          <cell r="B8196" t="str">
            <v>N1199</v>
          </cell>
          <cell r="C8196" t="str">
            <v>ซาติน แขนสั้นขาสั้น กระต่ายขาว พื้นเขียวมิ้น ขอบขาว 3XL</v>
          </cell>
          <cell r="E8196">
            <v>0</v>
          </cell>
          <cell r="F8196">
            <v>0</v>
          </cell>
        </row>
        <row r="8197">
          <cell r="A8197" t="str">
            <v>SN1199-L</v>
          </cell>
          <cell r="B8197" t="str">
            <v>QN1199</v>
          </cell>
          <cell r="C8197" t="str">
            <v>ซาติน แขนสั้นขาสั้น กระต่ายขาว พื้นเขียวมิ้น ขอบขาว L QC</v>
          </cell>
          <cell r="E8197">
            <v>0</v>
          </cell>
          <cell r="F8197">
            <v>790</v>
          </cell>
        </row>
        <row r="8198">
          <cell r="A8198" t="str">
            <v>SN1199-M</v>
          </cell>
          <cell r="B8198" t="str">
            <v>N1199</v>
          </cell>
          <cell r="C8198" t="str">
            <v>[AL]  ซาติน แขนสั้นขาสั้น กระต่ายขาว พื้นเขียวมิ้น ขอบขาว M</v>
          </cell>
          <cell r="E8198">
            <v>0</v>
          </cell>
          <cell r="F8198">
            <v>790</v>
          </cell>
        </row>
        <row r="8199">
          <cell r="A8199" t="str">
            <v>SN1199-XL</v>
          </cell>
          <cell r="B8199" t="str">
            <v>N1199</v>
          </cell>
          <cell r="C8199" t="str">
            <v>ซาติน แขนสั้นขาสั้น กระต่ายขาว พื้นเขียวมิ้น ขอบขาว XL</v>
          </cell>
          <cell r="E8199">
            <v>0</v>
          </cell>
          <cell r="F8199">
            <v>0</v>
          </cell>
        </row>
        <row r="8200">
          <cell r="A8200" t="str">
            <v>SN1200-2XL</v>
          </cell>
          <cell r="B8200" t="str">
            <v>N1200</v>
          </cell>
          <cell r="C8200" t="str">
            <v>ซาติน แขนสั้นขาสั้น น้องหมา พื้นเทา 2XL</v>
          </cell>
          <cell r="E8200">
            <v>0</v>
          </cell>
          <cell r="F8200">
            <v>790</v>
          </cell>
        </row>
        <row r="8201">
          <cell r="A8201" t="str">
            <v>SN1200-3XL</v>
          </cell>
          <cell r="B8201" t="str">
            <v>N1200</v>
          </cell>
          <cell r="C8201" t="str">
            <v>ซาติน แขนสั้นขาสั้น น้องหมา พื้นเทา 3XL</v>
          </cell>
          <cell r="E8201">
            <v>0</v>
          </cell>
          <cell r="F8201">
            <v>790</v>
          </cell>
        </row>
        <row r="8202">
          <cell r="A8202" t="str">
            <v>SN1200-L</v>
          </cell>
          <cell r="B8202" t="str">
            <v>N1200</v>
          </cell>
          <cell r="C8202" t="str">
            <v>ซาติน แขนสั้นขาสั้น น้องหมา พื้นเทา L</v>
          </cell>
          <cell r="E8202">
            <v>0</v>
          </cell>
          <cell r="F8202">
            <v>790</v>
          </cell>
        </row>
        <row r="8203">
          <cell r="A8203" t="str">
            <v>SN1200-M</v>
          </cell>
          <cell r="B8203" t="str">
            <v>N1200</v>
          </cell>
          <cell r="C8203" t="str">
            <v>[AL]  ซาติน แขนสั้นขาสั้น น้องหมา พื้นเทา M</v>
          </cell>
          <cell r="E8203">
            <v>0</v>
          </cell>
          <cell r="F8203">
            <v>790</v>
          </cell>
        </row>
        <row r="8204">
          <cell r="A8204" t="str">
            <v>SN1200-XL</v>
          </cell>
          <cell r="B8204" t="str">
            <v>N1200</v>
          </cell>
          <cell r="C8204" t="str">
            <v>ซาติน แขนสั้นขาสั้น น้องหมา พื้นเทา XL</v>
          </cell>
          <cell r="E8204">
            <v>0</v>
          </cell>
          <cell r="F8204">
            <v>790</v>
          </cell>
        </row>
        <row r="8205">
          <cell r="A8205" t="str">
            <v>SN1201-2XL</v>
          </cell>
          <cell r="B8205" t="str">
            <v>N1201</v>
          </cell>
          <cell r="C8205" t="str">
            <v>[AA]  ซาติน แขนสั้นขาสั้น Christmas Buddy 2XL (กปก)</v>
          </cell>
          <cell r="E8205">
            <v>0</v>
          </cell>
          <cell r="F8205">
            <v>790</v>
          </cell>
        </row>
        <row r="8206">
          <cell r="A8206" t="str">
            <v>SN1201-3XL</v>
          </cell>
          <cell r="B8206" t="str">
            <v>QN1201</v>
          </cell>
          <cell r="C8206" t="str">
            <v>[AA]   ซาติน แขนสั้นขาสั้น Christmas Buddy 3XL (กปก) QC</v>
          </cell>
          <cell r="E8206">
            <v>0</v>
          </cell>
          <cell r="F8206">
            <v>790</v>
          </cell>
        </row>
        <row r="8207">
          <cell r="A8207" t="str">
            <v>SN1201-L</v>
          </cell>
          <cell r="B8207" t="str">
            <v>QN1201</v>
          </cell>
          <cell r="C8207" t="str">
            <v>[AA]   ซาติน แขนสั้นขาสั้น Christmas Buddy L (กปก) QC</v>
          </cell>
          <cell r="E8207">
            <v>0</v>
          </cell>
          <cell r="F8207">
            <v>790</v>
          </cell>
        </row>
        <row r="8208">
          <cell r="A8208" t="str">
            <v>SN1201-M</v>
          </cell>
          <cell r="B8208" t="str">
            <v>N1201</v>
          </cell>
          <cell r="C8208" t="str">
            <v>[AA]     ซาติน แขนสั้นขาสั้น Christmas Buddy M (กปก)</v>
          </cell>
          <cell r="E8208">
            <v>0</v>
          </cell>
          <cell r="F8208">
            <v>790</v>
          </cell>
        </row>
        <row r="8209">
          <cell r="A8209" t="str">
            <v>SN1201-XL</v>
          </cell>
          <cell r="B8209" t="str">
            <v>N1201</v>
          </cell>
          <cell r="C8209" t="str">
            <v>[AA]   ซาติน แขนสั้นขาสั้น Christmas Buddy XL (กปก)</v>
          </cell>
          <cell r="E8209">
            <v>0</v>
          </cell>
          <cell r="F8209">
            <v>790</v>
          </cell>
        </row>
        <row r="8210">
          <cell r="A8210" t="str">
            <v>SN1202-2XL</v>
          </cell>
          <cell r="B8210" t="str">
            <v>N1202</v>
          </cell>
          <cell r="C8210" t="str">
            <v>ซาติน แขนสั้นขาสั้น สวนสัตว์หลากสี 2XL (กปก)</v>
          </cell>
          <cell r="E8210">
            <v>0</v>
          </cell>
          <cell r="F8210">
            <v>790</v>
          </cell>
        </row>
        <row r="8211">
          <cell r="A8211" t="str">
            <v>SN1202-3XL</v>
          </cell>
          <cell r="B8211" t="str">
            <v>N1202</v>
          </cell>
          <cell r="C8211" t="str">
            <v>ซาติน แขนสั้นขาสั้น สวนสัตว์หลากสี 3XL (กปก)</v>
          </cell>
          <cell r="E8211">
            <v>0</v>
          </cell>
          <cell r="F8211">
            <v>790</v>
          </cell>
        </row>
        <row r="8212">
          <cell r="A8212" t="str">
            <v>SN1202-L</v>
          </cell>
          <cell r="B8212" t="str">
            <v>N1202</v>
          </cell>
          <cell r="C8212" t="str">
            <v>ซาติน แขนสั้นขาสั้น สวนสัตว์หลากสี L (กปก)</v>
          </cell>
          <cell r="E8212">
            <v>0</v>
          </cell>
          <cell r="F8212">
            <v>790</v>
          </cell>
        </row>
        <row r="8213">
          <cell r="A8213" t="str">
            <v>SN1202-M</v>
          </cell>
          <cell r="B8213" t="str">
            <v>N1202</v>
          </cell>
          <cell r="C8213" t="str">
            <v>ซาติน แขนสั้นขาสั้น สวนสัตว์หลากสี M (กปก)</v>
          </cell>
          <cell r="E8213">
            <v>0</v>
          </cell>
          <cell r="F8213">
            <v>790</v>
          </cell>
        </row>
        <row r="8214">
          <cell r="A8214" t="str">
            <v>SN1202-XL</v>
          </cell>
          <cell r="B8214" t="str">
            <v>N1202</v>
          </cell>
          <cell r="C8214" t="str">
            <v>ซาติน แขนสั้นขาสั้น สวนสัตว์หลากสี XL (กปก)</v>
          </cell>
          <cell r="E8214">
            <v>0</v>
          </cell>
          <cell r="F8214">
            <v>790</v>
          </cell>
        </row>
        <row r="8215">
          <cell r="A8215" t="str">
            <v>SN1203-2XL</v>
          </cell>
          <cell r="B8215" t="str">
            <v>N1203</v>
          </cell>
          <cell r="C8215" t="str">
            <v>[AE]  ซาติน แขนสั้นขาสั้น หมาผลไม้ พื้นชมพู 2XL (กปก)</v>
          </cell>
          <cell r="E8215">
            <v>0</v>
          </cell>
          <cell r="F8215">
            <v>790</v>
          </cell>
        </row>
        <row r="8216">
          <cell r="A8216" t="str">
            <v>SN1203-3XL</v>
          </cell>
          <cell r="B8216" t="str">
            <v>N1203</v>
          </cell>
          <cell r="C8216" t="str">
            <v>ซาติน แขนสั้นขาสั้น หมาผลไม้ พื้นชมพู 3XL (กปก)</v>
          </cell>
          <cell r="E8216">
            <v>0</v>
          </cell>
          <cell r="F8216">
            <v>790</v>
          </cell>
        </row>
        <row r="8217">
          <cell r="A8217" t="str">
            <v>SN1203-L</v>
          </cell>
          <cell r="B8217" t="str">
            <v>N1203</v>
          </cell>
          <cell r="C8217" t="str">
            <v>[AE]  ซาติน แขนสั้นขาสั้น หมาผลไม้ พื้นชมพู L (กปก)</v>
          </cell>
          <cell r="E8217">
            <v>0</v>
          </cell>
          <cell r="F8217">
            <v>790</v>
          </cell>
        </row>
        <row r="8218">
          <cell r="A8218" t="str">
            <v>SN1203-M</v>
          </cell>
          <cell r="B8218" t="str">
            <v>N1203</v>
          </cell>
          <cell r="C8218" t="str">
            <v>[AE]  ซาติน แขนสั้นขาสั้น หมาผลไม้ พื้นชมพู M (กปก)</v>
          </cell>
          <cell r="E8218">
            <v>0</v>
          </cell>
          <cell r="F8218">
            <v>790</v>
          </cell>
        </row>
        <row r="8219">
          <cell r="A8219" t="str">
            <v>SN1203-XL</v>
          </cell>
          <cell r="B8219" t="str">
            <v>N1203</v>
          </cell>
          <cell r="C8219" t="str">
            <v>[AE]  ซาติน แขนสั้นขาสั้น หมาผลไม้ พื้นชมพู XL (กปก)</v>
          </cell>
          <cell r="E8219">
            <v>0</v>
          </cell>
          <cell r="F8219">
            <v>790</v>
          </cell>
        </row>
        <row r="8220">
          <cell r="A8220" t="str">
            <v>SN1204-2XL</v>
          </cell>
          <cell r="B8220" t="str">
            <v>N1204</v>
          </cell>
          <cell r="C8220" t="str">
            <v>[AF]  ซาติน แขนสั้นขาสั้น หัวใจเล็ก พื้นครีม 2XL (กปก)</v>
          </cell>
          <cell r="E8220">
            <v>0</v>
          </cell>
          <cell r="F8220">
            <v>790</v>
          </cell>
        </row>
        <row r="8221">
          <cell r="A8221" t="str">
            <v>SN1204-3XL</v>
          </cell>
          <cell r="B8221" t="str">
            <v>N1204</v>
          </cell>
          <cell r="C8221" t="str">
            <v>[AF]  ซาติน แขนสั้นขาสั้น หัวใจเล็ก พื้นครีม 3XL (กปก)</v>
          </cell>
          <cell r="E8221">
            <v>0</v>
          </cell>
          <cell r="F8221">
            <v>790</v>
          </cell>
        </row>
        <row r="8222">
          <cell r="A8222" t="str">
            <v>SN1204-L</v>
          </cell>
          <cell r="B8222" t="str">
            <v>N1204</v>
          </cell>
          <cell r="C8222" t="str">
            <v>[AF]  ซาติน แขนสั้นขาสั้น หัวใจเล็ก พื้นครีม L (กปก)</v>
          </cell>
          <cell r="E8222">
            <v>0</v>
          </cell>
          <cell r="F8222">
            <v>790</v>
          </cell>
        </row>
        <row r="8223">
          <cell r="A8223" t="str">
            <v>SN1204-M</v>
          </cell>
          <cell r="B8223" t="str">
            <v>QN1204</v>
          </cell>
          <cell r="C8223" t="str">
            <v>[AF]  ซาติน แขนสั้นขาสั้น หัวใจเล็ก พื้นครีม M (กปก) QC</v>
          </cell>
          <cell r="E8223">
            <v>0</v>
          </cell>
          <cell r="F8223">
            <v>790</v>
          </cell>
        </row>
        <row r="8224">
          <cell r="A8224" t="str">
            <v>SN1204-XL</v>
          </cell>
          <cell r="B8224" t="str">
            <v>N1204</v>
          </cell>
          <cell r="C8224" t="str">
            <v>[AF]  ซาติน แขนสั้นขาสั้น หัวใจเล็ก พื้นครีม XL (กปก)</v>
          </cell>
          <cell r="E8224">
            <v>0</v>
          </cell>
          <cell r="F8224">
            <v>790</v>
          </cell>
        </row>
        <row r="8225">
          <cell r="A8225" t="str">
            <v>SN1205-2XL</v>
          </cell>
          <cell r="B8225" t="str">
            <v>N1205</v>
          </cell>
          <cell r="C8225" t="str">
            <v>[AF]   ซาติน แขนสั้นขาสั้น หัวใจเล็ก พื้นม่วง 2XL (กปก)</v>
          </cell>
          <cell r="E8225">
            <v>0</v>
          </cell>
          <cell r="F8225">
            <v>790</v>
          </cell>
        </row>
        <row r="8226">
          <cell r="A8226" t="str">
            <v>SN1205-3XL</v>
          </cell>
          <cell r="B8226" t="str">
            <v>N1205</v>
          </cell>
          <cell r="C8226" t="str">
            <v>[AF]   ซาติน แขนสั้นขาสั้น หัวใจเล็ก พื้นม่วง 3XL (กปก)</v>
          </cell>
          <cell r="E8226">
            <v>0</v>
          </cell>
          <cell r="F8226">
            <v>790</v>
          </cell>
        </row>
        <row r="8227">
          <cell r="A8227" t="str">
            <v>SN1205-L</v>
          </cell>
          <cell r="B8227" t="str">
            <v>N1205</v>
          </cell>
          <cell r="C8227" t="str">
            <v>[AF]   ซาติน แขนสั้นขาสั้น หัวใจเล็ก พื้นม่วง L (กปก)</v>
          </cell>
          <cell r="E8227">
            <v>0</v>
          </cell>
          <cell r="F8227">
            <v>790</v>
          </cell>
        </row>
        <row r="8228">
          <cell r="A8228" t="str">
            <v>SN1205-M</v>
          </cell>
          <cell r="B8228" t="str">
            <v>N1205</v>
          </cell>
          <cell r="C8228" t="str">
            <v>ซาติน แขนสั้นขาสั้น หัวใจเล็ก พื้นม่วง M (กปก)</v>
          </cell>
          <cell r="E8228">
            <v>0</v>
          </cell>
          <cell r="F8228">
            <v>790</v>
          </cell>
        </row>
        <row r="8229">
          <cell r="A8229" t="str">
            <v>SN1205-XL</v>
          </cell>
          <cell r="B8229" t="str">
            <v>N1205</v>
          </cell>
          <cell r="C8229" t="str">
            <v>[AF]   ซาติน แขนสั้นขาสั้น หัวใจเล็ก พื้นม่วง XL (กปก)</v>
          </cell>
          <cell r="E8229">
            <v>0</v>
          </cell>
          <cell r="F8229">
            <v>790</v>
          </cell>
        </row>
        <row r="8230">
          <cell r="A8230" t="str">
            <v>SN1206-2XL</v>
          </cell>
          <cell r="B8230" t="str">
            <v>QN1206</v>
          </cell>
          <cell r="C8230" t="str">
            <v>ซาติน แขนสั้นขาสั้น Charcoal timber 2XL QC</v>
          </cell>
          <cell r="E8230">
            <v>0</v>
          </cell>
          <cell r="F8230">
            <v>790</v>
          </cell>
        </row>
        <row r="8231">
          <cell r="A8231" t="str">
            <v>SN1206-3XL</v>
          </cell>
          <cell r="B8231" t="str">
            <v>N1206</v>
          </cell>
          <cell r="C8231" t="str">
            <v>[AB]   ซาติน แขนสั้นขาสั้น Forest Brom 3XL</v>
          </cell>
          <cell r="E8231">
            <v>0</v>
          </cell>
          <cell r="F8231">
            <v>790</v>
          </cell>
        </row>
        <row r="8232">
          <cell r="A8232" t="str">
            <v>SN1206-L</v>
          </cell>
          <cell r="B8232" t="str">
            <v>N1206</v>
          </cell>
          <cell r="C8232" t="str">
            <v>ซาติน แขนสั้นขาสั้น Charcoal timber L</v>
          </cell>
          <cell r="E8232">
            <v>0</v>
          </cell>
          <cell r="F8232">
            <v>790</v>
          </cell>
        </row>
        <row r="8233">
          <cell r="A8233" t="str">
            <v>SN1206-M</v>
          </cell>
          <cell r="B8233" t="str">
            <v>N1206</v>
          </cell>
          <cell r="C8233" t="str">
            <v>ซาติน แขนสั้นขาสั้น Charcoal timber M</v>
          </cell>
          <cell r="E8233">
            <v>0</v>
          </cell>
          <cell r="F8233">
            <v>790</v>
          </cell>
        </row>
        <row r="8234">
          <cell r="A8234" t="str">
            <v>SN1206-XL</v>
          </cell>
          <cell r="B8234" t="str">
            <v>N1206</v>
          </cell>
          <cell r="C8234" t="str">
            <v>ซาติน แขนสั้นขาสั้น Charcoal timber XL</v>
          </cell>
          <cell r="E8234">
            <v>0</v>
          </cell>
          <cell r="F8234">
            <v>790</v>
          </cell>
        </row>
        <row r="8235">
          <cell r="A8235" t="str">
            <v>SN1209-2XL</v>
          </cell>
          <cell r="B8235" t="str">
            <v>N1209</v>
          </cell>
          <cell r="C8235" t="str">
            <v>[AC]   ซาติน แขนสั้นขาสั้น Isla Floral 2XL</v>
          </cell>
          <cell r="E8235">
            <v>0</v>
          </cell>
          <cell r="F8235">
            <v>790</v>
          </cell>
        </row>
        <row r="8236">
          <cell r="A8236" t="str">
            <v>SN1209-3XL</v>
          </cell>
          <cell r="B8236" t="str">
            <v>N1209</v>
          </cell>
          <cell r="C8236" t="str">
            <v>[AB]  ซาติน แขนสั้นขาสั้น Isla Floral 3XL</v>
          </cell>
          <cell r="E8236">
            <v>0</v>
          </cell>
          <cell r="F8236">
            <v>790</v>
          </cell>
        </row>
        <row r="8237">
          <cell r="A8237" t="str">
            <v>SN1209-L</v>
          </cell>
          <cell r="B8237" t="str">
            <v>QN1209</v>
          </cell>
          <cell r="C8237" t="str">
            <v>ซาติน แขนสั้นขาสั้น Isla Floral L QC</v>
          </cell>
          <cell r="E8237">
            <v>0</v>
          </cell>
          <cell r="F8237">
            <v>790</v>
          </cell>
        </row>
        <row r="8238">
          <cell r="A8238" t="str">
            <v>SN1209-M</v>
          </cell>
          <cell r="B8238" t="str">
            <v>QN1209</v>
          </cell>
          <cell r="C8238" t="str">
            <v>ซาติน แขนสั้นขาสั้น Isla Floral M QC</v>
          </cell>
          <cell r="E8238">
            <v>0</v>
          </cell>
          <cell r="F8238">
            <v>790</v>
          </cell>
        </row>
        <row r="8239">
          <cell r="A8239" t="str">
            <v>SN1209-XL</v>
          </cell>
          <cell r="B8239" t="str">
            <v>N1209</v>
          </cell>
          <cell r="C8239" t="str">
            <v>ซาติน แขนสั้นขาสั้น Isla Floral XL</v>
          </cell>
          <cell r="E8239">
            <v>0</v>
          </cell>
          <cell r="F8239">
            <v>790</v>
          </cell>
        </row>
        <row r="8240">
          <cell r="A8240" t="str">
            <v>SN1210-2XL</v>
          </cell>
          <cell r="B8240" t="str">
            <v>N1210</v>
          </cell>
          <cell r="C8240" t="str">
            <v>ซาติน แขนสั้นขาสั้น Blue Heart 2XL (กปก)</v>
          </cell>
          <cell r="E8240">
            <v>1</v>
          </cell>
          <cell r="F8240">
            <v>790</v>
          </cell>
        </row>
        <row r="8241">
          <cell r="A8241" t="str">
            <v>SN1210-L</v>
          </cell>
          <cell r="B8241" t="str">
            <v>N1210</v>
          </cell>
          <cell r="C8241" t="str">
            <v>ซาติน แขนสั้นขาสั้น Blue Heart L (กปก)</v>
          </cell>
          <cell r="E8241">
            <v>0</v>
          </cell>
          <cell r="F8241">
            <v>790</v>
          </cell>
        </row>
        <row r="8242">
          <cell r="A8242" t="str">
            <v>SN1210-M</v>
          </cell>
          <cell r="B8242" t="str">
            <v>N1210</v>
          </cell>
          <cell r="C8242" t="str">
            <v>ซาติน แขนสั้นขาสั้น Blue Heart M (กปก)</v>
          </cell>
          <cell r="E8242">
            <v>0</v>
          </cell>
          <cell r="F8242">
            <v>790</v>
          </cell>
        </row>
        <row r="8243">
          <cell r="A8243" t="str">
            <v>SN1210-XL</v>
          </cell>
          <cell r="B8243" t="str">
            <v>N1210</v>
          </cell>
          <cell r="C8243" t="str">
            <v>ซาติน แขนสั้นขาสั้น Blue Heart XL (กปก)</v>
          </cell>
          <cell r="E8243">
            <v>0</v>
          </cell>
          <cell r="F8243">
            <v>790</v>
          </cell>
        </row>
        <row r="8244">
          <cell r="A8244" t="str">
            <v>SN1211-2XL</v>
          </cell>
          <cell r="B8244" t="str">
            <v>N1211</v>
          </cell>
          <cell r="C8244" t="str">
            <v>ซาติน แขนสั้นขาสั้น Violet Heart 2XL (กปก)</v>
          </cell>
          <cell r="E8244">
            <v>0</v>
          </cell>
          <cell r="F8244">
            <v>790</v>
          </cell>
        </row>
        <row r="8245">
          <cell r="A8245" t="str">
            <v>SN1211-L</v>
          </cell>
          <cell r="B8245" t="str">
            <v>N1211</v>
          </cell>
          <cell r="C8245" t="str">
            <v>ซาติน แขนสั้นขาสั้น Violet Heart L (กปก)</v>
          </cell>
          <cell r="E8245">
            <v>0</v>
          </cell>
          <cell r="F8245">
            <v>790</v>
          </cell>
        </row>
        <row r="8246">
          <cell r="A8246" t="str">
            <v>SN1211-M</v>
          </cell>
          <cell r="B8246" t="str">
            <v>N1211</v>
          </cell>
          <cell r="C8246" t="str">
            <v>ซาติน แขนสั้นขาสั้น Violet Heart M (กปก)</v>
          </cell>
          <cell r="E8246">
            <v>0</v>
          </cell>
          <cell r="F8246">
            <v>790</v>
          </cell>
        </row>
        <row r="8247">
          <cell r="A8247" t="str">
            <v>SN1211-XL</v>
          </cell>
          <cell r="B8247" t="str">
            <v>N1211</v>
          </cell>
          <cell r="C8247" t="str">
            <v>ซาติน แขนสั้นขาสั้น Violet Heart XL (กปก)</v>
          </cell>
          <cell r="E8247">
            <v>0</v>
          </cell>
          <cell r="F8247">
            <v>790</v>
          </cell>
        </row>
        <row r="8248">
          <cell r="A8248" t="str">
            <v>SN1212-2XL</v>
          </cell>
          <cell r="B8248" t="str">
            <v>N1212</v>
          </cell>
          <cell r="C8248" t="str">
            <v>ซาติน แขนสั้นขาสั้น กระต่ายน้อยอุ้มไข่ ปกเหลือง 2XL</v>
          </cell>
          <cell r="E8248">
            <v>0</v>
          </cell>
          <cell r="F8248">
            <v>790</v>
          </cell>
        </row>
        <row r="8249">
          <cell r="A8249" t="str">
            <v>SN1212-3XL</v>
          </cell>
          <cell r="B8249" t="str">
            <v>QN1212</v>
          </cell>
          <cell r="C8249" t="str">
            <v>ซาติน แขนสั้นขาสั้น กระต่ายน้อยอุ้มไข่ ปกเหลือง 3XL QC</v>
          </cell>
          <cell r="E8249">
            <v>0</v>
          </cell>
          <cell r="F8249">
            <v>790</v>
          </cell>
        </row>
        <row r="8250">
          <cell r="A8250" t="str">
            <v>SN1212-L</v>
          </cell>
          <cell r="B8250" t="str">
            <v>N1212</v>
          </cell>
          <cell r="C8250" t="str">
            <v>ซาติน แขนสั้นขาสั้น กระต่ายน้อยอุ้มไข่ ปกเหลือง L</v>
          </cell>
          <cell r="E8250">
            <v>0</v>
          </cell>
          <cell r="F8250">
            <v>790</v>
          </cell>
        </row>
        <row r="8251">
          <cell r="A8251" t="str">
            <v>SN1212-M</v>
          </cell>
          <cell r="B8251" t="str">
            <v>N1212</v>
          </cell>
          <cell r="C8251" t="str">
            <v>ซาติน แขนสั้นขาสั้น กระต่ายน้อยอุ้มไข่ ปกเหลือง M</v>
          </cell>
          <cell r="E8251">
            <v>0</v>
          </cell>
          <cell r="F8251">
            <v>790</v>
          </cell>
        </row>
        <row r="8252">
          <cell r="A8252" t="str">
            <v>SN1212-XL</v>
          </cell>
          <cell r="B8252" t="str">
            <v>N1212</v>
          </cell>
          <cell r="C8252" t="str">
            <v>ซาติน แขนสั้นขาสั้น กระต่ายน้อยอุ้มไข่ ปกเหลือง XL</v>
          </cell>
          <cell r="E8252">
            <v>0</v>
          </cell>
          <cell r="F8252">
            <v>790</v>
          </cell>
        </row>
        <row r="8253">
          <cell r="A8253" t="str">
            <v>SN1213-2XL</v>
          </cell>
          <cell r="B8253" t="str">
            <v>N1213</v>
          </cell>
          <cell r="C8253" t="str">
            <v>ซาติน แขนสั้นขาสั้น rabbit white ปกขาว ขอบม่วง 2XL</v>
          </cell>
          <cell r="E8253">
            <v>3</v>
          </cell>
          <cell r="F8253">
            <v>890</v>
          </cell>
        </row>
        <row r="8254">
          <cell r="A8254" t="str">
            <v>SN1213-3XL</v>
          </cell>
          <cell r="B8254" t="str">
            <v>N1213</v>
          </cell>
          <cell r="C8254" t="str">
            <v>ซาติน แขนสั้นขาสั้น rabbit white ปกขาว ขอบม่วง 3XL</v>
          </cell>
          <cell r="E8254">
            <v>0</v>
          </cell>
          <cell r="F8254">
            <v>890</v>
          </cell>
        </row>
        <row r="8255">
          <cell r="A8255" t="str">
            <v>SN1213-L</v>
          </cell>
          <cell r="B8255" t="str">
            <v>N1213</v>
          </cell>
          <cell r="C8255" t="str">
            <v>ซาติน แขนสั้นขาสั้น rabbit white ปกขาว ขอบม่วง L</v>
          </cell>
          <cell r="E8255">
            <v>0</v>
          </cell>
          <cell r="F8255">
            <v>890</v>
          </cell>
        </row>
        <row r="8256">
          <cell r="A8256" t="str">
            <v>SN1213-M</v>
          </cell>
          <cell r="B8256" t="str">
            <v>N1213</v>
          </cell>
          <cell r="C8256" t="str">
            <v>ซาติน แขนสั้นขาสั้น rabbit white ปกขาว ขอบม่วง M</v>
          </cell>
          <cell r="E8256">
            <v>0</v>
          </cell>
          <cell r="F8256">
            <v>890</v>
          </cell>
        </row>
        <row r="8257">
          <cell r="A8257" t="str">
            <v>SN1213-XL</v>
          </cell>
          <cell r="B8257" t="str">
            <v>N1213</v>
          </cell>
          <cell r="C8257" t="str">
            <v>ซาติน แขนสั้นขาสั้น rabbit white ปกขาว ขอบม่วง XL</v>
          </cell>
          <cell r="E8257">
            <v>0</v>
          </cell>
          <cell r="F8257">
            <v>890</v>
          </cell>
        </row>
        <row r="8258">
          <cell r="A8258" t="str">
            <v>SN1214-2XL</v>
          </cell>
          <cell r="B8258" t="str">
            <v>N1214</v>
          </cell>
          <cell r="C8258" t="str">
            <v>ซาติน แขนสั้นขาสั้น rabbit white flower pink ปกม่วง 2XL</v>
          </cell>
          <cell r="E8258">
            <v>0</v>
          </cell>
          <cell r="F8258">
            <v>890</v>
          </cell>
        </row>
        <row r="8259">
          <cell r="A8259" t="str">
            <v>SN1214-3XL</v>
          </cell>
          <cell r="B8259" t="str">
            <v>N1214</v>
          </cell>
          <cell r="C8259" t="str">
            <v>ซาติน แขนสั้นขาสั้น rabbit white flower pink ปกม่วง 3XL</v>
          </cell>
          <cell r="E8259">
            <v>0</v>
          </cell>
          <cell r="F8259">
            <v>890</v>
          </cell>
        </row>
        <row r="8260">
          <cell r="A8260" t="str">
            <v>SN1214-L</v>
          </cell>
          <cell r="B8260" t="str">
            <v>N1214</v>
          </cell>
          <cell r="C8260" t="str">
            <v>ซาติน แขนสั้นขาสั้น rabbit white flower pink ปกม่วง L</v>
          </cell>
          <cell r="E8260">
            <v>0</v>
          </cell>
          <cell r="F8260">
            <v>890</v>
          </cell>
        </row>
        <row r="8261">
          <cell r="A8261" t="str">
            <v>SN1214-M</v>
          </cell>
          <cell r="B8261" t="str">
            <v>N1214</v>
          </cell>
          <cell r="C8261" t="str">
            <v>ซาติน แขนสั้นขาสั้น rabbit white flower pink ปกม่วง M</v>
          </cell>
          <cell r="E8261">
            <v>0</v>
          </cell>
          <cell r="F8261">
            <v>890</v>
          </cell>
        </row>
        <row r="8262">
          <cell r="A8262" t="str">
            <v>SN1214-XL</v>
          </cell>
          <cell r="B8262" t="str">
            <v>N1214</v>
          </cell>
          <cell r="C8262" t="str">
            <v>ซาติน แขนสั้นขาสั้น rabbit white flower pink ปกม่วง XL</v>
          </cell>
          <cell r="E8262">
            <v>0</v>
          </cell>
          <cell r="F8262">
            <v>890</v>
          </cell>
        </row>
        <row r="8263">
          <cell r="A8263" t="str">
            <v>SN1215-2XL</v>
          </cell>
          <cell r="B8263" t="str">
            <v>N1215</v>
          </cell>
          <cell r="C8263" t="str">
            <v>[AC]  ซาติน แขนสั้นขาสั้น zoooforest 2XL  (กปก)</v>
          </cell>
          <cell r="E8263">
            <v>0</v>
          </cell>
          <cell r="F8263">
            <v>790</v>
          </cell>
        </row>
        <row r="8264">
          <cell r="A8264" t="str">
            <v>SN1215-3XL</v>
          </cell>
          <cell r="B8264" t="str">
            <v>N1215</v>
          </cell>
          <cell r="C8264" t="str">
            <v>[AC]  ซาติน แขนสั้นขาสั้น zoooforest 3XL  (กปก)</v>
          </cell>
          <cell r="E8264">
            <v>0</v>
          </cell>
          <cell r="F8264">
            <v>790</v>
          </cell>
        </row>
        <row r="8265">
          <cell r="A8265" t="str">
            <v>SN1215-L</v>
          </cell>
          <cell r="B8265" t="str">
            <v>N1215</v>
          </cell>
          <cell r="C8265" t="str">
            <v>[AC]  ซาติน แขนสั้นขาสั้น zoooforest L (กปก)</v>
          </cell>
          <cell r="E8265">
            <v>0</v>
          </cell>
          <cell r="F8265">
            <v>790</v>
          </cell>
        </row>
        <row r="8266">
          <cell r="A8266" t="str">
            <v>SN1215-M</v>
          </cell>
          <cell r="B8266" t="str">
            <v>N1215</v>
          </cell>
          <cell r="C8266" t="str">
            <v>[AC]   ซาติน แขนสั้นขาสั้น zoooforest M (กปก)</v>
          </cell>
          <cell r="E8266">
            <v>0</v>
          </cell>
          <cell r="F8266">
            <v>790</v>
          </cell>
        </row>
        <row r="8267">
          <cell r="A8267" t="str">
            <v>SN1215-XL</v>
          </cell>
          <cell r="B8267" t="str">
            <v>N1215</v>
          </cell>
          <cell r="C8267" t="str">
            <v>[AC]  ซาติน แขนสั้นขาสั้น zoooforest XL (กปก)</v>
          </cell>
          <cell r="E8267">
            <v>0</v>
          </cell>
          <cell r="F8267">
            <v>790</v>
          </cell>
        </row>
        <row r="8268">
          <cell r="A8268" t="str">
            <v>SN1216-2XL</v>
          </cell>
          <cell r="B8268" t="str">
            <v>N1216</v>
          </cell>
          <cell r="C8268" t="str">
            <v>ซาติน แขนสั้นขาสั้น สุนัขแฟชั่น พื้นเขียว 2XL  (กปก)</v>
          </cell>
          <cell r="E8268">
            <v>0</v>
          </cell>
          <cell r="F8268">
            <v>790</v>
          </cell>
        </row>
        <row r="8269">
          <cell r="A8269" t="str">
            <v>SN1216-3XL</v>
          </cell>
          <cell r="B8269" t="str">
            <v>N1216</v>
          </cell>
          <cell r="C8269" t="str">
            <v>ซาติน แขนสั้นขาสั้น สุนัขแฟชั่น พื้นเขียว 3XL  (กปก)</v>
          </cell>
          <cell r="E8269">
            <v>0</v>
          </cell>
          <cell r="F8269">
            <v>790</v>
          </cell>
        </row>
        <row r="8270">
          <cell r="A8270" t="str">
            <v>SN1216-L</v>
          </cell>
          <cell r="B8270" t="str">
            <v>QN1216</v>
          </cell>
          <cell r="C8270" t="str">
            <v>ซาติน แขนสั้นขาสั้น สุนัขแฟชั่น พื้นเขียว L (กปก) QC</v>
          </cell>
          <cell r="E8270">
            <v>0</v>
          </cell>
          <cell r="F8270">
            <v>790</v>
          </cell>
        </row>
        <row r="8271">
          <cell r="A8271" t="str">
            <v>SN1216-M</v>
          </cell>
          <cell r="B8271" t="str">
            <v>N1216</v>
          </cell>
          <cell r="C8271" t="str">
            <v>ซาติน แขนสั้นขาสั้น สุนัขแฟชั่น พื้นเขียว M (กปก)</v>
          </cell>
          <cell r="E8271">
            <v>1</v>
          </cell>
          <cell r="F8271">
            <v>790</v>
          </cell>
        </row>
        <row r="8272">
          <cell r="A8272" t="str">
            <v>SN1216-XL</v>
          </cell>
          <cell r="B8272" t="str">
            <v>N1216</v>
          </cell>
          <cell r="C8272" t="str">
            <v>ซาติน แขนสั้นขาสั้น สุนัขแฟชั่น พื้นเขียว XL (กปก)</v>
          </cell>
          <cell r="E8272">
            <v>0</v>
          </cell>
          <cell r="F8272">
            <v>790</v>
          </cell>
        </row>
        <row r="8273">
          <cell r="A8273" t="str">
            <v>SN1218-2XL</v>
          </cell>
          <cell r="B8273" t="str">
            <v>N1218</v>
          </cell>
          <cell r="C8273" t="str">
            <v>[AE]   ซาติน แขนสั้นขาสั้น ช้างชมพู พื้นครีม 2XL</v>
          </cell>
          <cell r="E8273">
            <v>0</v>
          </cell>
          <cell r="F8273">
            <v>790</v>
          </cell>
        </row>
        <row r="8274">
          <cell r="A8274" t="str">
            <v>SN1218-3XL</v>
          </cell>
          <cell r="B8274" t="str">
            <v>N1218</v>
          </cell>
          <cell r="C8274" t="str">
            <v>[AE]  ซาติน แขนสั้นขาสั้น ช้างชมพู พื้นครีม 3XL</v>
          </cell>
          <cell r="E8274">
            <v>0</v>
          </cell>
          <cell r="F8274">
            <v>790</v>
          </cell>
        </row>
        <row r="8275">
          <cell r="A8275" t="str">
            <v>SN1218-L</v>
          </cell>
          <cell r="B8275" t="str">
            <v>N1218</v>
          </cell>
          <cell r="C8275" t="str">
            <v>[AE]  ซาติน แขนสั้นขาสั้น ช้างชมพู พื้นครีม L</v>
          </cell>
          <cell r="E8275">
            <v>0</v>
          </cell>
          <cell r="F8275">
            <v>790</v>
          </cell>
        </row>
        <row r="8276">
          <cell r="A8276" t="str">
            <v>SN1218-M</v>
          </cell>
          <cell r="B8276" t="str">
            <v>N1218</v>
          </cell>
          <cell r="C8276" t="str">
            <v>[AE]  ซาติน แขนสั้นขาสั้น ช้างชมพู พื้นครีม M</v>
          </cell>
          <cell r="E8276">
            <v>0</v>
          </cell>
          <cell r="F8276">
            <v>790</v>
          </cell>
        </row>
        <row r="8277">
          <cell r="A8277" t="str">
            <v>SN1218-XL</v>
          </cell>
          <cell r="B8277" t="str">
            <v>N1218</v>
          </cell>
          <cell r="C8277" t="str">
            <v>[AE]  ซาติน แขนสั้นขาสั้น ช้างชมพู พื้นครีม XL</v>
          </cell>
          <cell r="E8277">
            <v>0</v>
          </cell>
          <cell r="F8277">
            <v>790</v>
          </cell>
        </row>
        <row r="8278">
          <cell r="A8278" t="str">
            <v>SN1221-2XL</v>
          </cell>
          <cell r="B8278" t="str">
            <v>N1221</v>
          </cell>
          <cell r="C8278" t="str">
            <v>[AA]   ซาติน แขนสั้นขาสั้น เสือส้ม พื้นชมพู 2XL</v>
          </cell>
          <cell r="E8278">
            <v>0</v>
          </cell>
          <cell r="F8278">
            <v>790</v>
          </cell>
        </row>
        <row r="8279">
          <cell r="A8279" t="str">
            <v>SN1221-3XL</v>
          </cell>
          <cell r="B8279" t="str">
            <v>N1221</v>
          </cell>
          <cell r="C8279" t="str">
            <v>[AA]  ซาติน แขนสั้นขาสั้น เสือส้ม พื้นชมพู 3XL</v>
          </cell>
          <cell r="E8279">
            <v>0</v>
          </cell>
          <cell r="F8279">
            <v>790</v>
          </cell>
        </row>
        <row r="8280">
          <cell r="A8280" t="str">
            <v>SN1221-L</v>
          </cell>
          <cell r="B8280" t="str">
            <v>QN1221</v>
          </cell>
          <cell r="C8280" t="str">
            <v>[AA]  ซาติน แขนสั้นขาสั้น เสือส้ม พื้นชมพู L QC</v>
          </cell>
          <cell r="E8280">
            <v>0</v>
          </cell>
          <cell r="F8280">
            <v>790</v>
          </cell>
        </row>
        <row r="8281">
          <cell r="A8281" t="str">
            <v>SN1221-M</v>
          </cell>
          <cell r="B8281" t="str">
            <v>QN1221</v>
          </cell>
          <cell r="C8281" t="str">
            <v>ซาติน แขนสั้นขาสั้น เสือส้ม พื้นชมพู M QC</v>
          </cell>
          <cell r="E8281">
            <v>0</v>
          </cell>
          <cell r="F8281">
            <v>790</v>
          </cell>
        </row>
        <row r="8282">
          <cell r="A8282" t="str">
            <v>SN1221-XL</v>
          </cell>
          <cell r="B8282" t="str">
            <v>N1221</v>
          </cell>
          <cell r="C8282" t="str">
            <v>[AA]  ซาติน แขนสั้นขาสั้น เสือส้ม พื้นชมพู XL</v>
          </cell>
          <cell r="E8282">
            <v>0</v>
          </cell>
          <cell r="F8282">
            <v>790</v>
          </cell>
        </row>
        <row r="8283">
          <cell r="A8283" t="str">
            <v>SN1223-2XL</v>
          </cell>
          <cell r="B8283" t="str">
            <v>QN1223</v>
          </cell>
          <cell r="C8283" t="str">
            <v>ซาติน แขนสั้นขาสั้น กงจักรดอกไม้ 2XL QC</v>
          </cell>
          <cell r="E8283">
            <v>0</v>
          </cell>
          <cell r="F8283">
            <v>790</v>
          </cell>
        </row>
        <row r="8284">
          <cell r="A8284" t="str">
            <v>SN1223-3XL</v>
          </cell>
          <cell r="B8284" t="str">
            <v>QN1223</v>
          </cell>
          <cell r="C8284" t="str">
            <v>[AG]  ซาติน แขนสั้นขาสั้น กงจักรดอกไม้ 3XL QC</v>
          </cell>
          <cell r="E8284">
            <v>0</v>
          </cell>
          <cell r="F8284">
            <v>790</v>
          </cell>
        </row>
        <row r="8285">
          <cell r="A8285" t="str">
            <v>SN1223-L</v>
          </cell>
          <cell r="B8285" t="str">
            <v>N1223</v>
          </cell>
          <cell r="C8285" t="str">
            <v>ซาติน แขนสั้นขาสั้น กงจักรดอกไม้ L</v>
          </cell>
          <cell r="E8285">
            <v>0</v>
          </cell>
          <cell r="F8285">
            <v>790</v>
          </cell>
        </row>
        <row r="8286">
          <cell r="A8286" t="str">
            <v>SN1223-M</v>
          </cell>
          <cell r="B8286" t="str">
            <v>N1223</v>
          </cell>
          <cell r="C8286" t="str">
            <v>ซาติน แขนสั้นขาสั้น กงจักรดอกไม้ M</v>
          </cell>
          <cell r="E8286">
            <v>0</v>
          </cell>
          <cell r="F8286">
            <v>790</v>
          </cell>
        </row>
        <row r="8287">
          <cell r="A8287" t="str">
            <v>SN1223-XL</v>
          </cell>
          <cell r="B8287" t="str">
            <v>QN1223</v>
          </cell>
          <cell r="C8287" t="str">
            <v>ซาติน แขนสั้นขาสั้น กงจักรดอกไม้ XL QC</v>
          </cell>
          <cell r="E8287">
            <v>0</v>
          </cell>
          <cell r="F8287">
            <v>790</v>
          </cell>
        </row>
        <row r="8288">
          <cell r="A8288" t="str">
            <v>SN1224-2XL</v>
          </cell>
          <cell r="B8288" t="str">
            <v>QN1224</v>
          </cell>
          <cell r="C8288" t="str">
            <v>[AA]    ซาติน แขนสั้นขาสั้น เสือดาวพื้นน้ำเงิน ปกเสือชมพู 2XL  (กปก) QC</v>
          </cell>
          <cell r="E8288">
            <v>0</v>
          </cell>
          <cell r="F8288">
            <v>790</v>
          </cell>
        </row>
        <row r="8289">
          <cell r="A8289" t="str">
            <v>SN1224-3XL</v>
          </cell>
          <cell r="B8289" t="str">
            <v>QN1224</v>
          </cell>
          <cell r="C8289" t="str">
            <v>[AA]   ซาติน แขนสั้นขาสั้น เสือดาวพื้นน้ำเงิน ปกเสือชมพู 3XL  (กปก) QC</v>
          </cell>
          <cell r="E8289">
            <v>0</v>
          </cell>
          <cell r="F8289">
            <v>790</v>
          </cell>
        </row>
        <row r="8290">
          <cell r="A8290" t="str">
            <v>SN1224-L</v>
          </cell>
          <cell r="B8290" t="str">
            <v>N1224</v>
          </cell>
          <cell r="C8290" t="str">
            <v>[AA]   ซาติน แขนสั้นขาสั้น เสือดาวพื้นน้ำเงิน ปกเสือชมพู L  (กปก)</v>
          </cell>
          <cell r="E8290">
            <v>0</v>
          </cell>
          <cell r="F8290">
            <v>790</v>
          </cell>
        </row>
        <row r="8291">
          <cell r="A8291" t="str">
            <v>SN1224-M</v>
          </cell>
          <cell r="B8291" t="str">
            <v>QN1224</v>
          </cell>
          <cell r="C8291" t="str">
            <v>[AA]   ซาติน แขนสั้นขาสั้น เสือดาวพื้นน้ำเงิน ปกเสือชมพู M  (กปก) QC</v>
          </cell>
          <cell r="E8291">
            <v>0</v>
          </cell>
          <cell r="F8291">
            <v>790</v>
          </cell>
        </row>
        <row r="8292">
          <cell r="A8292" t="str">
            <v>SN1224-XL</v>
          </cell>
          <cell r="B8292" t="str">
            <v>N1224</v>
          </cell>
          <cell r="C8292" t="str">
            <v>ซาติน แขนสั้นขาสั้น เสือดาวพื้นน้ำเงิน ปกเสือชมพู XL  (กปก)</v>
          </cell>
          <cell r="E8292">
            <v>0</v>
          </cell>
          <cell r="F8292">
            <v>790</v>
          </cell>
        </row>
        <row r="8293">
          <cell r="A8293" t="str">
            <v>SN1225-2XL</v>
          </cell>
          <cell r="B8293" t="str">
            <v>N1225</v>
          </cell>
          <cell r="C8293" t="str">
            <v>[AA]  ซาติน แขนสั้นขาสั้น นักกีฬา สเก็ต พื้นครีม ปกฟ้า ขาว (กปก) 2XL</v>
          </cell>
          <cell r="E8293">
            <v>1</v>
          </cell>
          <cell r="F8293">
            <v>790</v>
          </cell>
        </row>
        <row r="8294">
          <cell r="A8294" t="str">
            <v>SN1225-3XL</v>
          </cell>
          <cell r="B8294" t="str">
            <v>N1225</v>
          </cell>
          <cell r="C8294" t="str">
            <v>[AA]  ซาติน แขนสั้นขาสั้น นักกีฬา สเก็ต พื้นครีม ปกฟ้า ขาว (กปก) 3XL</v>
          </cell>
          <cell r="E8294">
            <v>0</v>
          </cell>
          <cell r="F8294">
            <v>790</v>
          </cell>
        </row>
        <row r="8295">
          <cell r="A8295" t="str">
            <v>SN1225-L</v>
          </cell>
          <cell r="B8295" t="str">
            <v>N1225</v>
          </cell>
          <cell r="C8295" t="str">
            <v>[AA]  ซาติน แขนสั้นขาสั้น นักกีฬา สเก็ต พื้นครีม ปกฟ้า ขาว (กปก) L</v>
          </cell>
          <cell r="E8295">
            <v>0</v>
          </cell>
          <cell r="F8295">
            <v>790</v>
          </cell>
        </row>
        <row r="8296">
          <cell r="A8296" t="str">
            <v>SN1225-M</v>
          </cell>
          <cell r="B8296" t="str">
            <v>N1225</v>
          </cell>
          <cell r="C8296" t="str">
            <v>[AA]  ซาติน แขนสั้นขาสั้น นักกีฬา สเก็ต พื้นครีม ปกฟ้า ขาว (กปก) M</v>
          </cell>
          <cell r="E8296">
            <v>0</v>
          </cell>
          <cell r="F8296">
            <v>790</v>
          </cell>
        </row>
        <row r="8297">
          <cell r="A8297" t="str">
            <v>SN1225-XL</v>
          </cell>
          <cell r="B8297" t="str">
            <v>QN1225</v>
          </cell>
          <cell r="C8297" t="str">
            <v>[AA]  ซาติน แขนสั้นขาสั้น นักกีฬา สเก็ต พื้นครีม ปกฟ้า ขาว (กปก) XL QC</v>
          </cell>
          <cell r="E8297">
            <v>0</v>
          </cell>
          <cell r="F8297">
            <v>790</v>
          </cell>
        </row>
        <row r="8298">
          <cell r="A8298" t="str">
            <v>SN1226-2XL</v>
          </cell>
          <cell r="B8298" t="str">
            <v>N1226</v>
          </cell>
          <cell r="C8298" t="str">
            <v>ซาติน แขนสั้นขาสั้น Queen Tarot Card พื้นน้ำเงิน 2XL</v>
          </cell>
          <cell r="E8298">
            <v>0</v>
          </cell>
          <cell r="F8298">
            <v>890</v>
          </cell>
        </row>
        <row r="8299">
          <cell r="A8299" t="str">
            <v>SN1226-3XL</v>
          </cell>
          <cell r="B8299" t="str">
            <v>N1226</v>
          </cell>
          <cell r="C8299" t="str">
            <v>ซาติน แขนสั้นขาสั้น Queen Tarot Card พื้นน้ำเงิน 3XL</v>
          </cell>
          <cell r="E8299">
            <v>3</v>
          </cell>
          <cell r="F8299">
            <v>890</v>
          </cell>
        </row>
        <row r="8300">
          <cell r="A8300" t="str">
            <v>SN1226-L</v>
          </cell>
          <cell r="B8300" t="str">
            <v>QN1226</v>
          </cell>
          <cell r="C8300" t="str">
            <v>ซาติน แขนสั้นขาสั้น Queen Tarot Card พื้นน้ำเงิน L QC</v>
          </cell>
          <cell r="E8300">
            <v>0</v>
          </cell>
          <cell r="F8300">
            <v>890</v>
          </cell>
        </row>
        <row r="8301">
          <cell r="A8301" t="str">
            <v>SN1226-M</v>
          </cell>
          <cell r="B8301" t="str">
            <v>QN1226</v>
          </cell>
          <cell r="C8301" t="str">
            <v>ซาติน แขนสั้นขาสั้น Queen Tarot Card พื้นน้ำเงิน M QC</v>
          </cell>
          <cell r="E8301">
            <v>0</v>
          </cell>
          <cell r="F8301">
            <v>890</v>
          </cell>
        </row>
        <row r="8302">
          <cell r="A8302" t="str">
            <v>SN1226-XL</v>
          </cell>
          <cell r="B8302" t="str">
            <v>QN1226</v>
          </cell>
          <cell r="C8302" t="str">
            <v>ซาติน แขนสั้นขาสั้น Queen Tarot Card พื้นน้ำเงิน XL QC</v>
          </cell>
          <cell r="E8302">
            <v>0</v>
          </cell>
          <cell r="F8302">
            <v>890</v>
          </cell>
        </row>
        <row r="8303">
          <cell r="A8303" t="str">
            <v>SN1228-2XL</v>
          </cell>
          <cell r="B8303" t="str">
            <v>N1228</v>
          </cell>
          <cell r="C8303" t="str">
            <v>ซาติน แขนสั้นขาสั้น Zoo forest พื้นขาว ปกโอโรส 2XL</v>
          </cell>
          <cell r="E8303">
            <v>0</v>
          </cell>
          <cell r="F8303">
            <v>790</v>
          </cell>
        </row>
        <row r="8304">
          <cell r="A8304" t="str">
            <v>SN1228-3XL</v>
          </cell>
          <cell r="B8304" t="str">
            <v>N1228</v>
          </cell>
          <cell r="C8304" t="str">
            <v>ซาติน แขนสั้นขาสั้น Zoo forest พื้นขาว ปกโอโรส 3XL</v>
          </cell>
          <cell r="E8304">
            <v>0</v>
          </cell>
          <cell r="F8304">
            <v>790</v>
          </cell>
        </row>
        <row r="8305">
          <cell r="A8305" t="str">
            <v>SN1228-L</v>
          </cell>
          <cell r="B8305" t="str">
            <v>N1228</v>
          </cell>
          <cell r="C8305" t="str">
            <v>ซาติน แขนสั้นขาสั้น Zoo forest พื้นขาว ปกโอโรส L</v>
          </cell>
          <cell r="E8305">
            <v>0</v>
          </cell>
          <cell r="F8305">
            <v>790</v>
          </cell>
        </row>
        <row r="8306">
          <cell r="A8306" t="str">
            <v>SN1228-M</v>
          </cell>
          <cell r="B8306" t="str">
            <v>N1228</v>
          </cell>
          <cell r="C8306" t="str">
            <v>ซาติน แขนสั้นขาสั้น Zoo forest พื้นขาว ปกโอโรส M</v>
          </cell>
          <cell r="E8306">
            <v>0</v>
          </cell>
          <cell r="F8306">
            <v>790</v>
          </cell>
        </row>
        <row r="8307">
          <cell r="A8307" t="str">
            <v>SN1228-XL</v>
          </cell>
          <cell r="B8307" t="str">
            <v>N1228</v>
          </cell>
          <cell r="C8307" t="str">
            <v>ซาติน แขนสั้นขาสั้น Zoo forest พื้นขาว ปกโอโรส XL</v>
          </cell>
          <cell r="E8307">
            <v>0</v>
          </cell>
          <cell r="F8307">
            <v>790</v>
          </cell>
        </row>
        <row r="8308">
          <cell r="A8308" t="str">
            <v>SN1229-2XL</v>
          </cell>
          <cell r="B8308" t="str">
            <v>N1229</v>
          </cell>
          <cell r="C8308" t="str">
            <v>ซาติน แขนสั้นขาสั้น The Sun พื้นครีม กางเกงเหลือง 2XL</v>
          </cell>
          <cell r="E8308">
            <v>0</v>
          </cell>
          <cell r="F8308">
            <v>890</v>
          </cell>
        </row>
        <row r="8309">
          <cell r="A8309" t="str">
            <v>SN1229-3XL</v>
          </cell>
          <cell r="B8309" t="str">
            <v>N1229</v>
          </cell>
          <cell r="C8309" t="str">
            <v>ซาติน แขนสั้นขาสั้น The Sun พื้นครีม กางเกงเหลือง 3XL</v>
          </cell>
          <cell r="E8309">
            <v>0</v>
          </cell>
          <cell r="F8309">
            <v>890</v>
          </cell>
        </row>
        <row r="8310">
          <cell r="A8310" t="str">
            <v>SN1229-L</v>
          </cell>
          <cell r="B8310" t="str">
            <v>N1229</v>
          </cell>
          <cell r="C8310" t="str">
            <v>ซาติน แขนสั้นขาสั้น The Sun พื้นครีม กางเกงเหลือง L</v>
          </cell>
          <cell r="E8310">
            <v>0</v>
          </cell>
          <cell r="F8310">
            <v>890</v>
          </cell>
        </row>
        <row r="8311">
          <cell r="A8311" t="str">
            <v>SN1229-M</v>
          </cell>
          <cell r="B8311" t="str">
            <v>N1229</v>
          </cell>
          <cell r="C8311" t="str">
            <v>ซาติน แขนสั้นขาสั้น The Sun พื้นครีม กางเกงเหลือง M</v>
          </cell>
          <cell r="E8311">
            <v>0</v>
          </cell>
          <cell r="F8311">
            <v>890</v>
          </cell>
        </row>
        <row r="8312">
          <cell r="A8312" t="str">
            <v>SN1229-XL</v>
          </cell>
          <cell r="B8312" t="str">
            <v>N1229</v>
          </cell>
          <cell r="C8312" t="str">
            <v>ซาติน แขนสั้นขาสั้น The Sun พื้นครีม กางเกงเหลือง XL</v>
          </cell>
          <cell r="E8312">
            <v>0</v>
          </cell>
          <cell r="F8312">
            <v>890</v>
          </cell>
        </row>
        <row r="8313">
          <cell r="A8313" t="str">
            <v>SN1230-2XL</v>
          </cell>
          <cell r="B8313" t="str">
            <v>N1230</v>
          </cell>
          <cell r="C8313" t="str">
            <v>ซาติน แขนสั้นขาสั้น สิงห์โต ช้าง ยีราฟ พื้นขาว ปกเขียว 2XL</v>
          </cell>
          <cell r="E8313">
            <v>0</v>
          </cell>
          <cell r="F8313">
            <v>790</v>
          </cell>
        </row>
        <row r="8314">
          <cell r="A8314" t="str">
            <v>SN1230-3XL</v>
          </cell>
          <cell r="B8314" t="str">
            <v>N1230</v>
          </cell>
          <cell r="C8314" t="str">
            <v>ซาติน แขนสั้นขาสั้น สิงห์โต ช้าง ยีราฟ พื้นขาว ปกเขียว 3XL</v>
          </cell>
          <cell r="E8314">
            <v>0</v>
          </cell>
          <cell r="F8314">
            <v>790</v>
          </cell>
        </row>
        <row r="8315">
          <cell r="A8315" t="str">
            <v>SN1230-L</v>
          </cell>
          <cell r="B8315" t="str">
            <v>N1230</v>
          </cell>
          <cell r="C8315" t="str">
            <v>ซาติน แขนสั้นขาสั้น สิงห์โต ช้าง ยีราฟ พื้นขาว ปกเขียว L</v>
          </cell>
          <cell r="E8315">
            <v>0</v>
          </cell>
          <cell r="F8315">
            <v>790</v>
          </cell>
        </row>
        <row r="8316">
          <cell r="A8316" t="str">
            <v>SN1230-M</v>
          </cell>
          <cell r="B8316" t="str">
            <v>N1230</v>
          </cell>
          <cell r="C8316" t="str">
            <v>ซาติน แขนสั้นขาสั้น สิงห์โต ช้าง ยีราฟ พื้นขาว ปกเขียว M</v>
          </cell>
          <cell r="E8316">
            <v>0</v>
          </cell>
          <cell r="F8316">
            <v>790</v>
          </cell>
        </row>
        <row r="8317">
          <cell r="A8317" t="str">
            <v>SN1230-XL</v>
          </cell>
          <cell r="B8317" t="str">
            <v>N1230</v>
          </cell>
          <cell r="C8317" t="str">
            <v>ซาติน แขนสั้นขาสั้น สิงห์โต ช้าง ยีราฟ พื้นขาว ปกเขียว XL</v>
          </cell>
          <cell r="E8317">
            <v>0</v>
          </cell>
          <cell r="F8317">
            <v>790</v>
          </cell>
        </row>
        <row r="8318">
          <cell r="A8318" t="str">
            <v>SN1231-2XL</v>
          </cell>
          <cell r="B8318" t="str">
            <v>N1231</v>
          </cell>
          <cell r="C8318" t="str">
            <v>ซาติน แขนสั้นขาสั้น 12 ราศี พาสเทล ปกม่วงพาสเทล 2XL</v>
          </cell>
          <cell r="E8318">
            <v>0</v>
          </cell>
          <cell r="F8318">
            <v>790</v>
          </cell>
        </row>
        <row r="8319">
          <cell r="A8319" t="str">
            <v>SN1231-3XL</v>
          </cell>
          <cell r="B8319" t="str">
            <v>N1231</v>
          </cell>
          <cell r="C8319" t="str">
            <v>ซาติน แขนสั้นขาสั้น 12 ราศี พาสเทล ปกม่วงพาสเทล 3XL</v>
          </cell>
          <cell r="E8319">
            <v>0</v>
          </cell>
          <cell r="F8319">
            <v>790</v>
          </cell>
        </row>
        <row r="8320">
          <cell r="A8320" t="str">
            <v>SN1231-L</v>
          </cell>
          <cell r="B8320" t="str">
            <v>N1231</v>
          </cell>
          <cell r="C8320" t="str">
            <v>ซาติน แขนสั้นขาสั้น 12 ราศี พาสเทล ปกม่วงพาสเทล L</v>
          </cell>
          <cell r="E8320">
            <v>0</v>
          </cell>
          <cell r="F8320">
            <v>790</v>
          </cell>
        </row>
        <row r="8321">
          <cell r="A8321" t="str">
            <v>SN1231-M</v>
          </cell>
          <cell r="B8321" t="str">
            <v>N1231</v>
          </cell>
          <cell r="C8321" t="str">
            <v>ซาติน แขนสั้นขาสั้น 12 ราศี พาสเทล ปกม่วงพาสเทล M</v>
          </cell>
          <cell r="E8321">
            <v>0</v>
          </cell>
          <cell r="F8321">
            <v>790</v>
          </cell>
        </row>
        <row r="8322">
          <cell r="A8322" t="str">
            <v>SN1231-XL</v>
          </cell>
          <cell r="B8322" t="str">
            <v>QN1231</v>
          </cell>
          <cell r="C8322" t="str">
            <v>ซาติน แขนสั้นขาสั้น 12 ราศี พาสเทล ปกม่วงพาสเทล XL QC</v>
          </cell>
          <cell r="E8322">
            <v>0</v>
          </cell>
          <cell r="F8322">
            <v>790</v>
          </cell>
        </row>
        <row r="8323">
          <cell r="A8323" t="str">
            <v>SN1232-2XL</v>
          </cell>
          <cell r="B8323" t="str">
            <v>QN1232</v>
          </cell>
          <cell r="C8323" t="str">
            <v>ซาติน แขนสั้นขาสั้น อัลปาก้า พื้นครีม ขอบเขียว 2XL QC</v>
          </cell>
          <cell r="E8323">
            <v>0</v>
          </cell>
          <cell r="F8323">
            <v>790</v>
          </cell>
        </row>
        <row r="8324">
          <cell r="A8324" t="str">
            <v>SN1232-3XL</v>
          </cell>
          <cell r="B8324" t="str">
            <v>QN1232</v>
          </cell>
          <cell r="C8324" t="str">
            <v>ซาติน แขนสั้นขาสั้น อัลปาก้า พื้นครีม ขอบเขียว 3XL QC</v>
          </cell>
          <cell r="E8324">
            <v>0</v>
          </cell>
          <cell r="F8324">
            <v>790</v>
          </cell>
        </row>
        <row r="8325">
          <cell r="A8325" t="str">
            <v>SN1232-L</v>
          </cell>
          <cell r="B8325" t="str">
            <v>QN1232</v>
          </cell>
          <cell r="C8325" t="str">
            <v>ซาติน แขนสั้นขาสั้น น้องแกะ พื้นครีม ขอบเขียว L QC</v>
          </cell>
          <cell r="E8325">
            <v>0</v>
          </cell>
          <cell r="F8325">
            <v>790</v>
          </cell>
        </row>
        <row r="8326">
          <cell r="A8326" t="str">
            <v>SN1232-M</v>
          </cell>
          <cell r="B8326" t="str">
            <v>QN1232</v>
          </cell>
          <cell r="C8326" t="str">
            <v>ซาติน แขนสั้นขาสั้น อัลปาก้า พื้นครีม ขอบเขียว M QC</v>
          </cell>
          <cell r="E8326">
            <v>0</v>
          </cell>
          <cell r="F8326">
            <v>790</v>
          </cell>
        </row>
        <row r="8327">
          <cell r="A8327" t="str">
            <v>SN1232-XL</v>
          </cell>
          <cell r="B8327" t="str">
            <v>QN1232</v>
          </cell>
          <cell r="C8327" t="str">
            <v>ซาติน แขนสั้นขาสั้น น้องแกะ พื้นครีม ขอบเขียว XL QC</v>
          </cell>
          <cell r="E8327">
            <v>0</v>
          </cell>
          <cell r="F8327">
            <v>790</v>
          </cell>
        </row>
        <row r="8328">
          <cell r="A8328" t="str">
            <v>SN1234-2XL</v>
          </cell>
          <cell r="B8328" t="str">
            <v>N1234</v>
          </cell>
          <cell r="C8328" t="str">
            <v>ซาติน แขนสั้นขาสั้น หนูน้อย sweet dream 2XL</v>
          </cell>
          <cell r="E8328">
            <v>0</v>
          </cell>
          <cell r="F8328">
            <v>790</v>
          </cell>
        </row>
        <row r="8329">
          <cell r="A8329" t="str">
            <v>SN1234-3XL</v>
          </cell>
          <cell r="B8329" t="str">
            <v>N1234</v>
          </cell>
          <cell r="C8329" t="str">
            <v>ซาติน แขนสั้นขาสั้น หนูน้อย sweet dream 3XL</v>
          </cell>
          <cell r="E8329">
            <v>0</v>
          </cell>
          <cell r="F8329">
            <v>790</v>
          </cell>
        </row>
        <row r="8330">
          <cell r="A8330" t="str">
            <v>SN1234-L</v>
          </cell>
          <cell r="B8330" t="str">
            <v>N1234</v>
          </cell>
          <cell r="C8330" t="str">
            <v>ซาติน แขนสั้นขาสั้น หนูน้อย sweet dream L</v>
          </cell>
          <cell r="E8330">
            <v>0</v>
          </cell>
          <cell r="F8330">
            <v>790</v>
          </cell>
        </row>
        <row r="8331">
          <cell r="A8331" t="str">
            <v>SN1234-M</v>
          </cell>
          <cell r="B8331" t="str">
            <v>N1234</v>
          </cell>
          <cell r="C8331" t="str">
            <v>ซาติน แขนสั้นขาสั้น หนูน้อย sweet dream M</v>
          </cell>
          <cell r="E8331">
            <v>0</v>
          </cell>
          <cell r="F8331">
            <v>790</v>
          </cell>
        </row>
        <row r="8332">
          <cell r="A8332" t="str">
            <v>SN1234-XL</v>
          </cell>
          <cell r="B8332" t="str">
            <v>N1234</v>
          </cell>
          <cell r="C8332" t="str">
            <v>ซาติน แขนสั้นขาสั้น หนูน้อย sweet dream XL</v>
          </cell>
          <cell r="E8332">
            <v>0</v>
          </cell>
          <cell r="F8332">
            <v>790</v>
          </cell>
        </row>
        <row r="8333">
          <cell r="A8333" t="str">
            <v>SN1235-L</v>
          </cell>
          <cell r="B8333" t="str">
            <v>N1235</v>
          </cell>
          <cell r="C8333" t="str">
            <v>ซาติน แขนสั้นขาสั้น พาสเทล โทนชมพู (กปก) L</v>
          </cell>
          <cell r="E8333">
            <v>0</v>
          </cell>
          <cell r="F8333">
            <v>790</v>
          </cell>
        </row>
        <row r="8334">
          <cell r="A8334" t="str">
            <v>SN1235-M</v>
          </cell>
          <cell r="B8334" t="str">
            <v>N1235</v>
          </cell>
          <cell r="C8334" t="str">
            <v>ซาติน แขนสั้นขาสั้น พาสเทล โทนชมพู (กปก) M</v>
          </cell>
          <cell r="E8334">
            <v>0</v>
          </cell>
          <cell r="F8334">
            <v>790</v>
          </cell>
        </row>
        <row r="8335">
          <cell r="A8335" t="str">
            <v>SN1235-XL</v>
          </cell>
          <cell r="B8335" t="str">
            <v>N1235</v>
          </cell>
          <cell r="C8335" t="str">
            <v>ซาติน แขนสั้นขาสั้น พาสเทล โทนชมพู (กปก) XL</v>
          </cell>
          <cell r="E8335">
            <v>0</v>
          </cell>
          <cell r="F8335">
            <v>790</v>
          </cell>
        </row>
        <row r="8336">
          <cell r="A8336" t="str">
            <v>SN1236-F</v>
          </cell>
          <cell r="B8336" t="str">
            <v>N1236</v>
          </cell>
          <cell r="C8336" t="str">
            <v>cotton silk แขนสั้นขาสั้น Shinchan Peach F</v>
          </cell>
          <cell r="E8336">
            <v>0</v>
          </cell>
          <cell r="F8336">
            <v>890</v>
          </cell>
        </row>
        <row r="8337">
          <cell r="A8337" t="str">
            <v>SN1237-F</v>
          </cell>
          <cell r="B8337" t="str">
            <v>N1237</v>
          </cell>
          <cell r="C8337" t="str">
            <v>cotton silk แขนสั้นขาสั้น Shinchan Blueberry F</v>
          </cell>
          <cell r="E8337">
            <v>3</v>
          </cell>
          <cell r="F8337">
            <v>890</v>
          </cell>
        </row>
        <row r="8338">
          <cell r="A8338" t="str">
            <v>SN1238-F</v>
          </cell>
          <cell r="B8338" t="str">
            <v>N1238</v>
          </cell>
          <cell r="C8338" t="str">
            <v>cotton silk แขนสั้นขาสั้น Shinchan Grape F</v>
          </cell>
          <cell r="E8338">
            <v>4</v>
          </cell>
          <cell r="F8338">
            <v>890</v>
          </cell>
        </row>
        <row r="8339">
          <cell r="A8339" t="str">
            <v>SN1240-F</v>
          </cell>
          <cell r="B8339" t="str">
            <v>N1240</v>
          </cell>
          <cell r="C8339" t="str">
            <v>แขนสั้นขาสั้น KAKAO ชมพูเหลือง พื้นฟ้า (กปก) F</v>
          </cell>
          <cell r="E8339">
            <v>6</v>
          </cell>
          <cell r="F8339">
            <v>1290</v>
          </cell>
        </row>
        <row r="8340">
          <cell r="A8340" t="str">
            <v>SN1241-F</v>
          </cell>
          <cell r="B8340" t="str">
            <v>N1241</v>
          </cell>
          <cell r="C8340" t="str">
            <v>แขนสั้นขาสั้น KAKAO ไรอัน มูซี เหลือง พื้นโอรส (กปก) F</v>
          </cell>
          <cell r="E8340">
            <v>7</v>
          </cell>
          <cell r="F8340">
            <v>1290</v>
          </cell>
        </row>
        <row r="8341">
          <cell r="A8341" t="str">
            <v>SN1242-F</v>
          </cell>
          <cell r="B8341" t="str">
            <v>N1242</v>
          </cell>
          <cell r="C8341" t="str">
            <v>แขนสั้นขาสั้น KAKAO ไรอัน มูซี เหลืองพื้นฟ้า (กปก) F</v>
          </cell>
          <cell r="E8341">
            <v>6</v>
          </cell>
          <cell r="F8341">
            <v>1290</v>
          </cell>
        </row>
        <row r="8342">
          <cell r="A8342" t="str">
            <v>SN1243-F</v>
          </cell>
          <cell r="B8342" t="str">
            <v>N1243</v>
          </cell>
          <cell r="C8342" t="str">
            <v>แขนสั้นขาสั้น KAKAO ไรอัน เอพีช เหลืองพื้นชมพู (กปก) F</v>
          </cell>
          <cell r="E8342">
            <v>5</v>
          </cell>
          <cell r="F8342">
            <v>1290</v>
          </cell>
        </row>
        <row r="8343">
          <cell r="A8343" t="str">
            <v>SN2001-2XL</v>
          </cell>
          <cell r="B8343" t="str">
            <v>N2001</v>
          </cell>
          <cell r="C8343" t="str">
            <v>ซาติน แขนสั้นขาสั้น Pewter Kitten (กปก) 2XL</v>
          </cell>
          <cell r="E8343">
            <v>6</v>
          </cell>
          <cell r="F8343">
            <v>890</v>
          </cell>
        </row>
        <row r="8344">
          <cell r="A8344" t="str">
            <v>SN2001-3XL</v>
          </cell>
          <cell r="B8344" t="str">
            <v>N2001</v>
          </cell>
          <cell r="C8344" t="str">
            <v>ซาติน แขนสั้นขาสั้น Pewter Kitten (กปก) 3XL</v>
          </cell>
          <cell r="E8344">
            <v>5</v>
          </cell>
          <cell r="F8344">
            <v>890</v>
          </cell>
        </row>
        <row r="8345">
          <cell r="A8345" t="str">
            <v>SN2001-L</v>
          </cell>
          <cell r="B8345" t="str">
            <v>N2001</v>
          </cell>
          <cell r="C8345" t="str">
            <v>ซาติน แขนสั้นขาสั้น Pewter Kitten (กปก) L</v>
          </cell>
          <cell r="E8345">
            <v>2</v>
          </cell>
          <cell r="F8345">
            <v>890</v>
          </cell>
        </row>
        <row r="8346">
          <cell r="A8346" t="str">
            <v>SN2001-M</v>
          </cell>
          <cell r="B8346" t="str">
            <v>N2001</v>
          </cell>
          <cell r="C8346" t="str">
            <v>ซาติน แขนสั้นขาสั้น Pewter Kitten (กปก) M</v>
          </cell>
          <cell r="E8346">
            <v>1</v>
          </cell>
          <cell r="F8346">
            <v>890</v>
          </cell>
        </row>
        <row r="8347">
          <cell r="A8347" t="str">
            <v>SN2001-XL</v>
          </cell>
          <cell r="B8347" t="str">
            <v>N2001</v>
          </cell>
          <cell r="C8347" t="str">
            <v>ซาติน แขนสั้นขาสั้น Pewter Kitten (กปก) XL</v>
          </cell>
          <cell r="E8347">
            <v>6</v>
          </cell>
          <cell r="F8347">
            <v>890</v>
          </cell>
        </row>
        <row r="8348">
          <cell r="A8348" t="str">
            <v>SN2002-2XL</v>
          </cell>
          <cell r="B8348" t="str">
            <v>N2002</v>
          </cell>
          <cell r="C8348" t="str">
            <v>ซาติน แขนสั้นขาสั้น ไพ่ทาโร่ พื้นชมพู ปกเหลือง 2XL</v>
          </cell>
          <cell r="E8348">
            <v>0</v>
          </cell>
          <cell r="F8348">
            <v>790</v>
          </cell>
        </row>
        <row r="8349">
          <cell r="A8349" t="str">
            <v>SN2002-3XL</v>
          </cell>
          <cell r="B8349" t="str">
            <v>N2002</v>
          </cell>
          <cell r="C8349" t="str">
            <v>ซาติน แขนสั้นขาสั้น ไพ่ทาโร่ พื้นชมพู ปกเหลือง 3XL</v>
          </cell>
          <cell r="E8349">
            <v>0</v>
          </cell>
          <cell r="F8349">
            <v>790</v>
          </cell>
        </row>
        <row r="8350">
          <cell r="A8350" t="str">
            <v>SN2002-L</v>
          </cell>
          <cell r="B8350" t="str">
            <v>N2002</v>
          </cell>
          <cell r="C8350" t="str">
            <v>ซาติน แขนสั้นขาสั้น ไพ่ทาโร่ พื้นชมพู ปกเหลือง L</v>
          </cell>
          <cell r="E8350">
            <v>0</v>
          </cell>
          <cell r="F8350">
            <v>790</v>
          </cell>
        </row>
        <row r="8351">
          <cell r="A8351" t="str">
            <v>SN2002-M</v>
          </cell>
          <cell r="B8351" t="str">
            <v>QN2002</v>
          </cell>
          <cell r="C8351" t="str">
            <v>ซาติน แขนสั้นขาสั้น ไพ่ทาโร่ พื้นชมพู ปกเหลือง M QC</v>
          </cell>
          <cell r="E8351">
            <v>0</v>
          </cell>
          <cell r="F8351">
            <v>790</v>
          </cell>
        </row>
        <row r="8352">
          <cell r="A8352" t="str">
            <v>SN2002-XL</v>
          </cell>
          <cell r="B8352" t="str">
            <v>N2002</v>
          </cell>
          <cell r="C8352" t="str">
            <v>ซาติน แขนสั้นขาสั้น ไพ่ทาโร่ พื้นชมพู ปกเหลือง XL</v>
          </cell>
          <cell r="E8352">
            <v>0</v>
          </cell>
          <cell r="F8352">
            <v>790</v>
          </cell>
        </row>
        <row r="8353">
          <cell r="A8353" t="str">
            <v>SN2003-2XL</v>
          </cell>
          <cell r="B8353" t="str">
            <v>N2003</v>
          </cell>
          <cell r="C8353" t="str">
            <v>ซาติน แขนสั้นขาสั้น sun and moon smile ขอบดำ 2XL</v>
          </cell>
          <cell r="E8353">
            <v>0</v>
          </cell>
          <cell r="F8353">
            <v>890</v>
          </cell>
        </row>
        <row r="8354">
          <cell r="A8354" t="str">
            <v>SN2003-3XL</v>
          </cell>
          <cell r="B8354" t="str">
            <v>N2003</v>
          </cell>
          <cell r="C8354" t="str">
            <v>ซาติน แขนสั้นขาสั้น sun and moon smile ขอบดำ 3XL</v>
          </cell>
          <cell r="E8354">
            <v>0</v>
          </cell>
          <cell r="F8354">
            <v>890</v>
          </cell>
        </row>
        <row r="8355">
          <cell r="A8355" t="str">
            <v>SN2003-L</v>
          </cell>
          <cell r="B8355" t="str">
            <v>QN2003</v>
          </cell>
          <cell r="C8355" t="str">
            <v>ซาติน แขนสั้นขาสั้น sun and moon smile ขอบดำ L QC</v>
          </cell>
          <cell r="E8355">
            <v>0</v>
          </cell>
          <cell r="F8355">
            <v>890</v>
          </cell>
        </row>
        <row r="8356">
          <cell r="A8356" t="str">
            <v>SN2003-M</v>
          </cell>
          <cell r="B8356" t="str">
            <v>QN2003</v>
          </cell>
          <cell r="C8356" t="str">
            <v>ซาติน แขนสั้นขาสั้น sun and moon smile ขอบดำ M QC</v>
          </cell>
          <cell r="E8356">
            <v>0</v>
          </cell>
          <cell r="F8356">
            <v>890</v>
          </cell>
        </row>
        <row r="8357">
          <cell r="A8357" t="str">
            <v>SN2003-XL</v>
          </cell>
          <cell r="B8357" t="str">
            <v>N2003</v>
          </cell>
          <cell r="C8357" t="str">
            <v>ซาติน แขนสั้นขาสั้น sun and moon smile ขอบดำ XL</v>
          </cell>
          <cell r="E8357">
            <v>0</v>
          </cell>
          <cell r="F8357">
            <v>890</v>
          </cell>
        </row>
        <row r="8358">
          <cell r="A8358" t="str">
            <v>SN2004-2XL</v>
          </cell>
          <cell r="B8358" t="str">
            <v>N2004</v>
          </cell>
          <cell r="C8358" t="str">
            <v>ซาติน แขนสั้นขาสั้น Ivory Bohemian 2XL (กปก)</v>
          </cell>
          <cell r="E8358">
            <v>0</v>
          </cell>
          <cell r="F8358">
            <v>890</v>
          </cell>
        </row>
        <row r="8359">
          <cell r="A8359" t="str">
            <v>SN2004-3XL</v>
          </cell>
          <cell r="B8359" t="str">
            <v>N2004</v>
          </cell>
          <cell r="C8359" t="str">
            <v>ซาติน แขนสั้นขาสั้น Ivory Bohemian 3XL (กปก)</v>
          </cell>
          <cell r="E8359">
            <v>0</v>
          </cell>
          <cell r="F8359">
            <v>890</v>
          </cell>
        </row>
        <row r="8360">
          <cell r="A8360" t="str">
            <v>SN2004-L</v>
          </cell>
          <cell r="B8360" t="str">
            <v>N2004</v>
          </cell>
          <cell r="C8360" t="str">
            <v>ซาติน แขนสั้นขาสั้น sun snd moon royal L (กปก)</v>
          </cell>
          <cell r="E8360">
            <v>0</v>
          </cell>
          <cell r="F8360">
            <v>890</v>
          </cell>
        </row>
        <row r="8361">
          <cell r="A8361" t="str">
            <v>SN2004-M</v>
          </cell>
          <cell r="B8361" t="str">
            <v>QN2004</v>
          </cell>
          <cell r="C8361" t="str">
            <v>ซาติน แขนสั้นขาสั้น sun snd moon royal M (กปก) QC</v>
          </cell>
          <cell r="E8361">
            <v>0</v>
          </cell>
          <cell r="F8361">
            <v>890</v>
          </cell>
        </row>
        <row r="8362">
          <cell r="A8362" t="str">
            <v>SN2004-XL</v>
          </cell>
          <cell r="B8362" t="str">
            <v>N2004</v>
          </cell>
          <cell r="C8362" t="str">
            <v>ซาติน แขนสั้นขาสั้น Ivory Bohemian XL (กปก)</v>
          </cell>
          <cell r="E8362">
            <v>0</v>
          </cell>
          <cell r="F8362">
            <v>890</v>
          </cell>
        </row>
        <row r="8363">
          <cell r="A8363" t="str">
            <v>SN2005-2XL</v>
          </cell>
          <cell r="B8363" t="str">
            <v>N2005</v>
          </cell>
          <cell r="C8363" t="str">
            <v>ซาติน แขนสั้นขาสั้น Jungle Bestfriend 2XL (กปก)</v>
          </cell>
          <cell r="E8363">
            <v>0</v>
          </cell>
          <cell r="F8363">
            <v>790</v>
          </cell>
        </row>
        <row r="8364">
          <cell r="A8364" t="str">
            <v>SN2005-3XL</v>
          </cell>
          <cell r="B8364" t="str">
            <v>N2005</v>
          </cell>
          <cell r="C8364" t="str">
            <v>ซาติน แขนสั้นขาสั้น Jungle Bestfriend 3XL (กปก)</v>
          </cell>
          <cell r="E8364">
            <v>0</v>
          </cell>
          <cell r="F8364">
            <v>790</v>
          </cell>
        </row>
        <row r="8365">
          <cell r="A8365" t="str">
            <v>SN2005-L</v>
          </cell>
          <cell r="B8365" t="str">
            <v>QN2005</v>
          </cell>
          <cell r="C8365" t="str">
            <v>ซาติน แขนสั้นขาสั้น Jungle Bestfriend L (กปก) QC</v>
          </cell>
          <cell r="E8365">
            <v>0</v>
          </cell>
          <cell r="F8365">
            <v>890</v>
          </cell>
        </row>
        <row r="8366">
          <cell r="A8366" t="str">
            <v>SN2005-XL</v>
          </cell>
          <cell r="B8366" t="str">
            <v>N2005</v>
          </cell>
          <cell r="C8366" t="str">
            <v>ซาติน แขนสั้นขาสั้น Jungle Bestfriend XL (กปก)</v>
          </cell>
          <cell r="E8366">
            <v>0</v>
          </cell>
          <cell r="F8366">
            <v>790</v>
          </cell>
        </row>
        <row r="8367">
          <cell r="A8367" t="str">
            <v>SN2006-2XL</v>
          </cell>
          <cell r="B8367" t="str">
            <v>N2006</v>
          </cell>
          <cell r="C8367" t="str">
            <v>ซาติน แขนสั้นขาสั้น ยีราฟ อูฐ นกกระจอกเทศ ปกส้ม 2XL</v>
          </cell>
          <cell r="E8367">
            <v>2</v>
          </cell>
          <cell r="F8367">
            <v>790</v>
          </cell>
        </row>
        <row r="8368">
          <cell r="A8368" t="str">
            <v>SN2006-3XL</v>
          </cell>
          <cell r="B8368" t="str">
            <v>N2006</v>
          </cell>
          <cell r="C8368" t="str">
            <v>ซาติน แขนสั้นขาสั้น ยีราฟ อูฐ นกกระจอกเทศ ปกส้ม 3XL</v>
          </cell>
          <cell r="E8368">
            <v>0</v>
          </cell>
          <cell r="F8368">
            <v>790</v>
          </cell>
        </row>
        <row r="8369">
          <cell r="A8369" t="str">
            <v>SN2006-L</v>
          </cell>
          <cell r="B8369" t="str">
            <v>QN2006</v>
          </cell>
          <cell r="C8369" t="str">
            <v>ซาติน แขนสั้นขาสั้น ยีราฟ อูฐ นกกระจอกเทศ ปกส้ม L QC</v>
          </cell>
          <cell r="E8369">
            <v>0</v>
          </cell>
          <cell r="F8369">
            <v>790</v>
          </cell>
        </row>
        <row r="8370">
          <cell r="A8370" t="str">
            <v>SN2006-M</v>
          </cell>
          <cell r="B8370" t="str">
            <v>N2006</v>
          </cell>
          <cell r="C8370" t="str">
            <v>ซาติน แขนสั้นขาสั้น ยีราฟ อูฐ นกกระจอกเทศ ปกส้ม M</v>
          </cell>
          <cell r="E8370">
            <v>0</v>
          </cell>
          <cell r="F8370">
            <v>790</v>
          </cell>
        </row>
        <row r="8371">
          <cell r="A8371" t="str">
            <v>SN2006-XL</v>
          </cell>
          <cell r="B8371" t="str">
            <v>N2006</v>
          </cell>
          <cell r="C8371" t="str">
            <v>ซาติน แขนสั้นขาสั้น ยีราฟ อูฐ นกกระจอกเทศ ปกส้ม XL</v>
          </cell>
          <cell r="E8371">
            <v>0</v>
          </cell>
          <cell r="F8371">
            <v>790</v>
          </cell>
        </row>
        <row r="8372">
          <cell r="A8372" t="str">
            <v>SN2007-2XL</v>
          </cell>
          <cell r="B8372" t="str">
            <v>QN2007</v>
          </cell>
          <cell r="C8372" t="str">
            <v>ซาติน แขนสั้นขาสั้น women flower forest 2XL QC</v>
          </cell>
          <cell r="E8372">
            <v>0</v>
          </cell>
          <cell r="F8372">
            <v>890</v>
          </cell>
        </row>
        <row r="8373">
          <cell r="A8373" t="str">
            <v>SN2007-3XL</v>
          </cell>
          <cell r="B8373" t="str">
            <v>N2007</v>
          </cell>
          <cell r="C8373" t="str">
            <v>ซาติน แขนสั้นขาสั้น women flower forest 3XL</v>
          </cell>
          <cell r="E8373">
            <v>0</v>
          </cell>
          <cell r="F8373">
            <v>890</v>
          </cell>
        </row>
        <row r="8374">
          <cell r="A8374" t="str">
            <v>SN2007-L</v>
          </cell>
          <cell r="B8374" t="str">
            <v>N2007</v>
          </cell>
          <cell r="C8374" t="str">
            <v>ซาติน แขนสั้นขาสั้น women flower forest L</v>
          </cell>
          <cell r="E8374">
            <v>0</v>
          </cell>
          <cell r="F8374">
            <v>890</v>
          </cell>
        </row>
        <row r="8375">
          <cell r="A8375" t="str">
            <v>SN2007-M</v>
          </cell>
          <cell r="B8375" t="str">
            <v>N2007</v>
          </cell>
          <cell r="C8375" t="str">
            <v>ซาติน แขนสั้นขาสั้น women flower forest M</v>
          </cell>
          <cell r="E8375">
            <v>0</v>
          </cell>
          <cell r="F8375">
            <v>890</v>
          </cell>
        </row>
        <row r="8376">
          <cell r="A8376" t="str">
            <v>SN2007-XL</v>
          </cell>
          <cell r="B8376" t="str">
            <v>QN2007</v>
          </cell>
          <cell r="C8376" t="str">
            <v>ซาติน แขนสั้นขาสั้น women flower forest XL QC</v>
          </cell>
          <cell r="E8376">
            <v>0</v>
          </cell>
          <cell r="F8376">
            <v>890</v>
          </cell>
        </row>
        <row r="8377">
          <cell r="A8377" t="str">
            <v>SN2008-2XL</v>
          </cell>
          <cell r="B8377" t="str">
            <v>N2008</v>
          </cell>
          <cell r="C8377" t="str">
            <v>ซาติน แขนสั้นขาสั้น Portrait Tangerine 2XL  (กปก)</v>
          </cell>
          <cell r="E8377">
            <v>0</v>
          </cell>
          <cell r="F8377">
            <v>790</v>
          </cell>
        </row>
        <row r="8378">
          <cell r="A8378" t="str">
            <v>SN2008-3XL</v>
          </cell>
          <cell r="B8378" t="str">
            <v>N2008</v>
          </cell>
          <cell r="C8378" t="str">
            <v>ซาติน แขนสั้นขาสั้น Portrait Tangerine 3XL  (กปก)</v>
          </cell>
          <cell r="E8378">
            <v>1</v>
          </cell>
          <cell r="F8378">
            <v>790</v>
          </cell>
        </row>
        <row r="8379">
          <cell r="A8379" t="str">
            <v>SN2008-L</v>
          </cell>
          <cell r="B8379" t="str">
            <v>N2008</v>
          </cell>
          <cell r="C8379" t="str">
            <v>ซาติน แขนสั้นขาสั้น Portrait Tangerine L (กปก)</v>
          </cell>
          <cell r="E8379">
            <v>0</v>
          </cell>
          <cell r="F8379">
            <v>790</v>
          </cell>
        </row>
        <row r="8380">
          <cell r="A8380" t="str">
            <v>SN2008-M</v>
          </cell>
          <cell r="B8380" t="str">
            <v>N2008</v>
          </cell>
          <cell r="C8380" t="str">
            <v>ซาติน แขนสั้นขาสั้น Portrait Tangerine M (กปก)</v>
          </cell>
          <cell r="E8380">
            <v>0</v>
          </cell>
          <cell r="F8380">
            <v>790</v>
          </cell>
        </row>
        <row r="8381">
          <cell r="A8381" t="str">
            <v>SN2008-XL</v>
          </cell>
          <cell r="B8381" t="str">
            <v>N2008</v>
          </cell>
          <cell r="C8381" t="str">
            <v>ซาติน แขนสั้นขาสั้น Portrait Tangerine XL (กปก)</v>
          </cell>
          <cell r="E8381">
            <v>0</v>
          </cell>
          <cell r="F8381">
            <v>790</v>
          </cell>
        </row>
        <row r="8382">
          <cell r="A8382" t="str">
            <v>SN2010-2XL</v>
          </cell>
          <cell r="B8382" t="str">
            <v>N2010</v>
          </cell>
          <cell r="C8382" t="str">
            <v>ซาติน แขนสั้นขาสั้น Liliana Bloom (กปก) 2XL</v>
          </cell>
          <cell r="E8382">
            <v>2</v>
          </cell>
          <cell r="F8382">
            <v>890</v>
          </cell>
        </row>
        <row r="8383">
          <cell r="A8383" t="str">
            <v>SN2010-3XL</v>
          </cell>
          <cell r="B8383" t="str">
            <v>QN2010</v>
          </cell>
          <cell r="C8383" t="str">
            <v>ซาติน แขนสั้นขาสั้น Liliana Bloom (กปก) 3XL QC</v>
          </cell>
          <cell r="E8383">
            <v>0</v>
          </cell>
          <cell r="F8383">
            <v>890</v>
          </cell>
        </row>
        <row r="8384">
          <cell r="A8384" t="str">
            <v>SN2010-L</v>
          </cell>
          <cell r="B8384" t="str">
            <v>N2010</v>
          </cell>
          <cell r="C8384" t="str">
            <v>ซาติน แขนสั้นขาสั้น Liliana Bloom (กปก) L</v>
          </cell>
          <cell r="E8384">
            <v>0</v>
          </cell>
          <cell r="F8384">
            <v>890</v>
          </cell>
        </row>
        <row r="8385">
          <cell r="A8385" t="str">
            <v>SN2010-M</v>
          </cell>
          <cell r="B8385" t="str">
            <v>N2010</v>
          </cell>
          <cell r="C8385" t="str">
            <v>ซาติน แขนสั้นขาสั้น Liliana Bloom (กปก) M</v>
          </cell>
          <cell r="E8385">
            <v>0</v>
          </cell>
          <cell r="F8385">
            <v>890</v>
          </cell>
        </row>
        <row r="8386">
          <cell r="A8386" t="str">
            <v>SN2010-XL</v>
          </cell>
          <cell r="B8386" t="str">
            <v>N2010</v>
          </cell>
          <cell r="C8386" t="str">
            <v>ซาติน แขนสั้นขาสั้น Liliana Bloom (กปก) XL</v>
          </cell>
          <cell r="E8386">
            <v>2</v>
          </cell>
          <cell r="F8386">
            <v>890</v>
          </cell>
        </row>
        <row r="8387">
          <cell r="A8387" t="str">
            <v>SN2012-2XL</v>
          </cell>
          <cell r="B8387" t="str">
            <v>N2012</v>
          </cell>
          <cell r="C8387" t="str">
            <v>ซาติน แขนสั้นขาสั้น Falls Field (กปก) 2XL</v>
          </cell>
          <cell r="E8387">
            <v>2</v>
          </cell>
          <cell r="F8387">
            <v>890</v>
          </cell>
        </row>
        <row r="8388">
          <cell r="A8388" t="str">
            <v>SN2012-3XL</v>
          </cell>
          <cell r="B8388" t="str">
            <v>N2012</v>
          </cell>
          <cell r="C8388" t="str">
            <v>ซาติน แขนสั้นขาสั้น Falls Field (กปก) 3XL</v>
          </cell>
          <cell r="E8388">
            <v>0</v>
          </cell>
          <cell r="F8388">
            <v>890</v>
          </cell>
        </row>
        <row r="8389">
          <cell r="A8389" t="str">
            <v>SN2012-L</v>
          </cell>
          <cell r="B8389" t="str">
            <v>N2012</v>
          </cell>
          <cell r="C8389" t="str">
            <v>ซาติน แขนสั้นขาสั้น Falls Field (กปก) L</v>
          </cell>
          <cell r="E8389">
            <v>0</v>
          </cell>
          <cell r="F8389">
            <v>890</v>
          </cell>
        </row>
        <row r="8390">
          <cell r="A8390" t="str">
            <v>SN2012-M</v>
          </cell>
          <cell r="B8390" t="str">
            <v>N2012</v>
          </cell>
          <cell r="C8390" t="str">
            <v>ซาติน แขนสั้นขาสั้น Falls Field (กปก) M</v>
          </cell>
          <cell r="E8390">
            <v>4</v>
          </cell>
          <cell r="F8390">
            <v>890</v>
          </cell>
        </row>
        <row r="8391">
          <cell r="A8391" t="str">
            <v>SN2012-XL</v>
          </cell>
          <cell r="B8391" t="str">
            <v>N2012</v>
          </cell>
          <cell r="C8391" t="str">
            <v>ซาติน แขนสั้นขาสั้น Falls Field (กปก) XL</v>
          </cell>
          <cell r="E8391">
            <v>2</v>
          </cell>
          <cell r="F8391">
            <v>890</v>
          </cell>
        </row>
        <row r="8392">
          <cell r="A8392" t="str">
            <v>SN2013-2XL</v>
          </cell>
          <cell r="B8392" t="str">
            <v>N2013</v>
          </cell>
          <cell r="C8392" t="str">
            <v>ซาติน แขนสั้นขาสั้น Exotic Fruits (กปก) 2XL</v>
          </cell>
          <cell r="E8392">
            <v>0</v>
          </cell>
          <cell r="F8392">
            <v>890</v>
          </cell>
        </row>
        <row r="8393">
          <cell r="A8393" t="str">
            <v>SN2013-3XL</v>
          </cell>
          <cell r="B8393" t="str">
            <v>N2013</v>
          </cell>
          <cell r="C8393" t="str">
            <v>ซาติน แขนสั้นขาสั้น Exotic Fruits (กปก) 3XL</v>
          </cell>
          <cell r="E8393">
            <v>0</v>
          </cell>
          <cell r="F8393">
            <v>890</v>
          </cell>
        </row>
        <row r="8394">
          <cell r="A8394" t="str">
            <v>SN2013-L</v>
          </cell>
          <cell r="B8394" t="str">
            <v>QN2013</v>
          </cell>
          <cell r="C8394" t="str">
            <v>ซาติน แขนสั้นขาสั้น Exotic Fruits (กปก) L QC</v>
          </cell>
          <cell r="E8394">
            <v>0</v>
          </cell>
          <cell r="F8394">
            <v>890</v>
          </cell>
        </row>
        <row r="8395">
          <cell r="A8395" t="str">
            <v>SN2013-M</v>
          </cell>
          <cell r="B8395" t="str">
            <v>QN2013</v>
          </cell>
          <cell r="C8395" t="str">
            <v>ซาติน แขนสั้นขาสั้น Exotic Fruits (กปก) M QC</v>
          </cell>
          <cell r="E8395">
            <v>0</v>
          </cell>
          <cell r="F8395">
            <v>890</v>
          </cell>
        </row>
        <row r="8396">
          <cell r="A8396" t="str">
            <v>SN2013-XL</v>
          </cell>
          <cell r="B8396" t="str">
            <v>N2013</v>
          </cell>
          <cell r="C8396" t="str">
            <v>ซาติน แขนสั้นขาสั้น Exotic Fruits (กปก) XL</v>
          </cell>
          <cell r="E8396">
            <v>0</v>
          </cell>
          <cell r="F8396">
            <v>890</v>
          </cell>
        </row>
        <row r="8397">
          <cell r="A8397" t="str">
            <v>SN2014-2XL</v>
          </cell>
          <cell r="B8397" t="str">
            <v>N2014</v>
          </cell>
          <cell r="C8397" t="str">
            <v>ซาติน แขนสั้นขาสั้น Bhutan Peace (กปก) 2XL</v>
          </cell>
          <cell r="E8397">
            <v>6</v>
          </cell>
          <cell r="F8397">
            <v>890</v>
          </cell>
        </row>
        <row r="8398">
          <cell r="A8398" t="str">
            <v>SN2014-3XL</v>
          </cell>
          <cell r="B8398" t="str">
            <v>N2014</v>
          </cell>
          <cell r="C8398" t="str">
            <v>ซาติน แขนสั้นขาสั้น Bhutan Peace (กปก) 3XL</v>
          </cell>
          <cell r="E8398">
            <v>11</v>
          </cell>
          <cell r="F8398">
            <v>890</v>
          </cell>
        </row>
        <row r="8399">
          <cell r="A8399" t="str">
            <v>SN2014-L</v>
          </cell>
          <cell r="B8399" t="str">
            <v>N2014</v>
          </cell>
          <cell r="C8399" t="str">
            <v>ซาติน แขนสั้นขาสั้น Bhutan Peace (กปก) L</v>
          </cell>
          <cell r="E8399">
            <v>0</v>
          </cell>
          <cell r="F8399">
            <v>890</v>
          </cell>
        </row>
        <row r="8400">
          <cell r="A8400" t="str">
            <v>SN2014-M</v>
          </cell>
          <cell r="B8400" t="str">
            <v>N2014</v>
          </cell>
          <cell r="C8400" t="str">
            <v>ซาติน แขนสั้นขาสั้น Bhutan Peace (กปก) M</v>
          </cell>
          <cell r="E8400">
            <v>0</v>
          </cell>
          <cell r="F8400">
            <v>890</v>
          </cell>
        </row>
        <row r="8401">
          <cell r="A8401" t="str">
            <v>SN2014-XL</v>
          </cell>
          <cell r="B8401" t="str">
            <v>N2014</v>
          </cell>
          <cell r="C8401" t="str">
            <v>ซาติน แขนสั้นขาสั้น Bhutan Peace (กปก) XL</v>
          </cell>
          <cell r="E8401">
            <v>4</v>
          </cell>
          <cell r="F8401">
            <v>890</v>
          </cell>
        </row>
        <row r="8402">
          <cell r="A8402" t="str">
            <v>SN2015-2XL</v>
          </cell>
          <cell r="B8402" t="str">
            <v>N2015</v>
          </cell>
          <cell r="C8402" t="str">
            <v>ซาติน แขนสั้นขาสั้น zoo tropical ขอบแดง 2XL</v>
          </cell>
          <cell r="E8402">
            <v>0</v>
          </cell>
          <cell r="F8402">
            <v>790</v>
          </cell>
        </row>
        <row r="8403">
          <cell r="A8403" t="str">
            <v>SN2015-3XL</v>
          </cell>
          <cell r="B8403" t="str">
            <v>N2015</v>
          </cell>
          <cell r="C8403" t="str">
            <v>ซาติน แขนสั้นขาสั้น zoo tropical ขอบแดง 3XL</v>
          </cell>
          <cell r="E8403">
            <v>0</v>
          </cell>
          <cell r="F8403">
            <v>790</v>
          </cell>
        </row>
        <row r="8404">
          <cell r="A8404" t="str">
            <v>SN2015-L</v>
          </cell>
          <cell r="B8404" t="str">
            <v>N2015</v>
          </cell>
          <cell r="C8404" t="str">
            <v>ซาติน แขนสั้นขาสั้น zoo tropical ขอบแดง L</v>
          </cell>
          <cell r="E8404">
            <v>0</v>
          </cell>
          <cell r="F8404">
            <v>790</v>
          </cell>
        </row>
        <row r="8405">
          <cell r="A8405" t="str">
            <v>SN2015-M</v>
          </cell>
          <cell r="B8405" t="str">
            <v>N2015</v>
          </cell>
          <cell r="C8405" t="str">
            <v>ซาติน แขนสั้นขาสั้น zoo tropical ขอบแดง M</v>
          </cell>
          <cell r="E8405">
            <v>0</v>
          </cell>
          <cell r="F8405">
            <v>790</v>
          </cell>
        </row>
        <row r="8406">
          <cell r="A8406" t="str">
            <v>SN2015-XL</v>
          </cell>
          <cell r="B8406" t="str">
            <v>N2015</v>
          </cell>
          <cell r="C8406" t="str">
            <v>ซาติน แขนสั้นขาสั้น zoo tropical ขอบแดง XL</v>
          </cell>
          <cell r="E8406">
            <v>0</v>
          </cell>
          <cell r="F8406">
            <v>790</v>
          </cell>
        </row>
        <row r="8407">
          <cell r="A8407" t="str">
            <v>SN2016-2XL</v>
          </cell>
          <cell r="B8407" t="str">
            <v>N2016</v>
          </cell>
          <cell r="C8407" t="str">
            <v>ซาติน แขนสั้นขาสั้น Sunny Kitty (กปก) 2XL</v>
          </cell>
          <cell r="E8407">
            <v>0</v>
          </cell>
          <cell r="F8407">
            <v>890</v>
          </cell>
        </row>
        <row r="8408">
          <cell r="A8408" t="str">
            <v>SN2016-3XL</v>
          </cell>
          <cell r="B8408" t="str">
            <v>N2016</v>
          </cell>
          <cell r="C8408" t="str">
            <v>ซาติน แขนสั้นขาสั้น Sunny Kitty (กปก) 3XL</v>
          </cell>
          <cell r="E8408">
            <v>0</v>
          </cell>
          <cell r="F8408">
            <v>890</v>
          </cell>
        </row>
        <row r="8409">
          <cell r="A8409" t="str">
            <v>SN2016-L</v>
          </cell>
          <cell r="B8409" t="str">
            <v>N2016</v>
          </cell>
          <cell r="C8409" t="str">
            <v>ซาติน แขนสั้นขาสั้น Sunny Kitty (กปก) L</v>
          </cell>
          <cell r="E8409">
            <v>0</v>
          </cell>
          <cell r="F8409">
            <v>890</v>
          </cell>
        </row>
        <row r="8410">
          <cell r="A8410" t="str">
            <v>SN2016-M</v>
          </cell>
          <cell r="B8410" t="str">
            <v>N2016</v>
          </cell>
          <cell r="C8410" t="str">
            <v>ซาติน แขนสั้นขาสั้น Sunny Kitty (กปก) M</v>
          </cell>
          <cell r="E8410">
            <v>0</v>
          </cell>
          <cell r="F8410">
            <v>890</v>
          </cell>
        </row>
        <row r="8411">
          <cell r="A8411" t="str">
            <v>SN2016-XL</v>
          </cell>
          <cell r="B8411" t="str">
            <v>N2016</v>
          </cell>
          <cell r="C8411" t="str">
            <v>ซาติน แขนสั้นขาสั้น Sunny Kitty (กปก) XL</v>
          </cell>
          <cell r="E8411">
            <v>2</v>
          </cell>
          <cell r="F8411">
            <v>890</v>
          </cell>
        </row>
        <row r="8412">
          <cell r="A8412" t="str">
            <v>SN2017-2XL</v>
          </cell>
          <cell r="B8412" t="str">
            <v>N2017</v>
          </cell>
          <cell r="C8412" t="str">
            <v>ซาติน แขนสั้นขาสั้น Ginger Kitty 2XL  (กปก)</v>
          </cell>
          <cell r="E8412">
            <v>0</v>
          </cell>
          <cell r="F8412">
            <v>890</v>
          </cell>
        </row>
        <row r="8413">
          <cell r="A8413" t="str">
            <v>SN2017-3XL</v>
          </cell>
          <cell r="B8413" t="str">
            <v>N2017</v>
          </cell>
          <cell r="C8413" t="str">
            <v>ซาติน แขนสั้นขาสั้น Ginger Kitty 3XL  (กปก)</v>
          </cell>
          <cell r="E8413">
            <v>1</v>
          </cell>
          <cell r="F8413">
            <v>890</v>
          </cell>
        </row>
        <row r="8414">
          <cell r="A8414" t="str">
            <v>SN2017-L</v>
          </cell>
          <cell r="B8414" t="str">
            <v>N2017</v>
          </cell>
          <cell r="C8414" t="str">
            <v>ซาติน แขนสั้นขาสั้น Ginger Kitty L (กปก)</v>
          </cell>
          <cell r="E8414">
            <v>0</v>
          </cell>
          <cell r="F8414">
            <v>890</v>
          </cell>
        </row>
        <row r="8415">
          <cell r="A8415" t="str">
            <v>SN2017-M</v>
          </cell>
          <cell r="B8415" t="str">
            <v>N2017</v>
          </cell>
          <cell r="C8415" t="str">
            <v>ซาติน แขนสั้นขาสั้น Ginger Kitty M (กปก)</v>
          </cell>
          <cell r="E8415">
            <v>0</v>
          </cell>
          <cell r="F8415">
            <v>890</v>
          </cell>
        </row>
        <row r="8416">
          <cell r="A8416" t="str">
            <v>SN2017-XL</v>
          </cell>
          <cell r="B8416" t="str">
            <v>N2017</v>
          </cell>
          <cell r="C8416" t="str">
            <v>ซาติน แขนสั้นขาสั้น Ginger Kitty XL (กปก)</v>
          </cell>
          <cell r="E8416">
            <v>0</v>
          </cell>
          <cell r="F8416">
            <v>890</v>
          </cell>
        </row>
        <row r="8417">
          <cell r="A8417" t="str">
            <v>SN2018-2XL</v>
          </cell>
          <cell r="B8417" t="str">
            <v>N2018</v>
          </cell>
          <cell r="C8417" t="str">
            <v>ซาติน แขนสั้นขาสั้น Hansel and Gretel (กปก) 2XL</v>
          </cell>
          <cell r="E8417">
            <v>2</v>
          </cell>
          <cell r="F8417">
            <v>890</v>
          </cell>
        </row>
        <row r="8418">
          <cell r="A8418" t="str">
            <v>SN2018-3XL</v>
          </cell>
          <cell r="B8418" t="str">
            <v>N2018</v>
          </cell>
          <cell r="C8418" t="str">
            <v>ซาติน แขนสั้นขาสั้น Hansel and Gretel (กปก) 3XL</v>
          </cell>
          <cell r="E8418">
            <v>2</v>
          </cell>
          <cell r="F8418">
            <v>890</v>
          </cell>
        </row>
        <row r="8419">
          <cell r="A8419" t="str">
            <v>SN2018-L</v>
          </cell>
          <cell r="B8419" t="str">
            <v>N2018</v>
          </cell>
          <cell r="C8419" t="str">
            <v>ซาติน แขนสั้นขาสั้น Hansel and Gretel (กปก) L</v>
          </cell>
          <cell r="E8419">
            <v>11</v>
          </cell>
          <cell r="F8419">
            <v>890</v>
          </cell>
        </row>
        <row r="8420">
          <cell r="A8420" t="str">
            <v>SN2018-M</v>
          </cell>
          <cell r="B8420" t="str">
            <v>N2018</v>
          </cell>
          <cell r="C8420" t="str">
            <v>ซาติน แขนสั้นขาสั้น Hansel and Gretel (กปก) M</v>
          </cell>
          <cell r="E8420">
            <v>6</v>
          </cell>
          <cell r="F8420">
            <v>890</v>
          </cell>
        </row>
        <row r="8421">
          <cell r="A8421" t="str">
            <v>SN2018-XL</v>
          </cell>
          <cell r="B8421" t="str">
            <v>N2018</v>
          </cell>
          <cell r="C8421" t="str">
            <v>ซาติน แขนสั้นขาสั้น Hansel and Gretel (กปก) XL</v>
          </cell>
          <cell r="E8421">
            <v>0</v>
          </cell>
          <cell r="F8421">
            <v>890</v>
          </cell>
        </row>
        <row r="8422">
          <cell r="A8422" t="str">
            <v>SN2020-2XL</v>
          </cell>
          <cell r="B8422" t="str">
            <v>N2020</v>
          </cell>
          <cell r="C8422" t="str">
            <v>ซาติน แขนสั้นขาสั้น Bharata Elephant (มีกปก) 2XL</v>
          </cell>
          <cell r="E8422">
            <v>4</v>
          </cell>
          <cell r="F8422">
            <v>890</v>
          </cell>
        </row>
        <row r="8423">
          <cell r="A8423" t="str">
            <v>SN2020-3XL</v>
          </cell>
          <cell r="B8423" t="str">
            <v>N2020</v>
          </cell>
          <cell r="C8423" t="str">
            <v>ซาติน แขนสั้นขาสั้น Bharata Elephant (มีกปก) 3XL</v>
          </cell>
          <cell r="E8423">
            <v>4</v>
          </cell>
          <cell r="F8423">
            <v>890</v>
          </cell>
        </row>
        <row r="8424">
          <cell r="A8424" t="str">
            <v>SN2020-L</v>
          </cell>
          <cell r="B8424" t="str">
            <v>N2020</v>
          </cell>
          <cell r="C8424" t="str">
            <v>ซาติน แขนสั้นขาสั้น Bharata Elephant (มีกปก) L</v>
          </cell>
          <cell r="E8424">
            <v>12</v>
          </cell>
          <cell r="F8424">
            <v>890</v>
          </cell>
        </row>
        <row r="8425">
          <cell r="A8425" t="str">
            <v>SN2020-M</v>
          </cell>
          <cell r="B8425" t="str">
            <v>N2020</v>
          </cell>
          <cell r="C8425" t="str">
            <v>ซาติน แขนสั้นขาสั้น Bharata Elephant (มีกปก) M</v>
          </cell>
          <cell r="E8425">
            <v>16</v>
          </cell>
          <cell r="F8425">
            <v>890</v>
          </cell>
        </row>
        <row r="8426">
          <cell r="A8426" t="str">
            <v>SN2020-XL</v>
          </cell>
          <cell r="B8426" t="str">
            <v>N2020</v>
          </cell>
          <cell r="C8426" t="str">
            <v>ซาติน แขนสั้นขาสั้น Bharata Elephant (มีกปก) XL</v>
          </cell>
          <cell r="E8426">
            <v>4</v>
          </cell>
          <cell r="F8426">
            <v>890</v>
          </cell>
        </row>
        <row r="8427">
          <cell r="A8427" t="str">
            <v>SN2021-2XL</v>
          </cell>
          <cell r="B8427" t="str">
            <v>N2021</v>
          </cell>
          <cell r="C8427" t="str">
            <v>ซาติน แขนสั้นขาสั้น Greenery Queen (มีกปก) 2XL</v>
          </cell>
          <cell r="E8427">
            <v>7</v>
          </cell>
          <cell r="F8427">
            <v>890</v>
          </cell>
        </row>
        <row r="8428">
          <cell r="A8428" t="str">
            <v>SN2021-3XL</v>
          </cell>
          <cell r="B8428" t="str">
            <v>N2021</v>
          </cell>
          <cell r="C8428" t="str">
            <v>ซาติน แขนสั้นขาสั้น Greenery Queen (มีกปก) 3XL</v>
          </cell>
          <cell r="E8428">
            <v>9</v>
          </cell>
          <cell r="F8428">
            <v>890</v>
          </cell>
        </row>
        <row r="8429">
          <cell r="A8429" t="str">
            <v>SN2021-L</v>
          </cell>
          <cell r="B8429" t="str">
            <v>N2021</v>
          </cell>
          <cell r="C8429" t="str">
            <v>ซาติน แขนสั้นขาสั้น Greenery Queen (มีกปก) L</v>
          </cell>
          <cell r="E8429">
            <v>20</v>
          </cell>
          <cell r="F8429">
            <v>890</v>
          </cell>
        </row>
        <row r="8430">
          <cell r="A8430" t="str">
            <v>SN2021-M</v>
          </cell>
          <cell r="B8430" t="str">
            <v>N2021</v>
          </cell>
          <cell r="C8430" t="str">
            <v>ซาติน แขนสั้นขาสั้น Greenery Queen (มีกปก) M</v>
          </cell>
          <cell r="E8430">
            <v>15</v>
          </cell>
          <cell r="F8430">
            <v>890</v>
          </cell>
        </row>
        <row r="8431">
          <cell r="A8431" t="str">
            <v>SN2021-XL</v>
          </cell>
          <cell r="B8431" t="str">
            <v>N2021</v>
          </cell>
          <cell r="C8431" t="str">
            <v>ซาติน แขนสั้นขาสั้น Greenery Queen (มีกปก) XL</v>
          </cell>
          <cell r="E8431">
            <v>10</v>
          </cell>
          <cell r="F8431">
            <v>890</v>
          </cell>
        </row>
        <row r="8432">
          <cell r="A8432" t="str">
            <v>SN2022-2XL</v>
          </cell>
          <cell r="B8432" t="str">
            <v>N2022</v>
          </cell>
          <cell r="C8432" t="str">
            <v>ซาติน แขนสั้นขาสั้น Crayon Pampas (กปก) 2XL</v>
          </cell>
          <cell r="E8432">
            <v>5</v>
          </cell>
          <cell r="F8432">
            <v>790</v>
          </cell>
        </row>
        <row r="8433">
          <cell r="A8433" t="str">
            <v>SN2022-3XL</v>
          </cell>
          <cell r="B8433" t="str">
            <v>N2022</v>
          </cell>
          <cell r="C8433" t="str">
            <v>ซาติน แขนสั้นขาสั้น Crayon Pampas (กปก) 3XL</v>
          </cell>
          <cell r="E8433">
            <v>6</v>
          </cell>
          <cell r="F8433">
            <v>790</v>
          </cell>
        </row>
        <row r="8434">
          <cell r="A8434" t="str">
            <v>SN2022-L</v>
          </cell>
          <cell r="B8434" t="str">
            <v>N2022</v>
          </cell>
          <cell r="C8434" t="str">
            <v>ซาติน แขนสั้นขาสั้น Crayon Pampas (กปก) L</v>
          </cell>
          <cell r="E8434">
            <v>2</v>
          </cell>
          <cell r="F8434">
            <v>790</v>
          </cell>
        </row>
        <row r="8435">
          <cell r="A8435" t="str">
            <v>SN2022-M</v>
          </cell>
          <cell r="B8435" t="str">
            <v>N2022</v>
          </cell>
          <cell r="C8435" t="str">
            <v>ซาติน แขนสั้นขาสั้น Crayon Pampas (กปก) M</v>
          </cell>
          <cell r="E8435">
            <v>8</v>
          </cell>
          <cell r="F8435">
            <v>790</v>
          </cell>
        </row>
        <row r="8436">
          <cell r="A8436" t="str">
            <v>SN2022-XL</v>
          </cell>
          <cell r="B8436" t="str">
            <v>N2022</v>
          </cell>
          <cell r="C8436" t="str">
            <v>ซาติน แขนสั้นขาสั้น Crayon Pampas (กปก) XL</v>
          </cell>
          <cell r="E8436">
            <v>12</v>
          </cell>
          <cell r="F8436">
            <v>790</v>
          </cell>
        </row>
        <row r="8437">
          <cell r="A8437" t="str">
            <v>SN2023-2XL</v>
          </cell>
          <cell r="B8437" t="str">
            <v>N2023</v>
          </cell>
          <cell r="C8437" t="str">
            <v>ซาติน แขนสั้นขาสั้น Ballet Valley (กปก) 2XL</v>
          </cell>
          <cell r="E8437">
            <v>9</v>
          </cell>
          <cell r="F8437">
            <v>890</v>
          </cell>
        </row>
        <row r="8438">
          <cell r="A8438" t="str">
            <v>SN2023-3XL</v>
          </cell>
          <cell r="B8438" t="str">
            <v>N2023</v>
          </cell>
          <cell r="C8438" t="str">
            <v>ซาติน แขนสั้นขาสั้น Ballet Valley (กปก) 3XL</v>
          </cell>
          <cell r="E8438">
            <v>10</v>
          </cell>
          <cell r="F8438">
            <v>890</v>
          </cell>
        </row>
        <row r="8439">
          <cell r="A8439" t="str">
            <v>SN2023-L</v>
          </cell>
          <cell r="B8439" t="str">
            <v>N2023</v>
          </cell>
          <cell r="C8439" t="str">
            <v>ซาติน แขนสั้นขาสั้น Ballet Valley (กปก) L</v>
          </cell>
          <cell r="E8439">
            <v>6</v>
          </cell>
          <cell r="F8439">
            <v>890</v>
          </cell>
        </row>
        <row r="8440">
          <cell r="A8440" t="str">
            <v>SN2023-M</v>
          </cell>
          <cell r="B8440" t="str">
            <v>N2023</v>
          </cell>
          <cell r="C8440" t="str">
            <v>ซาติน แขนสั้นขาสั้น Ballet Valley (กปก) M</v>
          </cell>
          <cell r="E8440">
            <v>7</v>
          </cell>
          <cell r="F8440">
            <v>890</v>
          </cell>
        </row>
        <row r="8441">
          <cell r="A8441" t="str">
            <v>SN2023-XL</v>
          </cell>
          <cell r="B8441" t="str">
            <v>N2023</v>
          </cell>
          <cell r="C8441" t="str">
            <v>ซาติน แขนสั้นขาสั้น Ballet Valley (กปก) XL</v>
          </cell>
          <cell r="E8441">
            <v>15</v>
          </cell>
          <cell r="F8441">
            <v>890</v>
          </cell>
        </row>
        <row r="8442">
          <cell r="A8442" t="str">
            <v>SN2028-2XL</v>
          </cell>
          <cell r="B8442" t="str">
            <v>N2028</v>
          </cell>
          <cell r="C8442" t="str">
            <v>ซาติน แขนสั้นขาสั้น Jolly Bear 2XL (กปก)</v>
          </cell>
          <cell r="E8442">
            <v>11</v>
          </cell>
          <cell r="F8442">
            <v>890</v>
          </cell>
        </row>
        <row r="8443">
          <cell r="A8443" t="str">
            <v>SN2028-3XL</v>
          </cell>
          <cell r="B8443" t="str">
            <v>N2028</v>
          </cell>
          <cell r="C8443" t="str">
            <v>ซาติน แขนสั้นขาสั้น Jolly Bear 3XL (กปก)</v>
          </cell>
          <cell r="E8443">
            <v>11</v>
          </cell>
          <cell r="F8443">
            <v>890</v>
          </cell>
        </row>
        <row r="8444">
          <cell r="A8444" t="str">
            <v>SN2028-L</v>
          </cell>
          <cell r="B8444" t="str">
            <v>N2028</v>
          </cell>
          <cell r="C8444" t="str">
            <v>ซาติน แขนสั้นขาสั้น Jolly Bear L (กปก)</v>
          </cell>
          <cell r="E8444">
            <v>11</v>
          </cell>
          <cell r="F8444">
            <v>890</v>
          </cell>
        </row>
        <row r="8445">
          <cell r="A8445" t="str">
            <v>SN2028-M</v>
          </cell>
          <cell r="B8445" t="str">
            <v>N2028</v>
          </cell>
          <cell r="C8445" t="str">
            <v>ซาติน แขนสั้นขาสั้น Jolly Bear M (กปก)</v>
          </cell>
          <cell r="E8445">
            <v>13</v>
          </cell>
          <cell r="F8445">
            <v>890</v>
          </cell>
        </row>
        <row r="8446">
          <cell r="A8446" t="str">
            <v>SN2028-XL</v>
          </cell>
          <cell r="B8446" t="str">
            <v>N2028</v>
          </cell>
          <cell r="C8446" t="str">
            <v>ซาติน แขนสั้นขาสั้น Jolly Bear XL (กปก)</v>
          </cell>
          <cell r="E8446">
            <v>8</v>
          </cell>
          <cell r="F8446">
            <v>890</v>
          </cell>
        </row>
        <row r="8447">
          <cell r="A8447" t="str">
            <v>SN2033-2XL</v>
          </cell>
          <cell r="B8447" t="str">
            <v>N2033</v>
          </cell>
          <cell r="C8447" t="str">
            <v>ซาติน แขนสั้นขาสั้น Christmas Journey 2XL (กปก)</v>
          </cell>
          <cell r="E8447">
            <v>6</v>
          </cell>
          <cell r="F8447">
            <v>890</v>
          </cell>
        </row>
        <row r="8448">
          <cell r="A8448" t="str">
            <v>SN2033-3XL</v>
          </cell>
          <cell r="B8448" t="str">
            <v>N2033</v>
          </cell>
          <cell r="C8448" t="str">
            <v>ซาติน แขนสั้นขาสั้น Christmas Journey 3XL (กปก)</v>
          </cell>
          <cell r="E8448">
            <v>8</v>
          </cell>
          <cell r="F8448">
            <v>890</v>
          </cell>
        </row>
        <row r="8449">
          <cell r="A8449" t="str">
            <v>SN2033-L</v>
          </cell>
          <cell r="B8449" t="str">
            <v>N2033</v>
          </cell>
          <cell r="C8449" t="str">
            <v>ซาติน แขนสั้นขาสั้น Christmas Journey L (กปก)</v>
          </cell>
          <cell r="E8449">
            <v>10</v>
          </cell>
          <cell r="F8449">
            <v>890</v>
          </cell>
        </row>
        <row r="8450">
          <cell r="A8450" t="str">
            <v>SN2033-M</v>
          </cell>
          <cell r="B8450" t="str">
            <v>N2033</v>
          </cell>
          <cell r="C8450" t="str">
            <v>ซาติน แขนสั้นขาสั้น Christmas Journey M (กปก)</v>
          </cell>
          <cell r="E8450">
            <v>8</v>
          </cell>
          <cell r="F8450">
            <v>890</v>
          </cell>
        </row>
        <row r="8451">
          <cell r="A8451" t="str">
            <v>SN2033-XL</v>
          </cell>
          <cell r="B8451" t="str">
            <v>N2033</v>
          </cell>
          <cell r="C8451" t="str">
            <v>ซาติน แขนสั้นขาสั้น Christmas Journey XL (กปก)</v>
          </cell>
          <cell r="E8451">
            <v>10</v>
          </cell>
          <cell r="F8451">
            <v>890</v>
          </cell>
        </row>
        <row r="8452">
          <cell r="A8452" t="str">
            <v>SN3001-2XL</v>
          </cell>
          <cell r="B8452" t="str">
            <v>N3001</v>
          </cell>
          <cell r="C8452" t="str">
            <v>ซาติน แขนสั้นขาสั้น เสื้อขาว กางเกงพาสเทล ดอกไม้ 2XL  (กปก)</v>
          </cell>
          <cell r="E8452">
            <v>4</v>
          </cell>
          <cell r="F8452">
            <v>790</v>
          </cell>
        </row>
        <row r="8453">
          <cell r="A8453" t="str">
            <v>SN3001-L</v>
          </cell>
          <cell r="B8453" t="str">
            <v>N3001</v>
          </cell>
          <cell r="C8453" t="str">
            <v>ซาติน แขนสั้นขาสั้น เสื้อขาว กางเกงพาสเทล ดอกไม้ L (กปก)</v>
          </cell>
          <cell r="E8453">
            <v>4</v>
          </cell>
          <cell r="F8453">
            <v>790</v>
          </cell>
        </row>
        <row r="8454">
          <cell r="A8454" t="str">
            <v>SN3001-M</v>
          </cell>
          <cell r="B8454" t="str">
            <v>QN3001</v>
          </cell>
          <cell r="C8454" t="str">
            <v>ซาติน แขนสั้นขาสั้น เสื้อขาว กางเกงพาสเทล ดอกไม้ M (กปก) QC</v>
          </cell>
          <cell r="E8454">
            <v>0</v>
          </cell>
          <cell r="F8454">
            <v>790</v>
          </cell>
        </row>
        <row r="8455">
          <cell r="A8455" t="str">
            <v>SN3001-XL</v>
          </cell>
          <cell r="B8455" t="str">
            <v>N3001</v>
          </cell>
          <cell r="C8455" t="str">
            <v>ซาติน แขนสั้นขาสั้น เสื้อขาว กางเกงพาสเทล ดอกไม้ XL (กปก)</v>
          </cell>
          <cell r="E8455">
            <v>7</v>
          </cell>
          <cell r="F8455">
            <v>790</v>
          </cell>
        </row>
        <row r="8456">
          <cell r="A8456" t="str">
            <v>SN3002-2XL</v>
          </cell>
          <cell r="B8456" t="str">
            <v>N3002</v>
          </cell>
          <cell r="C8456" t="str">
            <v>ซาติน แขนสั้นขาสั้น เสื้อขาว กางเกงพาสเทลฟ้า 2XL  (กปก)</v>
          </cell>
          <cell r="E8456">
            <v>3</v>
          </cell>
          <cell r="F8456">
            <v>790</v>
          </cell>
        </row>
        <row r="8457">
          <cell r="A8457" t="str">
            <v>SN3002-L</v>
          </cell>
          <cell r="B8457" t="str">
            <v>N3002</v>
          </cell>
          <cell r="C8457" t="str">
            <v>ซาติน แขนสั้นขาสั้น เสื้อขาว กางเกงพาสเทลฟ้า L (กปก)</v>
          </cell>
          <cell r="E8457">
            <v>0</v>
          </cell>
          <cell r="F8457">
            <v>790</v>
          </cell>
        </row>
        <row r="8458">
          <cell r="A8458" t="str">
            <v>SN3002-M</v>
          </cell>
          <cell r="B8458" t="str">
            <v>N3002</v>
          </cell>
          <cell r="C8458" t="str">
            <v>ซาติน แขนสั้นขาสั้น เสื้อขาว กางเกงพาสเทลฟ้า M (กปก)</v>
          </cell>
          <cell r="E8458">
            <v>0</v>
          </cell>
          <cell r="F8458">
            <v>790</v>
          </cell>
        </row>
        <row r="8459">
          <cell r="A8459" t="str">
            <v>SN3002-XL</v>
          </cell>
          <cell r="B8459" t="str">
            <v>N3002</v>
          </cell>
          <cell r="C8459" t="str">
            <v>ซาติน แขนสั้นขาสั้น เสื้อขาว กางเกงพาสเทลฟ้า XL (กปก)</v>
          </cell>
          <cell r="E8459">
            <v>1</v>
          </cell>
          <cell r="F8459">
            <v>790</v>
          </cell>
        </row>
        <row r="8460">
          <cell r="A8460" t="str">
            <v>SN3003-2XL</v>
          </cell>
          <cell r="B8460" t="str">
            <v>N3003</v>
          </cell>
          <cell r="C8460" t="str">
            <v>ซาติน แขนสั้นขาสั้น เสื้อขาว กางเกงพาสเทล ชมพู 2XL  (กปก)</v>
          </cell>
          <cell r="E8460">
            <v>3</v>
          </cell>
          <cell r="F8460">
            <v>790</v>
          </cell>
        </row>
        <row r="8461">
          <cell r="A8461" t="str">
            <v>SN3003-L</v>
          </cell>
          <cell r="B8461" t="str">
            <v>N3003</v>
          </cell>
          <cell r="C8461" t="str">
            <v>ซาติน แขนสั้นขาสั้น เสื้อขาว กางเกงพาสเทล ชมพู L (กปก)</v>
          </cell>
          <cell r="E8461">
            <v>0</v>
          </cell>
          <cell r="F8461">
            <v>790</v>
          </cell>
        </row>
        <row r="8462">
          <cell r="A8462" t="str">
            <v>SN3003-M</v>
          </cell>
          <cell r="B8462" t="str">
            <v>N3003</v>
          </cell>
          <cell r="C8462" t="str">
            <v>ซาติน แขนสั้นขาสั้น เสื้อขาว กางเกงพาสเทล ชมพู M (กปก)</v>
          </cell>
          <cell r="E8462">
            <v>0</v>
          </cell>
          <cell r="F8462">
            <v>790</v>
          </cell>
        </row>
        <row r="8463">
          <cell r="A8463" t="str">
            <v>SN3003-XL</v>
          </cell>
          <cell r="B8463" t="str">
            <v>N3003</v>
          </cell>
          <cell r="C8463" t="str">
            <v>ซาติน แขนสั้นขาสั้น เสื้อขาว กางเกงพาสเทล ชมพู XL (กปก)</v>
          </cell>
          <cell r="E8463">
            <v>6</v>
          </cell>
          <cell r="F8463">
            <v>790</v>
          </cell>
        </row>
        <row r="8464">
          <cell r="A8464" t="str">
            <v>SN3004-2XL</v>
          </cell>
          <cell r="B8464" t="str">
            <v>N3004</v>
          </cell>
          <cell r="C8464" t="str">
            <v>ซาติน แขนสั้นขาสั้น BALLEY BEAR PINK HEART 2XL (กปก)</v>
          </cell>
          <cell r="E8464">
            <v>0</v>
          </cell>
          <cell r="F8464">
            <v>790</v>
          </cell>
        </row>
        <row r="8465">
          <cell r="A8465" t="str">
            <v>SN3004-L</v>
          </cell>
          <cell r="B8465" t="str">
            <v>N3004</v>
          </cell>
          <cell r="C8465" t="str">
            <v>ซาติน แขนสั้นขาสั้น BALLEY BEAR PINK HEART L (กปก)</v>
          </cell>
          <cell r="E8465">
            <v>0</v>
          </cell>
          <cell r="F8465">
            <v>790</v>
          </cell>
        </row>
        <row r="8466">
          <cell r="A8466" t="str">
            <v>SN3004-M</v>
          </cell>
          <cell r="B8466" t="str">
            <v>N3004</v>
          </cell>
          <cell r="C8466" t="str">
            <v>ซาติน แขนสั้นขาสั้น BALLEY BEAR PINK HEART M (กปก)</v>
          </cell>
          <cell r="E8466">
            <v>0</v>
          </cell>
          <cell r="F8466">
            <v>790</v>
          </cell>
        </row>
        <row r="8467">
          <cell r="A8467" t="str">
            <v>SN3004-XL</v>
          </cell>
          <cell r="B8467" t="str">
            <v>N3004</v>
          </cell>
          <cell r="C8467" t="str">
            <v>ซาติน แขนสั้นขาสั้น BALLEY BEAR PINK HEART XL (กปก)</v>
          </cell>
          <cell r="E8467">
            <v>0</v>
          </cell>
          <cell r="F8467">
            <v>790</v>
          </cell>
        </row>
        <row r="8468">
          <cell r="A8468" t="str">
            <v>SN3005-2XL</v>
          </cell>
          <cell r="B8468" t="str">
            <v>N3005</v>
          </cell>
          <cell r="C8468" t="str">
            <v>ซาติน แขนสั้นขาสั้น พาสเทล7สี 2XL (กปก)</v>
          </cell>
          <cell r="E8468">
            <v>0</v>
          </cell>
          <cell r="F8468">
            <v>790</v>
          </cell>
        </row>
        <row r="8469">
          <cell r="A8469" t="str">
            <v>SN3005-L</v>
          </cell>
          <cell r="B8469" t="str">
            <v>N3005</v>
          </cell>
          <cell r="C8469" t="str">
            <v>ซาติน แขนสั้นขาสั้น พาสเทล7สี L (กปก)</v>
          </cell>
          <cell r="E8469">
            <v>0</v>
          </cell>
          <cell r="F8469">
            <v>790</v>
          </cell>
        </row>
        <row r="8470">
          <cell r="A8470" t="str">
            <v>SN3005-M</v>
          </cell>
          <cell r="B8470" t="str">
            <v>N3005</v>
          </cell>
          <cell r="C8470" t="str">
            <v>ซาติน แขนสั้นขาสั้น พาสเทล7สี M (กปก)</v>
          </cell>
          <cell r="E8470">
            <v>0</v>
          </cell>
          <cell r="F8470">
            <v>790</v>
          </cell>
        </row>
        <row r="8471">
          <cell r="A8471" t="str">
            <v>SN3005-XL</v>
          </cell>
          <cell r="B8471" t="str">
            <v>N3005</v>
          </cell>
          <cell r="C8471" t="str">
            <v>ซาติน แขนสั้นขาสั้น พาสเทล7สี XL (กปก)</v>
          </cell>
          <cell r="E8471">
            <v>0</v>
          </cell>
          <cell r="F8471">
            <v>790</v>
          </cell>
        </row>
        <row r="8472">
          <cell r="A8472" t="str">
            <v>SN3006-2XL</v>
          </cell>
          <cell r="B8472" t="str">
            <v>QN3006</v>
          </cell>
          <cell r="C8472" t="str">
            <v>ซาติน แขนสั้นขาสั้น ม้าลาย พื้นขาวขอบดำ 2XL  (กปก) QC</v>
          </cell>
          <cell r="E8472">
            <v>0</v>
          </cell>
          <cell r="F8472">
            <v>790</v>
          </cell>
        </row>
        <row r="8473">
          <cell r="A8473" t="str">
            <v>SN3006-L</v>
          </cell>
          <cell r="B8473" t="str">
            <v>QN3006</v>
          </cell>
          <cell r="C8473" t="str">
            <v>ซาติน แขนสั้นขาสั้น ม้าลาย พื้นขาวขอบดำ L (กปก) QC</v>
          </cell>
          <cell r="E8473">
            <v>0</v>
          </cell>
          <cell r="F8473">
            <v>790</v>
          </cell>
        </row>
        <row r="8474">
          <cell r="A8474" t="str">
            <v>SN3006-M</v>
          </cell>
          <cell r="B8474" t="str">
            <v>QN3006</v>
          </cell>
          <cell r="C8474" t="str">
            <v>ซาติน แขนสั้นขาสั้น ม้าลาย พื้นขาวขอบดำ M (กปก) QC</v>
          </cell>
          <cell r="E8474">
            <v>0</v>
          </cell>
          <cell r="F8474">
            <v>790</v>
          </cell>
        </row>
        <row r="8475">
          <cell r="A8475" t="str">
            <v>SN3006-XL</v>
          </cell>
          <cell r="B8475" t="str">
            <v>QN3006</v>
          </cell>
          <cell r="C8475" t="str">
            <v>ซาติน แขนสั้นขาสั้น ม้าลาย พื้นขาวขอบดำ XL (กปก) QC</v>
          </cell>
          <cell r="E8475">
            <v>0</v>
          </cell>
          <cell r="F8475">
            <v>790</v>
          </cell>
        </row>
        <row r="8476">
          <cell r="A8476" t="str">
            <v>SN3007-2XL</v>
          </cell>
          <cell r="B8476" t="str">
            <v>N3007</v>
          </cell>
          <cell r="C8476" t="str">
            <v>ซาติน แขนสั้นขาสั้น ม้าลาย พื้นดำขอบขาว 2XL  (กปก)</v>
          </cell>
          <cell r="E8476">
            <v>0</v>
          </cell>
          <cell r="F8476">
            <v>790</v>
          </cell>
        </row>
        <row r="8477">
          <cell r="A8477" t="str">
            <v>SN3007-L</v>
          </cell>
          <cell r="B8477" t="str">
            <v>QN3007</v>
          </cell>
          <cell r="C8477" t="str">
            <v>ซาติน แขนสั้นขาสั้น ม้าลาย พื้นดำขอบขาว L (กปก) QC</v>
          </cell>
          <cell r="E8477">
            <v>0</v>
          </cell>
          <cell r="F8477">
            <v>790</v>
          </cell>
        </row>
        <row r="8478">
          <cell r="A8478" t="str">
            <v>SN3007-M</v>
          </cell>
          <cell r="B8478" t="str">
            <v>QN3007</v>
          </cell>
          <cell r="C8478" t="str">
            <v>ซาติน แขนสั้นขาสั้น ม้าลาย พื้นดำขอบขาว M (กปก) QC</v>
          </cell>
          <cell r="E8478">
            <v>0</v>
          </cell>
          <cell r="F8478">
            <v>790</v>
          </cell>
        </row>
        <row r="8479">
          <cell r="A8479" t="str">
            <v>SN3007-XL</v>
          </cell>
          <cell r="B8479" t="str">
            <v>QN3007</v>
          </cell>
          <cell r="C8479" t="str">
            <v>ซาติน แขนสั้นขาสั้น ม้าลาย พื้นดำขอบขาว XL (กปก) QC</v>
          </cell>
          <cell r="E8479">
            <v>0</v>
          </cell>
          <cell r="F8479">
            <v>790</v>
          </cell>
        </row>
        <row r="8480">
          <cell r="A8480" t="str">
            <v>SN3010-2XL</v>
          </cell>
          <cell r="B8480" t="str">
            <v>QN3010</v>
          </cell>
          <cell r="C8480" t="str">
            <v>ซาติน แขนสั้นขาสั้น แมววิเชียรมาศ เหลืองปกดำ 2XL (กปก) QC</v>
          </cell>
          <cell r="E8480">
            <v>0</v>
          </cell>
          <cell r="F8480">
            <v>890</v>
          </cell>
        </row>
        <row r="8481">
          <cell r="A8481" t="str">
            <v>SN3010-L</v>
          </cell>
          <cell r="B8481" t="str">
            <v>N3010</v>
          </cell>
          <cell r="C8481" t="str">
            <v>ซาติน แขนสั้นขาสั้น แมววิเชียรมาศ เหลืองปกดำ L (กปก)</v>
          </cell>
          <cell r="E8481">
            <v>0</v>
          </cell>
          <cell r="F8481">
            <v>890</v>
          </cell>
        </row>
        <row r="8482">
          <cell r="A8482" t="str">
            <v>SN3010-M</v>
          </cell>
          <cell r="B8482" t="str">
            <v>QN3010</v>
          </cell>
          <cell r="C8482" t="str">
            <v>ซาติน แขนสั้นขาสั้น แมววิเชียรมาศ เหลืองปกดำ M (กปก) QC</v>
          </cell>
          <cell r="E8482">
            <v>0</v>
          </cell>
          <cell r="F8482">
            <v>890</v>
          </cell>
        </row>
        <row r="8483">
          <cell r="A8483" t="str">
            <v>SN3010-XL</v>
          </cell>
          <cell r="B8483" t="str">
            <v>QN3010</v>
          </cell>
          <cell r="C8483" t="str">
            <v>ซาติน แขนสั้นขาสั้น แมววิเชียรมาศ เหลืองปกดำ XL (กปก) QC</v>
          </cell>
          <cell r="E8483">
            <v>0</v>
          </cell>
          <cell r="F8483">
            <v>890</v>
          </cell>
        </row>
        <row r="8484">
          <cell r="A8484" t="str">
            <v>SN3011-2XL</v>
          </cell>
          <cell r="B8484" t="str">
            <v>N3011</v>
          </cell>
          <cell r="C8484" t="str">
            <v>ซาติน แขนสั้นขาสั้น รวมสุนัขเขียว พาสเทล muslin pet 2XL (กปก)</v>
          </cell>
          <cell r="E8484">
            <v>2</v>
          </cell>
          <cell r="F8484">
            <v>890</v>
          </cell>
        </row>
        <row r="8485">
          <cell r="A8485" t="str">
            <v>SN3011-L</v>
          </cell>
          <cell r="B8485" t="str">
            <v>N3011</v>
          </cell>
          <cell r="C8485" t="str">
            <v>ซาติน แขนสั้นขาสั้น รวมสุนัขเขียว พาสเทล muslin pet L (กปก)</v>
          </cell>
          <cell r="E8485">
            <v>0</v>
          </cell>
          <cell r="F8485">
            <v>890</v>
          </cell>
        </row>
        <row r="8486">
          <cell r="A8486" t="str">
            <v>SN3011-M</v>
          </cell>
          <cell r="B8486" t="str">
            <v>N3011</v>
          </cell>
          <cell r="C8486" t="str">
            <v>ซาติน แขนสั้นขาสั้น รวมสุนัขเขียว พาสเทล muslin pet M (กปก)</v>
          </cell>
          <cell r="E8486">
            <v>0</v>
          </cell>
          <cell r="F8486">
            <v>890</v>
          </cell>
        </row>
        <row r="8487">
          <cell r="A8487" t="str">
            <v>SN3011-XL</v>
          </cell>
          <cell r="B8487" t="str">
            <v>N3011</v>
          </cell>
          <cell r="C8487" t="str">
            <v>ซาติน แขนสั้นขาสั้น รวมสุนัขเขียว พาสเทล muslin pet XL (กปก)</v>
          </cell>
          <cell r="E8487">
            <v>2</v>
          </cell>
          <cell r="F8487">
            <v>890</v>
          </cell>
        </row>
        <row r="8488">
          <cell r="A8488" t="str">
            <v>SN3012-2XL</v>
          </cell>
          <cell r="B8488" t="str">
            <v>N3012</v>
          </cell>
          <cell r="C8488" t="str">
            <v>ซาติน แขนสั้นขาสั้น รวมสุนัขเขียว ลายทาง ฟ้าขาว muslin pet 2XL (กปก)</v>
          </cell>
          <cell r="E8488">
            <v>0</v>
          </cell>
          <cell r="F8488">
            <v>890</v>
          </cell>
        </row>
        <row r="8489">
          <cell r="A8489" t="str">
            <v>SN3012-L</v>
          </cell>
          <cell r="B8489" t="str">
            <v>N3012</v>
          </cell>
          <cell r="C8489" t="str">
            <v>ซาติน แขนสั้นขาสั้น รวมสุนัขเขียว ลายทาง ฟ้าขาว L (กปก)</v>
          </cell>
          <cell r="E8489">
            <v>0</v>
          </cell>
          <cell r="F8489">
            <v>890</v>
          </cell>
        </row>
        <row r="8490">
          <cell r="A8490" t="str">
            <v>SN3012-M</v>
          </cell>
          <cell r="B8490" t="str">
            <v>N3012</v>
          </cell>
          <cell r="C8490" t="str">
            <v>ซาติน แขนสั้นขาสั้น รวมสุนัขเขียว ลายทาง ฟ้าขาว muslin pet M (กปก)</v>
          </cell>
          <cell r="E8490">
            <v>0</v>
          </cell>
          <cell r="F8490">
            <v>890</v>
          </cell>
        </row>
        <row r="8491">
          <cell r="A8491" t="str">
            <v>SN3012-XL</v>
          </cell>
          <cell r="B8491" t="str">
            <v>N3012</v>
          </cell>
          <cell r="C8491" t="str">
            <v>ซาติน แขนสั้นขาสั้น รวมสุนัขเขียว ลายทาง ฟ้าขาว muslin pet XL (กปก)</v>
          </cell>
          <cell r="E8491">
            <v>0</v>
          </cell>
          <cell r="F8491">
            <v>890</v>
          </cell>
        </row>
        <row r="8492">
          <cell r="A8492" t="str">
            <v>SN3013-2XL</v>
          </cell>
          <cell r="B8492" t="str">
            <v>N3013</v>
          </cell>
          <cell r="C8492" t="str">
            <v>ซาติน แขนสั้นขาสั้น เสือผูกโบว์ พื้นชมพู 2XL  (กปก)</v>
          </cell>
          <cell r="E8492">
            <v>0</v>
          </cell>
          <cell r="F8492">
            <v>890</v>
          </cell>
        </row>
        <row r="8493">
          <cell r="A8493" t="str">
            <v>SN3013-L</v>
          </cell>
          <cell r="B8493" t="str">
            <v>N3013</v>
          </cell>
          <cell r="C8493" t="str">
            <v>ซาติน แขนสั้นขาสั้น เสือผูกโบว์ พื้นชมพู L (กปก)</v>
          </cell>
          <cell r="E8493">
            <v>0</v>
          </cell>
          <cell r="F8493">
            <v>890</v>
          </cell>
        </row>
        <row r="8494">
          <cell r="A8494" t="str">
            <v>SN3013-M</v>
          </cell>
          <cell r="B8494" t="str">
            <v>N3013</v>
          </cell>
          <cell r="C8494" t="str">
            <v>ซาติน แขนสั้นขาสั้น เสือผูกโบว์ พื้นชมพู M (กปก)</v>
          </cell>
          <cell r="E8494">
            <v>0</v>
          </cell>
          <cell r="F8494">
            <v>890</v>
          </cell>
        </row>
        <row r="8495">
          <cell r="A8495" t="str">
            <v>SN3013-XL</v>
          </cell>
          <cell r="B8495" t="str">
            <v>N3013</v>
          </cell>
          <cell r="C8495" t="str">
            <v>ซาติน แขนสั้นขาสั้น เสือผูกโบว์ พื้นชมพู XL (กปก)</v>
          </cell>
          <cell r="E8495">
            <v>0</v>
          </cell>
          <cell r="F8495">
            <v>890</v>
          </cell>
        </row>
        <row r="8496">
          <cell r="A8496" t="str">
            <v>SN3014-2XL</v>
          </cell>
          <cell r="B8496" t="str">
            <v>N3014</v>
          </cell>
          <cell r="C8496" t="str">
            <v>ซาติน แขนสั้นขาสั้น แมวตาราง ดอกไม้ พาสเทล muslin pet 2XL (กปก)</v>
          </cell>
          <cell r="E8496">
            <v>1</v>
          </cell>
          <cell r="F8496">
            <v>890</v>
          </cell>
        </row>
        <row r="8497">
          <cell r="A8497" t="str">
            <v>SN3014-L</v>
          </cell>
          <cell r="B8497" t="str">
            <v>N3014</v>
          </cell>
          <cell r="C8497" t="str">
            <v>ซาติน แขนสั้นขาสั้น แมวตาราง ดอกไม้ พาสเทล muslin pet L (กปก)</v>
          </cell>
          <cell r="E8497">
            <v>0</v>
          </cell>
          <cell r="F8497">
            <v>890</v>
          </cell>
        </row>
        <row r="8498">
          <cell r="A8498" t="str">
            <v>SN3014-M</v>
          </cell>
          <cell r="B8498" t="str">
            <v>N3014</v>
          </cell>
          <cell r="C8498" t="str">
            <v>ซาติน แขนสั้นขาสั้น แมวตาราง ดอกไม้ พาสเทล M (กปก)</v>
          </cell>
          <cell r="E8498">
            <v>0</v>
          </cell>
          <cell r="F8498">
            <v>890</v>
          </cell>
        </row>
        <row r="8499">
          <cell r="A8499" t="str">
            <v>SN3014-XL</v>
          </cell>
          <cell r="B8499" t="str">
            <v>N3014</v>
          </cell>
          <cell r="C8499" t="str">
            <v>ซาติน แขนสั้นขาสั้น แมวตาราง ดอกไม้ พาสเทล muslin pet XL (กปก)</v>
          </cell>
          <cell r="E8499">
            <v>1</v>
          </cell>
          <cell r="F8499">
            <v>890</v>
          </cell>
        </row>
        <row r="8500">
          <cell r="A8500" t="str">
            <v>SN3015-2XL</v>
          </cell>
          <cell r="B8500" t="str">
            <v>N3015</v>
          </cell>
          <cell r="C8500" t="str">
            <v>ซาติน แขนสั้นขาสั้น Grooming Dog พื้นเขียวอ่อน muslin pet 2XL (กปก)</v>
          </cell>
          <cell r="E8500">
            <v>8</v>
          </cell>
          <cell r="F8500">
            <v>890</v>
          </cell>
        </row>
        <row r="8501">
          <cell r="A8501" t="str">
            <v>SN3015-L</v>
          </cell>
          <cell r="B8501" t="str">
            <v>N3015</v>
          </cell>
          <cell r="C8501" t="str">
            <v>ซาติน แขนสั้นขาสั้น Grooming Dog พื้นเขียวอ่อน muslin pet L (กปก)</v>
          </cell>
          <cell r="E8501">
            <v>4</v>
          </cell>
          <cell r="F8501">
            <v>890</v>
          </cell>
        </row>
        <row r="8502">
          <cell r="A8502" t="str">
            <v>SN3015-M</v>
          </cell>
          <cell r="B8502" t="str">
            <v>N3015</v>
          </cell>
          <cell r="C8502" t="str">
            <v>ซาติน แขนสั้นขาสั้น Grooming Dog พื้นเขียวอ่อน muslin pet M (กปก)</v>
          </cell>
          <cell r="E8502">
            <v>0</v>
          </cell>
          <cell r="F8502">
            <v>890</v>
          </cell>
        </row>
        <row r="8503">
          <cell r="A8503" t="str">
            <v>SN3015-XL</v>
          </cell>
          <cell r="B8503" t="str">
            <v>N3015</v>
          </cell>
          <cell r="C8503" t="str">
            <v>ซาติน แขนสั้นขาสั้น Grooming Dog พื้นเขียวอ่อน muslin pet XL (กปก)</v>
          </cell>
          <cell r="E8503">
            <v>0</v>
          </cell>
          <cell r="F8503">
            <v>890</v>
          </cell>
        </row>
        <row r="8504">
          <cell r="A8504" t="str">
            <v>SN3016-2XL</v>
          </cell>
          <cell r="B8504" t="str">
            <v>N3016</v>
          </cell>
          <cell r="C8504" t="str">
            <v>[แมวจุด ผูกโบว์]  ซาติน แขนสั้นขาสั้น แมวจุดผูกโบว์ ลายทาง ฟ้าขาว 2XL  (กปก)</v>
          </cell>
          <cell r="E8504">
            <v>0</v>
          </cell>
          <cell r="F8504">
            <v>790</v>
          </cell>
        </row>
        <row r="8505">
          <cell r="A8505" t="str">
            <v>SN3016-L</v>
          </cell>
          <cell r="B8505" t="str">
            <v>N3016</v>
          </cell>
          <cell r="C8505" t="str">
            <v>ซาติน แขนสั้นขาสั้น แมวจุดผูกโบว์ ลายทาง ฟ้าขาว L (กปก)</v>
          </cell>
          <cell r="E8505">
            <v>0</v>
          </cell>
          <cell r="F8505">
            <v>790</v>
          </cell>
        </row>
        <row r="8506">
          <cell r="A8506" t="str">
            <v>SN3016-M</v>
          </cell>
          <cell r="B8506" t="str">
            <v>N3016</v>
          </cell>
          <cell r="C8506" t="str">
            <v>ซาติน แขนสั้นขาสั้น แมวจุดผูกโบว์ ลายทาง ฟ้าขาว M (กปก)</v>
          </cell>
          <cell r="E8506">
            <v>0</v>
          </cell>
          <cell r="F8506">
            <v>790</v>
          </cell>
        </row>
        <row r="8507">
          <cell r="A8507" t="str">
            <v>SN3016-XL</v>
          </cell>
          <cell r="B8507" t="str">
            <v>N3016</v>
          </cell>
          <cell r="C8507" t="str">
            <v>ซาติน แขนสั้นขาสั้น แมวจุดผูกโบว์ ลายทาง ฟ้าขาว XL (กปก)</v>
          </cell>
          <cell r="E8507">
            <v>0</v>
          </cell>
          <cell r="F8507">
            <v>790</v>
          </cell>
        </row>
        <row r="8508">
          <cell r="A8508" t="str">
            <v>SN3017-2XL</v>
          </cell>
          <cell r="B8508" t="str">
            <v>N3017</v>
          </cell>
          <cell r="C8508" t="str">
            <v>ซาติน แขนสั้นขาสั้น teddy bear ลายทาง ม่วงชมพู 2XL  (กปก)</v>
          </cell>
          <cell r="E8508">
            <v>2</v>
          </cell>
          <cell r="F8508">
            <v>790</v>
          </cell>
        </row>
        <row r="8509">
          <cell r="A8509" t="str">
            <v>SN3017-L</v>
          </cell>
          <cell r="B8509" t="str">
            <v>N3017</v>
          </cell>
          <cell r="C8509" t="str">
            <v>ซาติน แขนสั้นขาสั้น teddy bear ลายทาง ม่วงชมพู L (กปก)</v>
          </cell>
          <cell r="E8509">
            <v>0</v>
          </cell>
          <cell r="F8509">
            <v>790</v>
          </cell>
        </row>
        <row r="8510">
          <cell r="A8510" t="str">
            <v>SN3017-M</v>
          </cell>
          <cell r="B8510" t="str">
            <v>N3017</v>
          </cell>
          <cell r="C8510" t="str">
            <v>ซาติน แขนสั้นขาสั้น teddy bear ลายทาง ม่วงชมพู M (กปก)</v>
          </cell>
          <cell r="E8510">
            <v>0</v>
          </cell>
          <cell r="F8510">
            <v>790</v>
          </cell>
        </row>
        <row r="8511">
          <cell r="A8511" t="str">
            <v>SN3017-XL</v>
          </cell>
          <cell r="B8511" t="str">
            <v>N3017</v>
          </cell>
          <cell r="C8511" t="str">
            <v>ซาติน แขนสั้นขาสั้น teddy bear ลายทาง ม่วงชมพู XL (กปก)</v>
          </cell>
          <cell r="E8511">
            <v>0</v>
          </cell>
          <cell r="F8511">
            <v>790</v>
          </cell>
        </row>
        <row r="8512">
          <cell r="A8512" t="str">
            <v>SN3018-2XL</v>
          </cell>
          <cell r="B8512" t="str">
            <v>N3018</v>
          </cell>
          <cell r="C8512" t="str">
            <v>ซาติน แขนสั้นขาสั้น cat lover พื้นดำ ขอบชมพู 2XL  (กปก)</v>
          </cell>
          <cell r="E8512">
            <v>5</v>
          </cell>
          <cell r="F8512">
            <v>790</v>
          </cell>
        </row>
        <row r="8513">
          <cell r="A8513" t="str">
            <v>SN3018-L</v>
          </cell>
          <cell r="B8513" t="str">
            <v>N3018</v>
          </cell>
          <cell r="C8513" t="str">
            <v>ซาติน แขนสั้นขาสั้น cat lover พื้นดำ ขอบชมพู L (กปก)</v>
          </cell>
          <cell r="E8513">
            <v>1</v>
          </cell>
          <cell r="F8513">
            <v>790</v>
          </cell>
        </row>
        <row r="8514">
          <cell r="A8514" t="str">
            <v>SN3018-M</v>
          </cell>
          <cell r="B8514" t="str">
            <v>N3018</v>
          </cell>
          <cell r="C8514" t="str">
            <v>ซาติน แขนสั้นขาสั้น cat lover พื้นดำ ขอบชมพู M (กปก)</v>
          </cell>
          <cell r="E8514">
            <v>0</v>
          </cell>
          <cell r="F8514">
            <v>790</v>
          </cell>
        </row>
        <row r="8515">
          <cell r="A8515" t="str">
            <v>SN3018-XL</v>
          </cell>
          <cell r="B8515" t="str">
            <v>N3018</v>
          </cell>
          <cell r="C8515" t="str">
            <v>ซาติน แขนสั้นขาสั้น cat lover พื้นดำ ขอบชมพู XL (กปก)</v>
          </cell>
          <cell r="E8515">
            <v>2</v>
          </cell>
          <cell r="F8515">
            <v>790</v>
          </cell>
        </row>
        <row r="8516">
          <cell r="A8516" t="str">
            <v>SN3021-2XL</v>
          </cell>
          <cell r="B8516" t="str">
            <v>QN3021</v>
          </cell>
          <cell r="C8516" t="str">
            <v>ซาติน แขนสั้นขาสั้น โดนัท พื้นม่วง ขอบขาว 2XL  (กปก) QC</v>
          </cell>
          <cell r="E8516">
            <v>0</v>
          </cell>
          <cell r="F8516">
            <v>790</v>
          </cell>
        </row>
        <row r="8517">
          <cell r="A8517" t="str">
            <v>SN3021-L</v>
          </cell>
          <cell r="B8517" t="str">
            <v>N3021</v>
          </cell>
          <cell r="C8517" t="str">
            <v>ซาติน แขนสั้นขาสั้น โดนัท พื้นม่วง ขอบขาว L (กปก)</v>
          </cell>
          <cell r="E8517">
            <v>0</v>
          </cell>
          <cell r="F8517">
            <v>790</v>
          </cell>
        </row>
        <row r="8518">
          <cell r="A8518" t="str">
            <v>SN3021-M</v>
          </cell>
          <cell r="B8518" t="str">
            <v>N3021</v>
          </cell>
          <cell r="C8518" t="str">
            <v>ซาติน แขนสั้นขาสั้น โดนัท พื้นม่วง ขอบขาว M (กปก)</v>
          </cell>
          <cell r="E8518">
            <v>0</v>
          </cell>
          <cell r="F8518">
            <v>790</v>
          </cell>
        </row>
        <row r="8519">
          <cell r="A8519" t="str">
            <v>SN3021-XL</v>
          </cell>
          <cell r="B8519" t="str">
            <v>N3021</v>
          </cell>
          <cell r="C8519" t="str">
            <v>ซาติน แขนสั้นขาสั้น โดนัท พื้นม่วง ขอบขาว XL (กปก)</v>
          </cell>
          <cell r="E8519">
            <v>0</v>
          </cell>
          <cell r="F8519">
            <v>790</v>
          </cell>
        </row>
        <row r="8520">
          <cell r="A8520" t="str">
            <v>SN3022-2XL</v>
          </cell>
          <cell r="B8520" t="str">
            <v>N3022</v>
          </cell>
          <cell r="C8520" t="str">
            <v>ซาติน แขนสั้นขาสั้น shiba พื้นดำ muslin pet 2XL  (กปก)</v>
          </cell>
          <cell r="E8520">
            <v>0</v>
          </cell>
          <cell r="F8520">
            <v>890</v>
          </cell>
        </row>
        <row r="8521">
          <cell r="A8521" t="str">
            <v>SN3022-L</v>
          </cell>
          <cell r="B8521" t="str">
            <v>N3022</v>
          </cell>
          <cell r="C8521" t="str">
            <v>ซาติน แขนสั้นขาสั้น shiba พื้นดำ muslin pet L (กปก)</v>
          </cell>
          <cell r="E8521">
            <v>0</v>
          </cell>
          <cell r="F8521">
            <v>890</v>
          </cell>
        </row>
        <row r="8522">
          <cell r="A8522" t="str">
            <v>SN3022-M</v>
          </cell>
          <cell r="B8522" t="str">
            <v>N3022</v>
          </cell>
          <cell r="C8522" t="str">
            <v>ซาติน แขนสั้นขาสั้น shiba พื้นดำ muslin pet M (กปก)</v>
          </cell>
          <cell r="E8522">
            <v>0</v>
          </cell>
          <cell r="F8522">
            <v>890</v>
          </cell>
        </row>
        <row r="8523">
          <cell r="A8523" t="str">
            <v>SN3022-XL</v>
          </cell>
          <cell r="B8523" t="str">
            <v>N3022</v>
          </cell>
          <cell r="C8523" t="str">
            <v>ซาติน แขนสั้นขาสั้น shiba พื้นดำ muslin pet XL (กปก)</v>
          </cell>
          <cell r="E8523">
            <v>0</v>
          </cell>
          <cell r="F8523">
            <v>890</v>
          </cell>
        </row>
        <row r="8524">
          <cell r="A8524" t="str">
            <v>SN3023-2XL</v>
          </cell>
          <cell r="B8524" t="str">
            <v>N3023</v>
          </cell>
          <cell r="C8524" t="str">
            <v>ซาติน แขนสั้นขาสั้น monogram ff ส้มอิฐ (กปก) 2XL</v>
          </cell>
          <cell r="E8524">
            <v>2</v>
          </cell>
          <cell r="F8524">
            <v>790</v>
          </cell>
        </row>
        <row r="8525">
          <cell r="A8525" t="str">
            <v>SN3023-L</v>
          </cell>
          <cell r="B8525" t="str">
            <v>N3023</v>
          </cell>
          <cell r="C8525" t="str">
            <v>ซาติน แขนสั้นขาสั้น monogram ff ส้มอิฐ (กปก) L</v>
          </cell>
          <cell r="E8525">
            <v>0</v>
          </cell>
          <cell r="F8525">
            <v>790</v>
          </cell>
        </row>
        <row r="8526">
          <cell r="A8526" t="str">
            <v>SN3023-M</v>
          </cell>
          <cell r="B8526" t="str">
            <v>N3023</v>
          </cell>
          <cell r="C8526" t="str">
            <v>ซาติน แขนสั้นขาสั้น monogram ff ส้มอิฐ (กปก) M</v>
          </cell>
          <cell r="E8526">
            <v>0</v>
          </cell>
          <cell r="F8526">
            <v>790</v>
          </cell>
        </row>
        <row r="8527">
          <cell r="A8527" t="str">
            <v>SN3023-XL</v>
          </cell>
          <cell r="B8527" t="str">
            <v>N3023</v>
          </cell>
          <cell r="C8527" t="str">
            <v>ซาติน แขนสั้นขาสั้น monogram ff ส้มอิฐ (กปก) XL</v>
          </cell>
          <cell r="E8527">
            <v>0</v>
          </cell>
          <cell r="F8527">
            <v>790</v>
          </cell>
        </row>
        <row r="8528">
          <cell r="A8528" t="str">
            <v>SN3031-2XL</v>
          </cell>
          <cell r="B8528" t="str">
            <v>N3031</v>
          </cell>
          <cell r="C8528" t="str">
            <v>ซาติน แขนสั้นขาสั้น Very PeriBlue (กปก) 2XL</v>
          </cell>
          <cell r="E8528">
            <v>5</v>
          </cell>
          <cell r="F8528">
            <v>790</v>
          </cell>
        </row>
        <row r="8529">
          <cell r="A8529" t="str">
            <v>SN3031-L</v>
          </cell>
          <cell r="B8529" t="str">
            <v>QN3031</v>
          </cell>
          <cell r="C8529" t="str">
            <v>ซาติน แขนสั้นขาสั้น Very PeriBlue (กปก) L QC</v>
          </cell>
          <cell r="E8529">
            <v>0</v>
          </cell>
          <cell r="F8529">
            <v>790</v>
          </cell>
        </row>
        <row r="8530">
          <cell r="A8530" t="str">
            <v>SN3031-M</v>
          </cell>
          <cell r="B8530" t="str">
            <v>N3031</v>
          </cell>
          <cell r="C8530" t="str">
            <v>ซาติน แขนสั้นขาสั้น Very PeriBlue (กปก) M</v>
          </cell>
          <cell r="E8530">
            <v>2</v>
          </cell>
          <cell r="F8530">
            <v>790</v>
          </cell>
        </row>
        <row r="8531">
          <cell r="A8531" t="str">
            <v>SN3031-XL</v>
          </cell>
          <cell r="B8531" t="str">
            <v>N3031</v>
          </cell>
          <cell r="C8531" t="str">
            <v>ซาติน แขนสั้นขาสั้น Very PeriBlue (กปก) XL</v>
          </cell>
          <cell r="E8531">
            <v>9</v>
          </cell>
          <cell r="F8531">
            <v>790</v>
          </cell>
        </row>
        <row r="8532">
          <cell r="A8532" t="str">
            <v>SN3034-2XL</v>
          </cell>
          <cell r="B8532" t="str">
            <v>N3034</v>
          </cell>
          <cell r="C8532" t="str">
            <v>ซาติน แขนสั้นขาสั้น Monogrey ff 2XL (กปก)</v>
          </cell>
          <cell r="E8532">
            <v>0</v>
          </cell>
          <cell r="F8532">
            <v>790</v>
          </cell>
        </row>
        <row r="8533">
          <cell r="A8533" t="str">
            <v>SN3034-L</v>
          </cell>
          <cell r="B8533" t="str">
            <v>N3034</v>
          </cell>
          <cell r="C8533" t="str">
            <v>ซาติน แขนสั้นขาสั้น Monogrey ff L (กปก)</v>
          </cell>
          <cell r="E8533">
            <v>0</v>
          </cell>
          <cell r="F8533">
            <v>790</v>
          </cell>
        </row>
        <row r="8534">
          <cell r="A8534" t="str">
            <v>SN3034-M</v>
          </cell>
          <cell r="B8534" t="str">
            <v>N3034</v>
          </cell>
          <cell r="C8534" t="str">
            <v>ซาติน แขนสั้นขาสั้น Monogrey ff M (กปก)</v>
          </cell>
          <cell r="E8534">
            <v>0</v>
          </cell>
          <cell r="F8534">
            <v>790</v>
          </cell>
        </row>
        <row r="8535">
          <cell r="A8535" t="str">
            <v>SN3034-XL</v>
          </cell>
          <cell r="B8535" t="str">
            <v>N3034</v>
          </cell>
          <cell r="C8535" t="str">
            <v>ซาติน แขนสั้นขาสั้น Monogrey ff XL (กปก)</v>
          </cell>
          <cell r="E8535">
            <v>0</v>
          </cell>
          <cell r="F8535">
            <v>790</v>
          </cell>
        </row>
        <row r="8536">
          <cell r="A8536" t="str">
            <v>SN3040-2XL</v>
          </cell>
          <cell r="B8536" t="str">
            <v>N3040</v>
          </cell>
          <cell r="C8536" t="str">
            <v>ซาติน แขนสั้นขาสั้น Early Grey Roses (กปก) 2XL</v>
          </cell>
          <cell r="E8536">
            <v>0</v>
          </cell>
          <cell r="F8536">
            <v>790</v>
          </cell>
        </row>
        <row r="8537">
          <cell r="A8537" t="str">
            <v>SN3040-L</v>
          </cell>
          <cell r="B8537" t="str">
            <v>N3040</v>
          </cell>
          <cell r="C8537" t="str">
            <v>ซาติน แขนสั้นขาสั้น Early Grey Roses (กปก) L</v>
          </cell>
          <cell r="E8537">
            <v>0</v>
          </cell>
          <cell r="F8537">
            <v>790</v>
          </cell>
        </row>
        <row r="8538">
          <cell r="A8538" t="str">
            <v>SN3040-M</v>
          </cell>
          <cell r="B8538" t="str">
            <v>N3040</v>
          </cell>
          <cell r="C8538" t="str">
            <v>ซาติน แขนสั้นขาสั้น Early Grey Roses (กปก) M</v>
          </cell>
          <cell r="E8538">
            <v>0</v>
          </cell>
          <cell r="F8538">
            <v>790</v>
          </cell>
        </row>
        <row r="8539">
          <cell r="A8539" t="str">
            <v>SN3040-XL</v>
          </cell>
          <cell r="B8539" t="str">
            <v>N3040</v>
          </cell>
          <cell r="C8539" t="str">
            <v>ซาติน แขนสั้นขาสั้น Early Grey Roses (กปก) XL</v>
          </cell>
          <cell r="E8539">
            <v>0</v>
          </cell>
          <cell r="F8539">
            <v>790</v>
          </cell>
        </row>
        <row r="8540">
          <cell r="A8540" t="str">
            <v>SN3041-2XL</v>
          </cell>
          <cell r="B8540" t="str">
            <v>N3041</v>
          </cell>
          <cell r="C8540" t="str">
            <v>ซาติน แขนสั้นขาสั้น Primitive World (มีกปก) 2XL</v>
          </cell>
          <cell r="E8540">
            <v>0</v>
          </cell>
          <cell r="F8540">
            <v>790</v>
          </cell>
        </row>
        <row r="8541">
          <cell r="A8541" t="str">
            <v>SN3041-L</v>
          </cell>
          <cell r="B8541" t="str">
            <v>N3041</v>
          </cell>
          <cell r="C8541" t="str">
            <v>ซาติน แขนสั้นขาสั้น Primitive World (มีกปก) L</v>
          </cell>
          <cell r="E8541">
            <v>3</v>
          </cell>
          <cell r="F8541">
            <v>790</v>
          </cell>
        </row>
        <row r="8542">
          <cell r="A8542" t="str">
            <v>SN3041-M</v>
          </cell>
          <cell r="B8542" t="str">
            <v>N3041</v>
          </cell>
          <cell r="C8542" t="str">
            <v>ซาติน แขนสั้นขาสั้น Primitive World (มีกปก) M</v>
          </cell>
          <cell r="E8542">
            <v>0</v>
          </cell>
          <cell r="F8542">
            <v>790</v>
          </cell>
        </row>
        <row r="8543">
          <cell r="A8543" t="str">
            <v>SN3041-XL</v>
          </cell>
          <cell r="B8543" t="str">
            <v>N3041</v>
          </cell>
          <cell r="C8543" t="str">
            <v>ซาติน แขนสั้นขาสั้น Primitive World (มีกปก) XL</v>
          </cell>
          <cell r="E8543">
            <v>7</v>
          </cell>
          <cell r="F8543">
            <v>790</v>
          </cell>
        </row>
        <row r="8544">
          <cell r="A8544" t="str">
            <v>SN3042-2XL</v>
          </cell>
          <cell r="B8544" t="str">
            <v>N3042</v>
          </cell>
          <cell r="C8544" t="str">
            <v>ซาติน แขนสั้นขาสั้น Artnimal 2XL</v>
          </cell>
          <cell r="E8544">
            <v>2</v>
          </cell>
          <cell r="F8544">
            <v>790</v>
          </cell>
        </row>
        <row r="8545">
          <cell r="A8545" t="str">
            <v>SN3042-L</v>
          </cell>
          <cell r="B8545" t="str">
            <v>N3042</v>
          </cell>
          <cell r="C8545" t="str">
            <v>ซาติน แขนสั้นขาสั้น Artnimal L</v>
          </cell>
          <cell r="E8545">
            <v>0</v>
          </cell>
          <cell r="F8545">
            <v>790</v>
          </cell>
        </row>
        <row r="8546">
          <cell r="A8546" t="str">
            <v>SN3042-M</v>
          </cell>
          <cell r="B8546" t="str">
            <v>N3042</v>
          </cell>
          <cell r="C8546" t="str">
            <v>ซาติน แขนสั้นขาสั้น Artnimal M</v>
          </cell>
          <cell r="E8546">
            <v>0</v>
          </cell>
          <cell r="F8546">
            <v>790</v>
          </cell>
        </row>
        <row r="8547">
          <cell r="A8547" t="str">
            <v>SN3042-XL</v>
          </cell>
          <cell r="B8547" t="str">
            <v>N3042</v>
          </cell>
          <cell r="C8547" t="str">
            <v>ซาติน แขนสั้นขาสั้น Artnimal XL</v>
          </cell>
          <cell r="E8547">
            <v>6</v>
          </cell>
          <cell r="F8547">
            <v>790</v>
          </cell>
        </row>
        <row r="8548">
          <cell r="A8548" t="str">
            <v>SN3043-2XL</v>
          </cell>
          <cell r="B8548" t="str">
            <v>N3043</v>
          </cell>
          <cell r="C8548" t="str">
            <v>ซาติน แขนสั้นขาสั้น Istanblue City 2XL (กปก)</v>
          </cell>
          <cell r="E8548">
            <v>5</v>
          </cell>
          <cell r="F8548">
            <v>790</v>
          </cell>
        </row>
        <row r="8549">
          <cell r="A8549" t="str">
            <v>SN3043-L</v>
          </cell>
          <cell r="B8549" t="str">
            <v>N3043</v>
          </cell>
          <cell r="C8549" t="str">
            <v>ซาติน แขนสั้นขาสั้น Istanblue City L (กปก)</v>
          </cell>
          <cell r="E8549">
            <v>0</v>
          </cell>
          <cell r="F8549">
            <v>790</v>
          </cell>
        </row>
        <row r="8550">
          <cell r="A8550" t="str">
            <v>SN3043-M</v>
          </cell>
          <cell r="B8550" t="str">
            <v>N3043</v>
          </cell>
          <cell r="C8550" t="str">
            <v>ซาติน แขนสั้นขาสั้น Istanblue City M (กปก)</v>
          </cell>
          <cell r="E8550">
            <v>0</v>
          </cell>
          <cell r="F8550">
            <v>790</v>
          </cell>
        </row>
        <row r="8551">
          <cell r="A8551" t="str">
            <v>SN3043-XL</v>
          </cell>
          <cell r="B8551" t="str">
            <v>N3043</v>
          </cell>
          <cell r="C8551" t="str">
            <v>ซาติน แขนสั้นขาสั้น Istanblue City XL (กปก)</v>
          </cell>
          <cell r="E8551">
            <v>5</v>
          </cell>
          <cell r="F8551">
            <v>790</v>
          </cell>
        </row>
        <row r="8552">
          <cell r="A8552" t="str">
            <v>SN4000-2XL</v>
          </cell>
          <cell r="B8552" t="str">
            <v>N4000</v>
          </cell>
          <cell r="C8552" t="str">
            <v>ซาติน แขนสั้นขาสั้น Muslin dark brown 2XL</v>
          </cell>
          <cell r="E8552">
            <v>0</v>
          </cell>
          <cell r="F8552">
            <v>790</v>
          </cell>
        </row>
        <row r="8553">
          <cell r="A8553" t="str">
            <v>SN4000-L</v>
          </cell>
          <cell r="B8553" t="str">
            <v>N4000</v>
          </cell>
          <cell r="C8553" t="str">
            <v>ซาติน แขนสั้นขาสั้น Muslin dark brown L</v>
          </cell>
          <cell r="E8553">
            <v>0</v>
          </cell>
          <cell r="F8553">
            <v>790</v>
          </cell>
        </row>
        <row r="8554">
          <cell r="A8554" t="str">
            <v>SN4000-M</v>
          </cell>
          <cell r="B8554" t="str">
            <v>N4000</v>
          </cell>
          <cell r="C8554" t="str">
            <v>ซาติน แขนสั้นขาสั้น Muslin dark brown M</v>
          </cell>
          <cell r="E8554">
            <v>0</v>
          </cell>
          <cell r="F8554">
            <v>790</v>
          </cell>
        </row>
        <row r="8555">
          <cell r="A8555" t="str">
            <v>SN4000-XL</v>
          </cell>
          <cell r="B8555" t="str">
            <v>N4000</v>
          </cell>
          <cell r="C8555" t="str">
            <v>ซาติน แขนสั้นขาสั้น Muslin dark brown XL</v>
          </cell>
          <cell r="E8555">
            <v>0</v>
          </cell>
          <cell r="F8555">
            <v>790</v>
          </cell>
        </row>
        <row r="8556">
          <cell r="A8556" t="str">
            <v>SN4001-2XL</v>
          </cell>
          <cell r="B8556" t="str">
            <v>N4001</v>
          </cell>
          <cell r="C8556" t="str">
            <v>ซาติน แขนสั้นขาสั้น Muslin green mermaid 2XL</v>
          </cell>
          <cell r="E8556">
            <v>3</v>
          </cell>
          <cell r="F8556">
            <v>790</v>
          </cell>
        </row>
        <row r="8557">
          <cell r="A8557" t="str">
            <v>SN4001-L</v>
          </cell>
          <cell r="B8557" t="str">
            <v>N4001</v>
          </cell>
          <cell r="C8557" t="str">
            <v>ซาติน แขนสั้นขาสั้น Muslin green mermaid L</v>
          </cell>
          <cell r="E8557">
            <v>0</v>
          </cell>
          <cell r="F8557">
            <v>790</v>
          </cell>
        </row>
        <row r="8558">
          <cell r="A8558" t="str">
            <v>SN4001-M</v>
          </cell>
          <cell r="B8558" t="str">
            <v>QN4001</v>
          </cell>
          <cell r="C8558" t="str">
            <v>ซาติน แขนสั้นขาสั้น Muslin green mermaid M QC</v>
          </cell>
          <cell r="E8558">
            <v>0</v>
          </cell>
          <cell r="F8558">
            <v>790</v>
          </cell>
        </row>
        <row r="8559">
          <cell r="A8559" t="str">
            <v>SN4001-XL</v>
          </cell>
          <cell r="B8559" t="str">
            <v>N4001</v>
          </cell>
          <cell r="C8559" t="str">
            <v>ซาติน แขนสั้นขาสั้น Muslin green mermaid XL</v>
          </cell>
          <cell r="E8559">
            <v>2</v>
          </cell>
          <cell r="F8559">
            <v>790</v>
          </cell>
        </row>
        <row r="8560">
          <cell r="A8560" t="str">
            <v>SN4002-2XL</v>
          </cell>
          <cell r="B8560" t="str">
            <v>N4002</v>
          </cell>
          <cell r="C8560" t="str">
            <v>ซาติน แขนสั้นขาสั้น Muslin vanila 2XL</v>
          </cell>
          <cell r="E8560">
            <v>5</v>
          </cell>
          <cell r="F8560">
            <v>790</v>
          </cell>
        </row>
        <row r="8561">
          <cell r="A8561" t="str">
            <v>SN4002-L</v>
          </cell>
          <cell r="B8561" t="str">
            <v>N4002</v>
          </cell>
          <cell r="C8561" t="str">
            <v>ซาติน แขนสั้นขาสั้น Muslin vanila L</v>
          </cell>
          <cell r="E8561">
            <v>0</v>
          </cell>
          <cell r="F8561">
            <v>790</v>
          </cell>
        </row>
        <row r="8562">
          <cell r="A8562" t="str">
            <v>SN4002-M</v>
          </cell>
          <cell r="B8562" t="str">
            <v>N4002</v>
          </cell>
          <cell r="C8562" t="str">
            <v>ซาติน แขนสั้นขาสั้น Muslin vanila M</v>
          </cell>
          <cell r="E8562">
            <v>0</v>
          </cell>
          <cell r="F8562">
            <v>790</v>
          </cell>
        </row>
        <row r="8563">
          <cell r="A8563" t="str">
            <v>SN4002-XL</v>
          </cell>
          <cell r="B8563" t="str">
            <v>N4002</v>
          </cell>
          <cell r="C8563" t="str">
            <v>ซาติน แขนสั้นขาสั้น Muslin vanila XL</v>
          </cell>
          <cell r="E8563">
            <v>1</v>
          </cell>
          <cell r="F8563">
            <v>790</v>
          </cell>
        </row>
        <row r="8564">
          <cell r="A8564" t="str">
            <v>SN4003-2XL</v>
          </cell>
          <cell r="B8564" t="str">
            <v>N4003</v>
          </cell>
          <cell r="C8564" t="str">
            <v>ซาติน แขนสั้นขาสั้น Muslin wine 2XL</v>
          </cell>
          <cell r="E8564">
            <v>7</v>
          </cell>
          <cell r="F8564">
            <v>790</v>
          </cell>
        </row>
        <row r="8565">
          <cell r="A8565" t="str">
            <v>SN4003-L</v>
          </cell>
          <cell r="B8565" t="str">
            <v>N4003</v>
          </cell>
          <cell r="C8565" t="str">
            <v>ซาติน แขนสั้นขาสั้น Muslin wine L</v>
          </cell>
          <cell r="E8565">
            <v>0</v>
          </cell>
          <cell r="F8565">
            <v>790</v>
          </cell>
        </row>
        <row r="8566">
          <cell r="A8566" t="str">
            <v>SN4003-M</v>
          </cell>
          <cell r="B8566" t="str">
            <v>QN4003</v>
          </cell>
          <cell r="C8566" t="str">
            <v>ซาติน แขนสั้นขาสั้น Muslin wine M QC</v>
          </cell>
          <cell r="E8566">
            <v>0</v>
          </cell>
          <cell r="F8566">
            <v>790</v>
          </cell>
        </row>
        <row r="8567">
          <cell r="A8567" t="str">
            <v>SN4003-XL</v>
          </cell>
          <cell r="B8567" t="str">
            <v>N4003</v>
          </cell>
          <cell r="C8567" t="str">
            <v>ซาติน แขนสั้นขาสั้น Muslin wine XL</v>
          </cell>
          <cell r="E8567">
            <v>6</v>
          </cell>
          <cell r="F8567">
            <v>790</v>
          </cell>
        </row>
        <row r="8568">
          <cell r="A8568" t="str">
            <v>SN4004-2XL</v>
          </cell>
          <cell r="B8568" t="str">
            <v>N4004</v>
          </cell>
          <cell r="C8568" t="str">
            <v>ซาติน แขนสั้นขาสั้น Muslin ม่วงเปลือกมังคุด 2XL</v>
          </cell>
          <cell r="E8568">
            <v>6</v>
          </cell>
          <cell r="F8568">
            <v>790</v>
          </cell>
        </row>
        <row r="8569">
          <cell r="A8569" t="str">
            <v>SN4004-L</v>
          </cell>
          <cell r="B8569" t="str">
            <v>N4004</v>
          </cell>
          <cell r="C8569" t="str">
            <v>ซาติน แขนสั้นขาสั้น Muslin ม่วงเปลือกมังคุด L</v>
          </cell>
          <cell r="E8569">
            <v>0</v>
          </cell>
          <cell r="F8569">
            <v>790</v>
          </cell>
        </row>
        <row r="8570">
          <cell r="A8570" t="str">
            <v>SN4004-M</v>
          </cell>
          <cell r="B8570" t="str">
            <v>QN4004</v>
          </cell>
          <cell r="C8570" t="str">
            <v>ซาติน แขนสั้นขาสั้น Muslin ม่วงเปลือกมังคุด M QC</v>
          </cell>
          <cell r="E8570">
            <v>0</v>
          </cell>
          <cell r="F8570">
            <v>790</v>
          </cell>
        </row>
        <row r="8571">
          <cell r="A8571" t="str">
            <v>SN4004-XL</v>
          </cell>
          <cell r="B8571" t="str">
            <v>N4004</v>
          </cell>
          <cell r="C8571" t="str">
            <v>ซาติน แขนสั้นขาสั้น Muslin ม่วงเปลือกมังคุด XL</v>
          </cell>
          <cell r="E8571">
            <v>8</v>
          </cell>
          <cell r="F8571">
            <v>790</v>
          </cell>
        </row>
        <row r="8572">
          <cell r="A8572" t="str">
            <v>SN4005-2XL</v>
          </cell>
          <cell r="B8572" t="str">
            <v>N4005</v>
          </cell>
          <cell r="C8572" t="str">
            <v>ซาติน แขนสั้นขาสั้น Muslin ม่วงอ่อน 2XL</v>
          </cell>
          <cell r="E8572">
            <v>0</v>
          </cell>
          <cell r="F8572">
            <v>790</v>
          </cell>
        </row>
        <row r="8573">
          <cell r="A8573" t="str">
            <v>SN4005-L</v>
          </cell>
          <cell r="B8573" t="str">
            <v>N4005</v>
          </cell>
          <cell r="C8573" t="str">
            <v>ซาติน แขนสั้นขาสั้น Muslin ม่วงอ่อน L</v>
          </cell>
          <cell r="E8573">
            <v>0</v>
          </cell>
          <cell r="F8573">
            <v>790</v>
          </cell>
        </row>
        <row r="8574">
          <cell r="A8574" t="str">
            <v>SN4005-M</v>
          </cell>
          <cell r="B8574" t="str">
            <v>QN4005</v>
          </cell>
          <cell r="C8574" t="str">
            <v>ซาติน แขนสั้นขาสั้น Muslin ม่วงอ่อน M QC</v>
          </cell>
          <cell r="E8574">
            <v>0</v>
          </cell>
          <cell r="F8574">
            <v>790</v>
          </cell>
        </row>
        <row r="8575">
          <cell r="A8575" t="str">
            <v>SN4005-XL</v>
          </cell>
          <cell r="B8575" t="str">
            <v>N4005</v>
          </cell>
          <cell r="C8575" t="str">
            <v>ซาติน แขนสั้นขาสั้น Muslin ม่วงอ่อน XL</v>
          </cell>
          <cell r="E8575">
            <v>0</v>
          </cell>
          <cell r="F8575">
            <v>790</v>
          </cell>
        </row>
        <row r="8576">
          <cell r="A8576" t="str">
            <v>SN4006-2XL</v>
          </cell>
          <cell r="B8576" t="str">
            <v>N4006</v>
          </cell>
          <cell r="C8576" t="str">
            <v>ซาติน แขนสั้นขาสั้น Muslin pinky 2XL</v>
          </cell>
          <cell r="E8576">
            <v>7</v>
          </cell>
          <cell r="F8576">
            <v>790</v>
          </cell>
        </row>
        <row r="8577">
          <cell r="A8577" t="str">
            <v>SN4006-L</v>
          </cell>
          <cell r="B8577" t="str">
            <v>N4006</v>
          </cell>
          <cell r="C8577" t="str">
            <v>ซาติน แขนสั้นขาสั้น Muslin pinky L</v>
          </cell>
          <cell r="E8577">
            <v>0</v>
          </cell>
          <cell r="F8577">
            <v>790</v>
          </cell>
        </row>
        <row r="8578">
          <cell r="A8578" t="str">
            <v>SN4006-M</v>
          </cell>
          <cell r="B8578" t="str">
            <v>N4006</v>
          </cell>
          <cell r="C8578" t="str">
            <v>ซาติน แขนสั้นขาสั้น Muslin pinky M</v>
          </cell>
          <cell r="E8578">
            <v>0</v>
          </cell>
          <cell r="F8578">
            <v>790</v>
          </cell>
        </row>
        <row r="8579">
          <cell r="A8579" t="str">
            <v>SN4006-XL</v>
          </cell>
          <cell r="B8579" t="str">
            <v>N4006</v>
          </cell>
          <cell r="C8579" t="str">
            <v>ซาติน แขนสั้นขาสั้น Muslin pinky XL</v>
          </cell>
          <cell r="E8579">
            <v>6</v>
          </cell>
          <cell r="F8579">
            <v>790</v>
          </cell>
        </row>
        <row r="8580">
          <cell r="A8580" t="str">
            <v>SP0003-L</v>
          </cell>
          <cell r="B8580" t="str">
            <v>P3</v>
          </cell>
          <cell r="C8580" t="str">
            <v>ซาติน แขนยาวขายาว แมวดำ สีฟ้า L</v>
          </cell>
          <cell r="E8580">
            <v>0</v>
          </cell>
          <cell r="F8580">
            <v>950</v>
          </cell>
        </row>
        <row r="8581">
          <cell r="A8581" t="str">
            <v>SP0003-M</v>
          </cell>
          <cell r="B8581" t="str">
            <v>P3</v>
          </cell>
          <cell r="C8581" t="str">
            <v>ซาติน แขนยาวขายาว แมวดำ สีฟ้า M</v>
          </cell>
          <cell r="E8581">
            <v>0</v>
          </cell>
          <cell r="F8581">
            <v>950</v>
          </cell>
        </row>
        <row r="8582">
          <cell r="A8582" t="str">
            <v>SP0004-L</v>
          </cell>
          <cell r="B8582" t="str">
            <v>P4</v>
          </cell>
          <cell r="C8582" t="str">
            <v>ซาติน แขนยาวขายาว แมวดำ สีชมพู L</v>
          </cell>
          <cell r="E8582">
            <v>0</v>
          </cell>
          <cell r="F8582">
            <v>950</v>
          </cell>
        </row>
        <row r="8583">
          <cell r="A8583" t="str">
            <v>SP0004-M</v>
          </cell>
          <cell r="B8583" t="str">
            <v>P4</v>
          </cell>
          <cell r="C8583" t="str">
            <v>ซาติน แขนยาวขายาว แมวดำ สีชมพู M</v>
          </cell>
          <cell r="E8583">
            <v>0</v>
          </cell>
          <cell r="F8583">
            <v>950</v>
          </cell>
        </row>
        <row r="8584">
          <cell r="A8584" t="str">
            <v>SP0010-L</v>
          </cell>
          <cell r="B8584" t="str">
            <v>P10</v>
          </cell>
          <cell r="C8584" t="str">
            <v>ซาติน แขนยาวขายาว Totoro สีฟ้า L (กปก)</v>
          </cell>
          <cell r="E8584">
            <v>0</v>
          </cell>
          <cell r="F8584">
            <v>990</v>
          </cell>
        </row>
        <row r="8585">
          <cell r="A8585" t="str">
            <v>SP0010-M</v>
          </cell>
          <cell r="B8585" t="str">
            <v>P10</v>
          </cell>
          <cell r="C8585" t="str">
            <v>ซาติน แขนยาวขายาว Totoro สีฟ้า M (กปก)</v>
          </cell>
          <cell r="E8585">
            <v>0</v>
          </cell>
          <cell r="F8585">
            <v>990</v>
          </cell>
        </row>
        <row r="8586">
          <cell r="A8586" t="str">
            <v>SP0011-L</v>
          </cell>
          <cell r="B8586" t="str">
            <v>P11</v>
          </cell>
          <cell r="C8586" t="str">
            <v>ซาติน แขนยาวขายาว Totoro ชมพู L (กปก)</v>
          </cell>
          <cell r="E8586">
            <v>0</v>
          </cell>
          <cell r="F8586">
            <v>990</v>
          </cell>
        </row>
        <row r="8587">
          <cell r="A8587" t="str">
            <v>SP0011-M</v>
          </cell>
          <cell r="B8587" t="str">
            <v>P11</v>
          </cell>
          <cell r="C8587" t="str">
            <v>ซาติน แขนยาวขายาว Totoro ชมพู M (กปก)</v>
          </cell>
          <cell r="E8587">
            <v>0</v>
          </cell>
          <cell r="F8587">
            <v>990</v>
          </cell>
        </row>
        <row r="8588">
          <cell r="A8588" t="str">
            <v>SP0012-F</v>
          </cell>
          <cell r="B8588" t="str">
            <v>P12</v>
          </cell>
          <cell r="C8588" t="str">
            <v>ซาติน แขนยาวขายาว เสือดำ Freesize</v>
          </cell>
          <cell r="E8588">
            <v>0</v>
          </cell>
          <cell r="F8588">
            <v>950</v>
          </cell>
        </row>
        <row r="8589">
          <cell r="A8589" t="str">
            <v>SP0014-L</v>
          </cell>
          <cell r="B8589" t="str">
            <v>P14</v>
          </cell>
          <cell r="C8589" t="str">
            <v>ซาติน แขนยาวขายาว สีกรม ลายสิงโต L</v>
          </cell>
          <cell r="E8589">
            <v>0</v>
          </cell>
          <cell r="F8589">
            <v>950</v>
          </cell>
        </row>
        <row r="8590">
          <cell r="A8590" t="str">
            <v>SP0014-M</v>
          </cell>
          <cell r="B8590" t="str">
            <v>P14</v>
          </cell>
          <cell r="C8590" t="str">
            <v>ซาติน แขนยาวขายาว สีกรม ลายสิงโต M</v>
          </cell>
          <cell r="E8590">
            <v>0</v>
          </cell>
          <cell r="F8590">
            <v>950</v>
          </cell>
        </row>
        <row r="8591">
          <cell r="A8591" t="str">
            <v>SP0014-S</v>
          </cell>
          <cell r="B8591" t="str">
            <v>P14</v>
          </cell>
          <cell r="C8591" t="str">
            <v>ซาติน แขนยาวขายาว สีกรม ลายสิงโต S</v>
          </cell>
          <cell r="E8591">
            <v>0</v>
          </cell>
          <cell r="F8591">
            <v>950</v>
          </cell>
        </row>
        <row r="8592">
          <cell r="A8592" t="str">
            <v>SP0015-L</v>
          </cell>
          <cell r="B8592" t="str">
            <v>P15</v>
          </cell>
          <cell r="C8592" t="str">
            <v>ซาติน แขนยาวขายาว ใบไม้นู้ด L</v>
          </cell>
          <cell r="E8592">
            <v>0</v>
          </cell>
          <cell r="F8592">
            <v>950</v>
          </cell>
        </row>
        <row r="8593">
          <cell r="A8593" t="str">
            <v>SP0015-M</v>
          </cell>
          <cell r="B8593" t="str">
            <v>P15</v>
          </cell>
          <cell r="C8593" t="str">
            <v>ซาติน แขนยาวขายาว ใบไม้นู้ด M</v>
          </cell>
          <cell r="E8593">
            <v>0</v>
          </cell>
          <cell r="F8593">
            <v>950</v>
          </cell>
        </row>
        <row r="8594">
          <cell r="A8594" t="str">
            <v>SP0016-L</v>
          </cell>
          <cell r="B8594" t="str">
            <v>P16</v>
          </cell>
          <cell r="C8594" t="str">
            <v>ซาติน แขนยาวขายาว ใบไม้เขียว L</v>
          </cell>
          <cell r="E8594">
            <v>0</v>
          </cell>
          <cell r="F8594">
            <v>950</v>
          </cell>
        </row>
        <row r="8595">
          <cell r="A8595" t="str">
            <v>SP0016-M</v>
          </cell>
          <cell r="B8595" t="str">
            <v>P16</v>
          </cell>
          <cell r="C8595" t="str">
            <v>ซาติน แขนยาวขายาว ใบไม้เขียว M</v>
          </cell>
          <cell r="E8595">
            <v>0</v>
          </cell>
          <cell r="F8595">
            <v>950</v>
          </cell>
        </row>
        <row r="8596">
          <cell r="A8596" t="str">
            <v>SP0017-M</v>
          </cell>
          <cell r="B8596" t="str">
            <v>P17</v>
          </cell>
          <cell r="C8596" t="str">
            <v>ซาติน แขนยาวขายาว ใบไม้แฟนซี พื้นดำ M</v>
          </cell>
          <cell r="E8596">
            <v>0</v>
          </cell>
          <cell r="F8596">
            <v>950</v>
          </cell>
        </row>
        <row r="8597">
          <cell r="A8597" t="str">
            <v>SP0017-S</v>
          </cell>
          <cell r="B8597" t="str">
            <v>P17</v>
          </cell>
          <cell r="C8597" t="str">
            <v>ซาติน แขนยาวขายาว ใบไม้แฟนซี พื้นดำ S</v>
          </cell>
          <cell r="E8597">
            <v>0</v>
          </cell>
          <cell r="F8597">
            <v>950</v>
          </cell>
        </row>
        <row r="8598">
          <cell r="A8598" t="str">
            <v>SP0018-M</v>
          </cell>
          <cell r="B8598" t="str">
            <v>P18</v>
          </cell>
          <cell r="C8598" t="str">
            <v>ซาติน แขนยาวขายาว ใบมะพร้าว และ ดอกไม้แดง M</v>
          </cell>
          <cell r="E8598">
            <v>0</v>
          </cell>
          <cell r="F8598">
            <v>950</v>
          </cell>
        </row>
        <row r="8599">
          <cell r="A8599" t="str">
            <v>SP0018-S</v>
          </cell>
          <cell r="B8599" t="str">
            <v>P18</v>
          </cell>
          <cell r="C8599" t="str">
            <v>ซาติน แขนยาวขายาว ใบมะพร้าว และ ดอกไม้แดง S</v>
          </cell>
          <cell r="E8599">
            <v>0</v>
          </cell>
          <cell r="F8599">
            <v>950</v>
          </cell>
        </row>
        <row r="8600">
          <cell r="A8600" t="str">
            <v>SP0019-L</v>
          </cell>
          <cell r="B8600" t="str">
            <v>P19</v>
          </cell>
          <cell r="C8600" t="str">
            <v>ซาติน แขนยาวขายาว ลายดอกไม้ ใบไม้ สีชมพูนู้ด L</v>
          </cell>
          <cell r="E8600">
            <v>0</v>
          </cell>
          <cell r="F8600">
            <v>950</v>
          </cell>
        </row>
        <row r="8601">
          <cell r="A8601" t="str">
            <v>SP0019-M</v>
          </cell>
          <cell r="B8601" t="str">
            <v>P19</v>
          </cell>
          <cell r="C8601" t="str">
            <v>ซาติน แขนยาวขายาว ลายดอกไม้ ใบไม้ สีชมพูนู้ด M</v>
          </cell>
          <cell r="E8601">
            <v>0</v>
          </cell>
          <cell r="F8601">
            <v>950</v>
          </cell>
        </row>
        <row r="8602">
          <cell r="A8602" t="str">
            <v>SP0020-M</v>
          </cell>
          <cell r="B8602" t="str">
            <v>P20</v>
          </cell>
          <cell r="C8602" t="str">
            <v>ซาติน แขนยาวขายาว ดอกกุหลาบ M</v>
          </cell>
          <cell r="E8602">
            <v>0</v>
          </cell>
          <cell r="F8602">
            <v>950</v>
          </cell>
        </row>
        <row r="8603">
          <cell r="A8603" t="str">
            <v>SP0020-S</v>
          </cell>
          <cell r="B8603" t="str">
            <v>P20</v>
          </cell>
          <cell r="C8603" t="str">
            <v>ซาติน แขนยาวขายาว ดอกกุหลาบ S</v>
          </cell>
          <cell r="E8603">
            <v>0</v>
          </cell>
          <cell r="F8603">
            <v>950</v>
          </cell>
        </row>
        <row r="8604">
          <cell r="A8604" t="str">
            <v>SP0021-M</v>
          </cell>
          <cell r="B8604" t="str">
            <v>P21</v>
          </cell>
          <cell r="C8604" t="str">
            <v>ซาติน แขนยาวขายาว ดอกกุหลาบ พื้นดำ M</v>
          </cell>
          <cell r="E8604">
            <v>0</v>
          </cell>
          <cell r="F8604">
            <v>950</v>
          </cell>
        </row>
        <row r="8605">
          <cell r="A8605" t="str">
            <v>SP0021-S</v>
          </cell>
          <cell r="B8605" t="str">
            <v>P21</v>
          </cell>
          <cell r="C8605" t="str">
            <v>ซาติน แขนยาวขายาว ดอกกุหลาบ พื้นดำ S</v>
          </cell>
          <cell r="E8605">
            <v>0</v>
          </cell>
          <cell r="F8605">
            <v>950</v>
          </cell>
        </row>
        <row r="8606">
          <cell r="A8606" t="str">
            <v>SP0022-M</v>
          </cell>
          <cell r="B8606" t="str">
            <v>P22</v>
          </cell>
          <cell r="C8606" t="str">
            <v>ซาติน แขนยาวขายาว ดอกไม้ส้ม พื้นขาว M</v>
          </cell>
          <cell r="E8606">
            <v>0</v>
          </cell>
          <cell r="F8606">
            <v>950</v>
          </cell>
        </row>
        <row r="8607">
          <cell r="A8607" t="str">
            <v>SP0022-S</v>
          </cell>
          <cell r="B8607" t="str">
            <v>P22</v>
          </cell>
          <cell r="C8607" t="str">
            <v>ซาติน แขนยาวขายาว ดอกไม้ส้ม พื้นขาว S</v>
          </cell>
          <cell r="E8607">
            <v>0</v>
          </cell>
          <cell r="F8607">
            <v>950</v>
          </cell>
        </row>
        <row r="8608">
          <cell r="A8608" t="str">
            <v>SP0023-M</v>
          </cell>
          <cell r="B8608" t="str">
            <v>P23</v>
          </cell>
          <cell r="C8608" t="str">
            <v>ซาติน แขนยาวขายาว ดอกไม้ชมพู ขาวพื้นฟ้า M</v>
          </cell>
          <cell r="E8608">
            <v>0</v>
          </cell>
          <cell r="F8608">
            <v>950</v>
          </cell>
        </row>
        <row r="8609">
          <cell r="A8609" t="str">
            <v>SP0023-S</v>
          </cell>
          <cell r="B8609" t="str">
            <v>P23</v>
          </cell>
          <cell r="C8609" t="str">
            <v>ซาติน แขนยาวขายาว ดอกไม้ชมพู ขาวพื้นฟ้า S</v>
          </cell>
          <cell r="E8609">
            <v>0</v>
          </cell>
          <cell r="F8609">
            <v>950</v>
          </cell>
        </row>
        <row r="8610">
          <cell r="A8610" t="str">
            <v>SP0024-M</v>
          </cell>
          <cell r="B8610" t="str">
            <v>P24</v>
          </cell>
          <cell r="C8610" t="str">
            <v>ซาติน แขนยาวขายาว ดอกไม้ แอปเปิ้ล M</v>
          </cell>
          <cell r="E8610">
            <v>0</v>
          </cell>
          <cell r="F8610">
            <v>950</v>
          </cell>
        </row>
        <row r="8611">
          <cell r="A8611" t="str">
            <v>SP0024-S</v>
          </cell>
          <cell r="B8611" t="str">
            <v>P24</v>
          </cell>
          <cell r="C8611" t="str">
            <v>ซาติน แขนยาวขายาว ดอกไม้ แอปเปิ้ล S</v>
          </cell>
          <cell r="E8611">
            <v>0</v>
          </cell>
          <cell r="F8611">
            <v>950</v>
          </cell>
        </row>
        <row r="8612">
          <cell r="A8612" t="str">
            <v>SP0031-L</v>
          </cell>
          <cell r="B8612" t="str">
            <v>P31</v>
          </cell>
          <cell r="C8612" t="str">
            <v>ซาติน แขนยาวขายาว ลูกไม้ เทาเข้ม L</v>
          </cell>
          <cell r="E8612">
            <v>0</v>
          </cell>
          <cell r="F8612">
            <v>950</v>
          </cell>
        </row>
        <row r="8613">
          <cell r="A8613" t="str">
            <v>SP0031-M</v>
          </cell>
          <cell r="B8613" t="str">
            <v>P31</v>
          </cell>
          <cell r="C8613" t="str">
            <v>ซาติน แขนยาวขายาว ลูกไม้ เทาเข้ม M</v>
          </cell>
          <cell r="E8613">
            <v>0</v>
          </cell>
          <cell r="F8613">
            <v>950</v>
          </cell>
        </row>
        <row r="8614">
          <cell r="A8614" t="str">
            <v>SP0031-S</v>
          </cell>
          <cell r="B8614" t="str">
            <v>P31</v>
          </cell>
          <cell r="C8614" t="str">
            <v>ซาติน แขนยาวขายาว ลูกไม้ เทาเข้ม S</v>
          </cell>
          <cell r="E8614">
            <v>0</v>
          </cell>
          <cell r="F8614">
            <v>950</v>
          </cell>
        </row>
        <row r="8615">
          <cell r="A8615" t="str">
            <v>SP0032-L</v>
          </cell>
          <cell r="B8615" t="str">
            <v>P32</v>
          </cell>
          <cell r="C8615" t="str">
            <v>ซาติน แขนยาวขายาว ลูกไม้ สีโอรส L</v>
          </cell>
          <cell r="E8615">
            <v>0</v>
          </cell>
          <cell r="F8615">
            <v>950</v>
          </cell>
        </row>
        <row r="8616">
          <cell r="A8616" t="str">
            <v>SP0032-M</v>
          </cell>
          <cell r="B8616" t="str">
            <v>P32</v>
          </cell>
          <cell r="C8616" t="str">
            <v>ซาติน แขนยาวขายาว ลูกไม้ สีโอรส M</v>
          </cell>
          <cell r="E8616">
            <v>0</v>
          </cell>
          <cell r="F8616">
            <v>950</v>
          </cell>
        </row>
        <row r="8617">
          <cell r="A8617" t="str">
            <v>SP0032-S</v>
          </cell>
          <cell r="B8617" t="str">
            <v>P32</v>
          </cell>
          <cell r="C8617" t="str">
            <v>ซาติน แขนยาวขายาว ลูกไม้ สีโอรส S</v>
          </cell>
          <cell r="E8617">
            <v>0</v>
          </cell>
          <cell r="F8617">
            <v>950</v>
          </cell>
        </row>
        <row r="8618">
          <cell r="A8618" t="str">
            <v>SP0044-L</v>
          </cell>
          <cell r="B8618" t="str">
            <v>P44</v>
          </cell>
          <cell r="C8618" t="str">
            <v>ซาติน แขนยาวขายาว สีเขียวมิ้นท์ L</v>
          </cell>
          <cell r="E8618">
            <v>0</v>
          </cell>
          <cell r="F8618">
            <v>950</v>
          </cell>
        </row>
        <row r="8619">
          <cell r="A8619" t="str">
            <v>SP0044-M</v>
          </cell>
          <cell r="B8619" t="str">
            <v>P44</v>
          </cell>
          <cell r="C8619" t="str">
            <v>ซาติน แขนยาวขายาว สีเขียวมิ้นท์ M</v>
          </cell>
          <cell r="E8619">
            <v>0</v>
          </cell>
          <cell r="F8619">
            <v>950</v>
          </cell>
        </row>
        <row r="8620">
          <cell r="A8620" t="str">
            <v>SP0045-L</v>
          </cell>
          <cell r="B8620" t="str">
            <v>JP45</v>
          </cell>
          <cell r="C8620" t="str">
            <v>ซาติน แขนยาวขายาว สีชมพู นู้ด ขอบเงิน L (กปก) ตัวโชว์</v>
          </cell>
          <cell r="E8620">
            <v>0</v>
          </cell>
          <cell r="F8620">
            <v>950</v>
          </cell>
        </row>
        <row r="8621">
          <cell r="A8621" t="str">
            <v>SP0045-M</v>
          </cell>
          <cell r="B8621" t="str">
            <v>JP45</v>
          </cell>
          <cell r="C8621" t="str">
            <v>ซาติน แขนยาวขายาว สีชมพู นู้ด ขอบเงิน M (กปก) ตัวโชว์</v>
          </cell>
          <cell r="E8621">
            <v>0</v>
          </cell>
          <cell r="F8621">
            <v>950</v>
          </cell>
        </row>
        <row r="8622">
          <cell r="A8622" t="str">
            <v>SP0048-L</v>
          </cell>
          <cell r="B8622" t="str">
            <v>JP48</v>
          </cell>
          <cell r="C8622" t="str">
            <v>ซาติน แขนยาวขายาว สีกรม ขอบชมพู L (กปก) ตัวโชว์</v>
          </cell>
          <cell r="E8622">
            <v>0</v>
          </cell>
          <cell r="F8622">
            <v>950</v>
          </cell>
        </row>
        <row r="8623">
          <cell r="A8623" t="str">
            <v>SP0048-M</v>
          </cell>
          <cell r="B8623" t="str">
            <v>P48</v>
          </cell>
          <cell r="C8623" t="str">
            <v>ซาติน แขนยาวขายาว สีกรม ขอบชมพู M (กปก)</v>
          </cell>
          <cell r="E8623">
            <v>0</v>
          </cell>
          <cell r="F8623">
            <v>950</v>
          </cell>
        </row>
        <row r="8624">
          <cell r="A8624" t="str">
            <v>SP0060-L</v>
          </cell>
          <cell r="B8624" t="str">
            <v>P60</v>
          </cell>
          <cell r="C8624" t="str">
            <v>ซาติน แขนยาวขายาว ปกชมพู ฟ้า L</v>
          </cell>
          <cell r="E8624">
            <v>0</v>
          </cell>
          <cell r="F8624">
            <v>950</v>
          </cell>
        </row>
        <row r="8625">
          <cell r="A8625" t="str">
            <v>SP0060-M</v>
          </cell>
          <cell r="B8625" t="str">
            <v>P60</v>
          </cell>
          <cell r="C8625" t="str">
            <v>ซาติน แขนยาวขายาว ปกชมพู ฟ้า M</v>
          </cell>
          <cell r="E8625">
            <v>0</v>
          </cell>
          <cell r="F8625">
            <v>950</v>
          </cell>
        </row>
        <row r="8626">
          <cell r="A8626" t="str">
            <v>SP0061-L</v>
          </cell>
          <cell r="B8626" t="str">
            <v>P61</v>
          </cell>
          <cell r="C8626" t="str">
            <v>ซาติน แขนยาวขายาว ลายชมพู ส้ม L</v>
          </cell>
          <cell r="E8626">
            <v>0</v>
          </cell>
          <cell r="F8626">
            <v>950</v>
          </cell>
        </row>
        <row r="8627">
          <cell r="A8627" t="str">
            <v>SP0061-M</v>
          </cell>
          <cell r="B8627" t="str">
            <v>P61</v>
          </cell>
          <cell r="C8627" t="str">
            <v>ซาติน แขนยาวขายาว ลายชมพู ส้ม M</v>
          </cell>
          <cell r="E8627">
            <v>0</v>
          </cell>
          <cell r="F8627">
            <v>950</v>
          </cell>
        </row>
        <row r="8628">
          <cell r="A8628" t="str">
            <v>SP0062-F</v>
          </cell>
          <cell r="B8628" t="str">
            <v>P62</v>
          </cell>
          <cell r="C8628" t="str">
            <v>ซาติน แขนยาวขายาว เสือน้ำตาล Freesize</v>
          </cell>
          <cell r="E8628">
            <v>0</v>
          </cell>
          <cell r="F8628">
            <v>950</v>
          </cell>
        </row>
        <row r="8629">
          <cell r="A8629" t="str">
            <v>SP0063-F</v>
          </cell>
          <cell r="B8629" t="str">
            <v>P63</v>
          </cell>
          <cell r="C8629" t="str">
            <v>ซาติน แขนยาวขายาว ลายชมพู ขอบน้ำตาล Freesize</v>
          </cell>
          <cell r="E8629">
            <v>0</v>
          </cell>
          <cell r="F8629">
            <v>950</v>
          </cell>
        </row>
        <row r="8630">
          <cell r="A8630" t="str">
            <v>SP0064-L</v>
          </cell>
          <cell r="B8630" t="str">
            <v>P64</v>
          </cell>
          <cell r="C8630" t="str">
            <v>ซาติน แขนยาวขายาว สีขาว ลายจุด สีโอโรส ขอบเขียว L</v>
          </cell>
          <cell r="E8630">
            <v>0</v>
          </cell>
          <cell r="F8630">
            <v>950</v>
          </cell>
        </row>
        <row r="8631">
          <cell r="A8631" t="str">
            <v>SP0064-M</v>
          </cell>
          <cell r="B8631" t="str">
            <v>P64</v>
          </cell>
          <cell r="C8631" t="str">
            <v>ซาติน แขนยาวขายาว สีขาว ลายจุด สีโอโรส ขอบเขียว M</v>
          </cell>
          <cell r="E8631">
            <v>0</v>
          </cell>
          <cell r="F8631">
            <v>950</v>
          </cell>
        </row>
        <row r="8632">
          <cell r="A8632" t="str">
            <v>SP0065-L</v>
          </cell>
          <cell r="B8632" t="str">
            <v>P65</v>
          </cell>
          <cell r="C8632" t="str">
            <v>ซาติน แขนยาวขายาว สีชมพูจุดขาว ขอบฟ้า L</v>
          </cell>
          <cell r="E8632">
            <v>0</v>
          </cell>
          <cell r="F8632">
            <v>950</v>
          </cell>
        </row>
        <row r="8633">
          <cell r="A8633" t="str">
            <v>SP0065-M</v>
          </cell>
          <cell r="B8633" t="str">
            <v>P65</v>
          </cell>
          <cell r="C8633" t="str">
            <v>ซาติน แขนยาวขายาว สีชมพูจุดขาว ขอบฟ้า M</v>
          </cell>
          <cell r="E8633">
            <v>0</v>
          </cell>
          <cell r="F8633">
            <v>950</v>
          </cell>
        </row>
        <row r="8634">
          <cell r="A8634" t="str">
            <v>SP0067-L</v>
          </cell>
          <cell r="B8634" t="str">
            <v>P67</v>
          </cell>
          <cell r="C8634" t="str">
            <v>ซาติน แขนยาวขายาว สีฟ้า ลายจุด สีชมพู L</v>
          </cell>
          <cell r="E8634">
            <v>0</v>
          </cell>
          <cell r="F8634">
            <v>950</v>
          </cell>
        </row>
        <row r="8635">
          <cell r="A8635" t="str">
            <v>SP0067-M</v>
          </cell>
          <cell r="B8635" t="str">
            <v>P67</v>
          </cell>
          <cell r="C8635" t="str">
            <v>ซาติน แขนยาวขายาว สีฟ้า ลายจุด สีชมพู M</v>
          </cell>
          <cell r="E8635">
            <v>0</v>
          </cell>
          <cell r="F8635">
            <v>950</v>
          </cell>
        </row>
        <row r="8636">
          <cell r="A8636" t="str">
            <v>SP0068-L</v>
          </cell>
          <cell r="B8636" t="str">
            <v>P68</v>
          </cell>
          <cell r="C8636" t="str">
            <v>ซาติน แขนยาวขายาว สีฟ้า ลายจุดเหลือง L</v>
          </cell>
          <cell r="E8636">
            <v>0</v>
          </cell>
          <cell r="F8636">
            <v>950</v>
          </cell>
        </row>
        <row r="8637">
          <cell r="A8637" t="str">
            <v>SP0068-M</v>
          </cell>
          <cell r="B8637" t="str">
            <v>P68</v>
          </cell>
          <cell r="C8637" t="str">
            <v>ซาติน แขนยาวขายาว สีฟ้า ลายจุดเหลือง M</v>
          </cell>
          <cell r="E8637">
            <v>0</v>
          </cell>
          <cell r="F8637">
            <v>950</v>
          </cell>
        </row>
        <row r="8638">
          <cell r="A8638" t="str">
            <v>SP0069-L</v>
          </cell>
          <cell r="B8638" t="str">
            <v>P69</v>
          </cell>
          <cell r="C8638" t="str">
            <v>ซาติน แขนยาวขายาว ลายทางเล็ก L</v>
          </cell>
          <cell r="E8638">
            <v>0</v>
          </cell>
          <cell r="F8638">
            <v>950</v>
          </cell>
        </row>
        <row r="8639">
          <cell r="A8639" t="str">
            <v>SP0069-M</v>
          </cell>
          <cell r="B8639" t="str">
            <v>P69</v>
          </cell>
          <cell r="C8639" t="str">
            <v>ซาติน แขนยาวขายาว ลายทางเล็ก M</v>
          </cell>
          <cell r="E8639">
            <v>0</v>
          </cell>
          <cell r="F8639">
            <v>950</v>
          </cell>
        </row>
        <row r="8640">
          <cell r="A8640" t="str">
            <v>SP0070-L</v>
          </cell>
          <cell r="B8640" t="str">
            <v>P70</v>
          </cell>
          <cell r="C8640" t="str">
            <v>ซาติน แขนยาวขายาว ลายทางใหญ่ L</v>
          </cell>
          <cell r="E8640">
            <v>0</v>
          </cell>
          <cell r="F8640">
            <v>950</v>
          </cell>
        </row>
        <row r="8641">
          <cell r="A8641" t="str">
            <v>SP0070-M</v>
          </cell>
          <cell r="B8641" t="str">
            <v>P70</v>
          </cell>
          <cell r="C8641" t="str">
            <v>ซาติน แขนยาวขายาว ลายทางใหญ่ M</v>
          </cell>
          <cell r="E8641">
            <v>0</v>
          </cell>
          <cell r="F8641">
            <v>950</v>
          </cell>
        </row>
        <row r="8642">
          <cell r="A8642" t="str">
            <v>SP0071-M</v>
          </cell>
          <cell r="B8642" t="str">
            <v>P71</v>
          </cell>
          <cell r="C8642" t="str">
            <v>ซาติน แขนยาวขายาว พื้นชมพู ลายทางขาวดำ M</v>
          </cell>
          <cell r="E8642">
            <v>0</v>
          </cell>
          <cell r="F8642">
            <v>950</v>
          </cell>
        </row>
        <row r="8643">
          <cell r="A8643" t="str">
            <v>SP0071-S</v>
          </cell>
          <cell r="B8643" t="str">
            <v>P71</v>
          </cell>
          <cell r="C8643" t="str">
            <v>ซาติน แขนยาวขายาว พื้นชมพู ลายทางขาวดำ S</v>
          </cell>
          <cell r="E8643">
            <v>0</v>
          </cell>
          <cell r="F8643">
            <v>950</v>
          </cell>
        </row>
        <row r="8644">
          <cell r="A8644" t="str">
            <v>SP0072-F</v>
          </cell>
          <cell r="B8644" t="str">
            <v>P72</v>
          </cell>
          <cell r="C8644" t="str">
            <v>ซาติน แขนยาวขายาว ลายตาราง ขอบกรม Freesize</v>
          </cell>
          <cell r="E8644">
            <v>0</v>
          </cell>
          <cell r="F8644">
            <v>950</v>
          </cell>
        </row>
        <row r="8645">
          <cell r="A8645" t="str">
            <v>SP00726-L</v>
          </cell>
          <cell r="B8645" t="str">
            <v>P726</v>
          </cell>
          <cell r="C8645" t="str">
            <v>ซาติน แขนยาวขายาว พื้นม่วงล้วน ขอบขาว  L</v>
          </cell>
          <cell r="E8645">
            <v>0</v>
          </cell>
          <cell r="F8645">
            <v>950</v>
          </cell>
        </row>
        <row r="8646">
          <cell r="A8646" t="str">
            <v>SP00726-M</v>
          </cell>
          <cell r="B8646" t="str">
            <v>P726</v>
          </cell>
          <cell r="C8646" t="str">
            <v>ซาติน แขนยาวขายาว พื้นม่วงล้วน ขอบขาว  M</v>
          </cell>
          <cell r="E8646">
            <v>0</v>
          </cell>
          <cell r="F8646">
            <v>950</v>
          </cell>
        </row>
        <row r="8647">
          <cell r="A8647" t="str">
            <v>SP00726-S</v>
          </cell>
          <cell r="B8647" t="str">
            <v>P726</v>
          </cell>
          <cell r="C8647" t="str">
            <v>ซาติน แขนยาวขายาว พื้นม่วงล้วน ขอบขาว  S</v>
          </cell>
          <cell r="E8647">
            <v>0</v>
          </cell>
          <cell r="F8647">
            <v>950</v>
          </cell>
        </row>
        <row r="8648">
          <cell r="A8648" t="str">
            <v>SP00727-L</v>
          </cell>
          <cell r="B8648" t="str">
            <v>P727</v>
          </cell>
          <cell r="C8648" t="str">
            <v>ซาติน แขนยาวขายาว พื้นชมพูล้วน ขอบขาว  L</v>
          </cell>
          <cell r="E8648">
            <v>0</v>
          </cell>
          <cell r="F8648">
            <v>950</v>
          </cell>
        </row>
        <row r="8649">
          <cell r="A8649" t="str">
            <v>SP00727-M</v>
          </cell>
          <cell r="B8649" t="str">
            <v>P727</v>
          </cell>
          <cell r="C8649" t="str">
            <v>ซาติน แขนยาวขายาว พื้นชมพูล้วน ขอบขาว  M</v>
          </cell>
          <cell r="E8649">
            <v>0</v>
          </cell>
          <cell r="F8649">
            <v>950</v>
          </cell>
        </row>
        <row r="8650">
          <cell r="A8650" t="str">
            <v>SP00727-S</v>
          </cell>
          <cell r="B8650" t="str">
            <v>P727</v>
          </cell>
          <cell r="C8650" t="str">
            <v>ซาติน แขนยาวขายาว พื้นชมพูล้วน ขอบขาว  S</v>
          </cell>
          <cell r="E8650">
            <v>0</v>
          </cell>
          <cell r="F8650">
            <v>950</v>
          </cell>
        </row>
        <row r="8651">
          <cell r="A8651" t="str">
            <v>SP0080-L</v>
          </cell>
          <cell r="B8651" t="str">
            <v>P80</v>
          </cell>
          <cell r="C8651" t="str">
            <v>ซาติน แขนยาวขายาว ดาว สีฟ้า L</v>
          </cell>
          <cell r="E8651">
            <v>0</v>
          </cell>
          <cell r="F8651">
            <v>950</v>
          </cell>
        </row>
        <row r="8652">
          <cell r="A8652" t="str">
            <v>SP0080-M</v>
          </cell>
          <cell r="B8652" t="str">
            <v>P80</v>
          </cell>
          <cell r="C8652" t="str">
            <v>ซาติน แขนยาวขายาว ดาว สีฟ้า M</v>
          </cell>
          <cell r="E8652">
            <v>0</v>
          </cell>
          <cell r="F8652">
            <v>950</v>
          </cell>
        </row>
        <row r="8653">
          <cell r="A8653" t="str">
            <v>SP0081-L</v>
          </cell>
          <cell r="B8653" t="str">
            <v>P81</v>
          </cell>
          <cell r="C8653" t="str">
            <v>ซาติน แขนยาวขายาว ดาว สีชมพู L</v>
          </cell>
          <cell r="E8653">
            <v>0</v>
          </cell>
          <cell r="F8653">
            <v>950</v>
          </cell>
        </row>
        <row r="8654">
          <cell r="A8654" t="str">
            <v>SP0081-M</v>
          </cell>
          <cell r="B8654" t="str">
            <v>P81</v>
          </cell>
          <cell r="C8654" t="str">
            <v>ซาติน แขนยาวขายาว ดาว สีชมพู M</v>
          </cell>
          <cell r="E8654">
            <v>0</v>
          </cell>
          <cell r="F8654">
            <v>950</v>
          </cell>
        </row>
        <row r="8655">
          <cell r="A8655" t="str">
            <v>SP0082-M</v>
          </cell>
          <cell r="B8655" t="str">
            <v>P82</v>
          </cell>
          <cell r="C8655" t="str">
            <v>ซาติน แขนยาวขายาว ดาวดำ ขอบส้ม M</v>
          </cell>
          <cell r="E8655">
            <v>0</v>
          </cell>
          <cell r="F8655">
            <v>950</v>
          </cell>
        </row>
        <row r="8656">
          <cell r="A8656" t="str">
            <v>SP0082-S</v>
          </cell>
          <cell r="B8656" t="str">
            <v>P82</v>
          </cell>
          <cell r="C8656" t="str">
            <v>ซาติน แขนยาวขายาว ดาวดำ ขอบส้ม S</v>
          </cell>
          <cell r="E8656">
            <v>0</v>
          </cell>
          <cell r="F8656">
            <v>950</v>
          </cell>
        </row>
        <row r="8657">
          <cell r="A8657" t="str">
            <v>SP0083-L</v>
          </cell>
          <cell r="B8657" t="str">
            <v>P83</v>
          </cell>
          <cell r="C8657" t="str">
            <v>ซาติน แขนยาวขายาว เดือนดาว ฟ้า ขอบชมพู L</v>
          </cell>
          <cell r="E8657">
            <v>0</v>
          </cell>
          <cell r="F8657">
            <v>950</v>
          </cell>
        </row>
        <row r="8658">
          <cell r="A8658" t="str">
            <v>SP0083-M</v>
          </cell>
          <cell r="B8658" t="str">
            <v>P83</v>
          </cell>
          <cell r="C8658" t="str">
            <v>ซาติน แขนยาวขายาว เดือนดาว ฟ้า ขอบชมพู M</v>
          </cell>
          <cell r="E8658">
            <v>0</v>
          </cell>
          <cell r="F8658">
            <v>950</v>
          </cell>
        </row>
        <row r="8659">
          <cell r="A8659" t="str">
            <v>SP0084-L</v>
          </cell>
          <cell r="B8659" t="str">
            <v>P84</v>
          </cell>
          <cell r="C8659" t="str">
            <v>ซาติน แขนยาวขายาว เดือนดาว ชมพู ขอบดำ L</v>
          </cell>
          <cell r="E8659">
            <v>0</v>
          </cell>
          <cell r="F8659">
            <v>950</v>
          </cell>
        </row>
        <row r="8660">
          <cell r="A8660" t="str">
            <v>SP0084-M</v>
          </cell>
          <cell r="B8660" t="str">
            <v>P84</v>
          </cell>
          <cell r="C8660" t="str">
            <v>ซาติน แขนยาวขายาว เดือนดาว ชมพู ขอบดำ M</v>
          </cell>
          <cell r="E8660">
            <v>0</v>
          </cell>
          <cell r="F8660">
            <v>950</v>
          </cell>
        </row>
        <row r="8661">
          <cell r="A8661" t="str">
            <v>SP0092-2XL</v>
          </cell>
          <cell r="B8661" t="str">
            <v>P92</v>
          </cell>
          <cell r="C8661" t="str">
            <v>ซาติน แขนยาวขายาว เสือดาวชมพู พื้นม่วง คอฟ้า 2XL</v>
          </cell>
          <cell r="E8661">
            <v>0</v>
          </cell>
          <cell r="F8661">
            <v>950</v>
          </cell>
        </row>
        <row r="8662">
          <cell r="A8662" t="str">
            <v>SP0092-L</v>
          </cell>
          <cell r="B8662" t="str">
            <v>P92</v>
          </cell>
          <cell r="C8662" t="str">
            <v>ซาติน แขนยาวขายาว เสือดาวชมพู พื้นม่วง คอฟ้า L</v>
          </cell>
          <cell r="E8662">
            <v>0</v>
          </cell>
          <cell r="F8662">
            <v>950</v>
          </cell>
        </row>
        <row r="8663">
          <cell r="A8663" t="str">
            <v>SP0092-M</v>
          </cell>
          <cell r="B8663" t="str">
            <v>P92</v>
          </cell>
          <cell r="C8663" t="str">
            <v>ซาติน แขนยาวขายาว เสือดาวชมพู พื้นม่วง คอฟ้า M</v>
          </cell>
          <cell r="E8663">
            <v>0</v>
          </cell>
          <cell r="F8663">
            <v>950</v>
          </cell>
        </row>
        <row r="8664">
          <cell r="A8664" t="str">
            <v>SP0092-S</v>
          </cell>
          <cell r="B8664" t="str">
            <v>P92</v>
          </cell>
          <cell r="C8664" t="str">
            <v>ซาติน แขนยาวขายาว เสือดาวชมพู พื้นม่วง คอฟ้า S</v>
          </cell>
          <cell r="E8664">
            <v>0</v>
          </cell>
          <cell r="F8664">
            <v>950</v>
          </cell>
        </row>
        <row r="8665">
          <cell r="A8665" t="str">
            <v>SP0092-XL</v>
          </cell>
          <cell r="B8665" t="str">
            <v>P92</v>
          </cell>
          <cell r="C8665" t="str">
            <v>ซาติน แขนยาวขายาว เสือดาวชมพู พื้นม่วง คอฟ้า XL</v>
          </cell>
          <cell r="E8665">
            <v>0</v>
          </cell>
          <cell r="F8665">
            <v>950</v>
          </cell>
        </row>
        <row r="8666">
          <cell r="A8666" t="str">
            <v>SP0099-M</v>
          </cell>
          <cell r="B8666" t="str">
            <v>P99</v>
          </cell>
          <cell r="C8666" t="str">
            <v>ซาติน แขนยาวขายาว V ขาว ชมพู M</v>
          </cell>
          <cell r="E8666">
            <v>0</v>
          </cell>
          <cell r="F8666">
            <v>950</v>
          </cell>
        </row>
        <row r="8667">
          <cell r="A8667" t="str">
            <v>SP0099-S</v>
          </cell>
          <cell r="B8667" t="str">
            <v>P99</v>
          </cell>
          <cell r="C8667" t="str">
            <v>ซาติน แขนยาวขายาว V ขาว ชมพู S</v>
          </cell>
          <cell r="E8667">
            <v>0</v>
          </cell>
          <cell r="F8667">
            <v>950</v>
          </cell>
        </row>
        <row r="8668">
          <cell r="A8668" t="str">
            <v>SP0101-L</v>
          </cell>
          <cell r="B8668" t="str">
            <v>P101</v>
          </cell>
          <cell r="C8668" t="str">
            <v>ซาติน แขนยาวขายาว SIMI สีคราม L</v>
          </cell>
          <cell r="E8668">
            <v>0</v>
          </cell>
          <cell r="F8668">
            <v>950</v>
          </cell>
        </row>
        <row r="8669">
          <cell r="A8669" t="str">
            <v>SP0101-M</v>
          </cell>
          <cell r="B8669" t="str">
            <v>P101</v>
          </cell>
          <cell r="C8669" t="str">
            <v>ซาติน แขนยาวขายาว SIMI สีคราม M</v>
          </cell>
          <cell r="E8669">
            <v>0</v>
          </cell>
          <cell r="F8669">
            <v>950</v>
          </cell>
        </row>
        <row r="8670">
          <cell r="A8670" t="str">
            <v>SP0102-L</v>
          </cell>
          <cell r="B8670" t="str">
            <v>P102</v>
          </cell>
          <cell r="C8670" t="str">
            <v>ซาติน แขนยาวขายาว SIMI สีชมพู L</v>
          </cell>
          <cell r="E8670">
            <v>0</v>
          </cell>
          <cell r="F8670">
            <v>950</v>
          </cell>
        </row>
        <row r="8671">
          <cell r="A8671" t="str">
            <v>SP0102-M</v>
          </cell>
          <cell r="B8671" t="str">
            <v>P102</v>
          </cell>
          <cell r="C8671" t="str">
            <v>ซาติน แขนยาวขายาว SIMI สีชมพู M</v>
          </cell>
          <cell r="E8671">
            <v>0</v>
          </cell>
          <cell r="F8671">
            <v>950</v>
          </cell>
        </row>
        <row r="8672">
          <cell r="A8672" t="str">
            <v>SP0103-M</v>
          </cell>
          <cell r="B8672" t="str">
            <v>P103</v>
          </cell>
          <cell r="C8672" t="str">
            <v>ซาติน แขนยาวขายาว ลายโซ่ M</v>
          </cell>
          <cell r="E8672">
            <v>0</v>
          </cell>
          <cell r="F8672">
            <v>950</v>
          </cell>
        </row>
        <row r="8673">
          <cell r="A8673" t="str">
            <v>SP0103-S</v>
          </cell>
          <cell r="B8673" t="str">
            <v>P103</v>
          </cell>
          <cell r="C8673" t="str">
            <v>ซาติน แขนยาวขายาว ลายโซ่ S</v>
          </cell>
          <cell r="E8673">
            <v>0</v>
          </cell>
          <cell r="F8673">
            <v>950</v>
          </cell>
        </row>
        <row r="8674">
          <cell r="A8674" t="str">
            <v>SP0103-XS</v>
          </cell>
          <cell r="B8674" t="str">
            <v>P103</v>
          </cell>
          <cell r="C8674" t="str">
            <v>ซาติน แขนยาวขายาว ลายโซ่ XS</v>
          </cell>
          <cell r="E8674">
            <v>0</v>
          </cell>
          <cell r="F8674">
            <v>950</v>
          </cell>
        </row>
        <row r="8675">
          <cell r="A8675" t="str">
            <v>SP0104-M</v>
          </cell>
          <cell r="B8675" t="str">
            <v>P104</v>
          </cell>
          <cell r="C8675" t="str">
            <v>ซาติน แขนยาวขายาว art พื้นสีเนื้อ M</v>
          </cell>
          <cell r="E8675">
            <v>0</v>
          </cell>
          <cell r="F8675">
            <v>950</v>
          </cell>
        </row>
        <row r="8676">
          <cell r="A8676" t="str">
            <v>SP0104-S</v>
          </cell>
          <cell r="B8676" t="str">
            <v>P104</v>
          </cell>
          <cell r="C8676" t="str">
            <v>ซาติน แขนยาวขายาว art พื้นสีเนื้อ S</v>
          </cell>
          <cell r="E8676">
            <v>0</v>
          </cell>
          <cell r="F8676">
            <v>950</v>
          </cell>
        </row>
        <row r="8677">
          <cell r="A8677" t="str">
            <v>SP0105-L</v>
          </cell>
          <cell r="B8677" t="str">
            <v>P105</v>
          </cell>
          <cell r="C8677" t="str">
            <v>ซาติน แขนยาวขายาว พริ๊นเซส ชมพู L</v>
          </cell>
          <cell r="E8677">
            <v>0</v>
          </cell>
          <cell r="F8677">
            <v>950</v>
          </cell>
        </row>
        <row r="8678">
          <cell r="A8678" t="str">
            <v>SP0105-M</v>
          </cell>
          <cell r="B8678" t="str">
            <v>P105</v>
          </cell>
          <cell r="C8678" t="str">
            <v>ซาติน แขนยาวขายาว พริ๊นเซส ชมพู M</v>
          </cell>
          <cell r="E8678">
            <v>0</v>
          </cell>
          <cell r="F8678">
            <v>950</v>
          </cell>
        </row>
        <row r="8679">
          <cell r="A8679" t="str">
            <v>SP0106-L</v>
          </cell>
          <cell r="B8679" t="str">
            <v>P106</v>
          </cell>
          <cell r="C8679" t="str">
            <v>ซาติน แขนยาวขายาว พริ๊นเซส ขาว L</v>
          </cell>
          <cell r="E8679">
            <v>0</v>
          </cell>
          <cell r="F8679">
            <v>950</v>
          </cell>
        </row>
        <row r="8680">
          <cell r="A8680" t="str">
            <v>SP0106-M</v>
          </cell>
          <cell r="B8680" t="str">
            <v>P106</v>
          </cell>
          <cell r="C8680" t="str">
            <v>ซาติน แขนยาวขายาว พริ๊นเซส ขาว M</v>
          </cell>
          <cell r="E8680">
            <v>0</v>
          </cell>
          <cell r="F8680">
            <v>950</v>
          </cell>
        </row>
        <row r="8681">
          <cell r="A8681" t="str">
            <v>SP0108-F</v>
          </cell>
          <cell r="B8681" t="str">
            <v>P108</v>
          </cell>
          <cell r="C8681" t="str">
            <v>ซาติน แขนยาวขายาว ลายหัวใจ ขอบน้ำเงิน Freesize</v>
          </cell>
          <cell r="E8681">
            <v>0</v>
          </cell>
          <cell r="F8681">
            <v>950</v>
          </cell>
        </row>
        <row r="8682">
          <cell r="A8682" t="str">
            <v>SP0114-L</v>
          </cell>
          <cell r="B8682" t="str">
            <v>P114</v>
          </cell>
          <cell r="C8682" t="str">
            <v>ซาติน แขนยาวขายาว สีดำ ระบายชมพู L</v>
          </cell>
          <cell r="E8682">
            <v>0</v>
          </cell>
          <cell r="F8682">
            <v>950</v>
          </cell>
        </row>
        <row r="8683">
          <cell r="A8683" t="str">
            <v>SP0114-M</v>
          </cell>
          <cell r="B8683" t="str">
            <v>P114</v>
          </cell>
          <cell r="C8683" t="str">
            <v>ซาติน แขนยาวขายาว สีดำ ระบายชมพู M</v>
          </cell>
          <cell r="E8683">
            <v>0</v>
          </cell>
          <cell r="F8683">
            <v>950</v>
          </cell>
        </row>
        <row r="8684">
          <cell r="A8684" t="str">
            <v>SP0115-L</v>
          </cell>
          <cell r="B8684" t="str">
            <v>P115</v>
          </cell>
          <cell r="C8684" t="str">
            <v>ซาติน แขนยาวขายาว สีเขียวระบายชมพู L</v>
          </cell>
          <cell r="E8684">
            <v>0</v>
          </cell>
          <cell r="F8684">
            <v>950</v>
          </cell>
        </row>
        <row r="8685">
          <cell r="A8685" t="str">
            <v>SP0115-M</v>
          </cell>
          <cell r="B8685" t="str">
            <v>P115</v>
          </cell>
          <cell r="C8685" t="str">
            <v>ซาติน แขนยาวขายาว สีเขียว ระบายชมพู M</v>
          </cell>
          <cell r="E8685">
            <v>0</v>
          </cell>
          <cell r="F8685">
            <v>950</v>
          </cell>
        </row>
        <row r="8686">
          <cell r="A8686" t="str">
            <v>SP0116-L</v>
          </cell>
          <cell r="B8686" t="str">
            <v>P116</v>
          </cell>
          <cell r="C8686" t="str">
            <v>ซาติน แขนยาวขายาว สีชมพู ระบายเขียว L</v>
          </cell>
          <cell r="E8686">
            <v>0</v>
          </cell>
          <cell r="F8686">
            <v>950</v>
          </cell>
        </row>
        <row r="8687">
          <cell r="A8687" t="str">
            <v>SP0116-M</v>
          </cell>
          <cell r="B8687" t="str">
            <v>P116</v>
          </cell>
          <cell r="C8687" t="str">
            <v>ซาติน แขนยาวขายาว สีชมพู ระบายเขียว M</v>
          </cell>
          <cell r="E8687">
            <v>0</v>
          </cell>
          <cell r="F8687">
            <v>950</v>
          </cell>
        </row>
        <row r="8688">
          <cell r="A8688" t="str">
            <v>SP0118-L</v>
          </cell>
          <cell r="B8688" t="str">
            <v>P118</v>
          </cell>
          <cell r="C8688" t="str">
            <v>ซาติน แขนยาวขายาว คอบัว สีขาว L</v>
          </cell>
          <cell r="E8688">
            <v>0</v>
          </cell>
          <cell r="F8688">
            <v>950</v>
          </cell>
        </row>
        <row r="8689">
          <cell r="A8689" t="str">
            <v>SP0118-M</v>
          </cell>
          <cell r="B8689" t="str">
            <v>P118</v>
          </cell>
          <cell r="C8689" t="str">
            <v>ซาติน แขนยาวขายาว คอบัว สีขาว M</v>
          </cell>
          <cell r="E8689">
            <v>0</v>
          </cell>
          <cell r="F8689">
            <v>950</v>
          </cell>
        </row>
        <row r="8690">
          <cell r="A8690" t="str">
            <v>SP0119-L</v>
          </cell>
          <cell r="B8690" t="str">
            <v>P119</v>
          </cell>
          <cell r="C8690" t="str">
            <v>ซาติน แขนยาวขายาว คอบัว สีดำ L</v>
          </cell>
          <cell r="E8690">
            <v>0</v>
          </cell>
          <cell r="F8690">
            <v>950</v>
          </cell>
        </row>
        <row r="8691">
          <cell r="A8691" t="str">
            <v>SP0119-M</v>
          </cell>
          <cell r="B8691" t="str">
            <v>P119</v>
          </cell>
          <cell r="C8691" t="str">
            <v>ซาติน แขนยาวขายาว คอบัว สีดำ M</v>
          </cell>
          <cell r="E8691">
            <v>0</v>
          </cell>
          <cell r="F8691">
            <v>950</v>
          </cell>
        </row>
        <row r="8692">
          <cell r="A8692" t="str">
            <v>SP0180-L</v>
          </cell>
          <cell r="B8692" t="str">
            <v>P180</v>
          </cell>
          <cell r="C8692" t="str">
            <v>ซาติน แขนยาวขายาว พื้นชมพู คอบัวขาว L</v>
          </cell>
          <cell r="E8692">
            <v>0</v>
          </cell>
          <cell r="F8692">
            <v>950</v>
          </cell>
        </row>
        <row r="8693">
          <cell r="A8693" t="str">
            <v>SP0180-M</v>
          </cell>
          <cell r="B8693" t="str">
            <v>P180</v>
          </cell>
          <cell r="C8693" t="str">
            <v>ซาติน แขนยาวขายาว พื้นชมพู คอบัวขาว M</v>
          </cell>
          <cell r="E8693">
            <v>0</v>
          </cell>
          <cell r="F8693">
            <v>950</v>
          </cell>
        </row>
        <row r="8694">
          <cell r="A8694" t="str">
            <v>SP0181-M</v>
          </cell>
          <cell r="B8694" t="str">
            <v>P181</v>
          </cell>
          <cell r="C8694" t="str">
            <v>ซาติน แขนยาวขายาว สีครีม ขอบเงิน M</v>
          </cell>
          <cell r="E8694">
            <v>0</v>
          </cell>
          <cell r="F8694">
            <v>950</v>
          </cell>
        </row>
        <row r="8695">
          <cell r="A8695" t="str">
            <v>SP0187-L</v>
          </cell>
          <cell r="B8695" t="str">
            <v>P187</v>
          </cell>
          <cell r="C8695" t="str">
            <v>ซาติน แขนยาวขายาว สีฟ้า ขอบชมพู L (กปก)</v>
          </cell>
          <cell r="E8695">
            <v>0</v>
          </cell>
          <cell r="F8695">
            <v>950</v>
          </cell>
        </row>
        <row r="8696">
          <cell r="A8696" t="str">
            <v>SP0187-M</v>
          </cell>
          <cell r="B8696" t="str">
            <v>JP187</v>
          </cell>
          <cell r="C8696" t="str">
            <v>ซาติน แขนยาวขายาว สีฟ้า ขอบชมพู M (กปก) ตัวโชว์</v>
          </cell>
          <cell r="E8696">
            <v>0</v>
          </cell>
          <cell r="F8696">
            <v>950</v>
          </cell>
        </row>
        <row r="8697">
          <cell r="A8697" t="str">
            <v>SP0189-F</v>
          </cell>
          <cell r="B8697" t="str">
            <v>P189</v>
          </cell>
          <cell r="C8697" t="str">
            <v>ซาติน แขนยาวขายาว ใบไม้หลายสี พื้นกรม ฟรีไซด์</v>
          </cell>
          <cell r="E8697">
            <v>0</v>
          </cell>
          <cell r="F8697">
            <v>950</v>
          </cell>
        </row>
        <row r="8698">
          <cell r="A8698" t="str">
            <v>SP0190-F</v>
          </cell>
          <cell r="B8698" t="str">
            <v>P190</v>
          </cell>
          <cell r="C8698" t="str">
            <v>ซาติน แขนยาวขายาว กุหลายขาว พื้นกรม ขอบทอง ฟรีไซด์</v>
          </cell>
          <cell r="E8698">
            <v>0</v>
          </cell>
          <cell r="F8698">
            <v>950</v>
          </cell>
        </row>
        <row r="8699">
          <cell r="A8699" t="str">
            <v>SP0198-L</v>
          </cell>
          <cell r="B8699" t="str">
            <v>P198</v>
          </cell>
          <cell r="C8699" t="str">
            <v>ซาติน แขนยาวขายาว แมวฟ้าส้ม พื้นขาว กางเกงฟ้า L</v>
          </cell>
          <cell r="E8699">
            <v>0</v>
          </cell>
          <cell r="F8699">
            <v>950</v>
          </cell>
        </row>
        <row r="8700">
          <cell r="A8700" t="str">
            <v>SP0198-M</v>
          </cell>
          <cell r="B8700" t="str">
            <v>P198</v>
          </cell>
          <cell r="C8700" t="str">
            <v>ซาติน แขนยาวขายาว แมวฟ้าส้ม พื้นขาว กางเกงฟ้า M</v>
          </cell>
          <cell r="E8700">
            <v>0</v>
          </cell>
          <cell r="F8700">
            <v>990</v>
          </cell>
        </row>
        <row r="8701">
          <cell r="A8701" t="str">
            <v>SP0208-F</v>
          </cell>
          <cell r="B8701" t="str">
            <v>P208</v>
          </cell>
          <cell r="C8701" t="str">
            <v>ซาติน แขนยาวขายาว ตารางดอกไม้ ฟรีไซส์</v>
          </cell>
          <cell r="E8701">
            <v>0</v>
          </cell>
          <cell r="F8701">
            <v>950</v>
          </cell>
        </row>
        <row r="8702">
          <cell r="A8702" t="str">
            <v>SP0211-F</v>
          </cell>
          <cell r="B8702" t="str">
            <v>P211</v>
          </cell>
          <cell r="C8702" t="str">
            <v>ซาติน แขนยาวขายาว ซู ฟรีไชส์</v>
          </cell>
          <cell r="E8702">
            <v>0</v>
          </cell>
          <cell r="F8702">
            <v>950</v>
          </cell>
        </row>
        <row r="8703">
          <cell r="A8703" t="str">
            <v>SP0230-L</v>
          </cell>
          <cell r="B8703" t="str">
            <v>P230</v>
          </cell>
          <cell r="C8703" t="str">
            <v>ซาติน แขนยาวขายาวแมวฟ้าส้ม พื้นขาว กางเกงชมพู L</v>
          </cell>
          <cell r="E8703">
            <v>0</v>
          </cell>
          <cell r="F8703">
            <v>950</v>
          </cell>
        </row>
        <row r="8704">
          <cell r="A8704" t="str">
            <v>SP0230-M</v>
          </cell>
          <cell r="B8704" t="str">
            <v>P230</v>
          </cell>
          <cell r="C8704" t="str">
            <v>ซาติน แขนยาวขายาว แมวฟ้าส้ม พื้นขาวกางเกงชมพู M</v>
          </cell>
          <cell r="E8704">
            <v>0</v>
          </cell>
          <cell r="F8704">
            <v>950</v>
          </cell>
        </row>
        <row r="8705">
          <cell r="A8705" t="str">
            <v>SP0240-L</v>
          </cell>
          <cell r="B8705" t="str">
            <v>P240</v>
          </cell>
          <cell r="C8705" t="str">
            <v>ซาติน  แขนยาวขายาว จุดดำ พื้นครีม L</v>
          </cell>
          <cell r="E8705">
            <v>0</v>
          </cell>
          <cell r="F8705">
            <v>950</v>
          </cell>
        </row>
        <row r="8706">
          <cell r="A8706" t="str">
            <v>SP0241-L</v>
          </cell>
          <cell r="B8706" t="str">
            <v>P241</v>
          </cell>
          <cell r="C8706" t="str">
            <v>ซาติน แขนยาวขายาว หมีพื้นครีม คอปกเขียว L</v>
          </cell>
          <cell r="E8706">
            <v>0</v>
          </cell>
          <cell r="F8706">
            <v>950</v>
          </cell>
        </row>
        <row r="8707">
          <cell r="A8707" t="str">
            <v>SP0241-M</v>
          </cell>
          <cell r="B8707" t="str">
            <v>P241</v>
          </cell>
          <cell r="C8707" t="str">
            <v>ซาติน แขนยาวขายาว หมีพื้นครีม คอปกเขียว M</v>
          </cell>
          <cell r="E8707">
            <v>0</v>
          </cell>
          <cell r="F8707">
            <v>950</v>
          </cell>
        </row>
        <row r="8708">
          <cell r="A8708" t="str">
            <v>SP0242-L</v>
          </cell>
          <cell r="B8708" t="str">
            <v>P242</v>
          </cell>
          <cell r="C8708" t="str">
            <v>ซาติน แขนยาวขายาว หมีพื้นเขียว คอปกครีม L</v>
          </cell>
          <cell r="E8708">
            <v>0</v>
          </cell>
          <cell r="F8708">
            <v>950</v>
          </cell>
        </row>
        <row r="8709">
          <cell r="A8709" t="str">
            <v>SP0242-M</v>
          </cell>
          <cell r="B8709" t="str">
            <v>P242</v>
          </cell>
          <cell r="C8709" t="str">
            <v>ซาติน แขนยาวขายาว หมีพื้นเขียว คอปกครีม M</v>
          </cell>
          <cell r="E8709">
            <v>0</v>
          </cell>
          <cell r="F8709">
            <v>950</v>
          </cell>
        </row>
        <row r="8710">
          <cell r="A8710" t="str">
            <v>SP0243-L</v>
          </cell>
          <cell r="B8710" t="str">
            <v>P243</v>
          </cell>
          <cell r="C8710" t="str">
            <v>ซาติน แขนยาวขายาว onion พื้นฟ้า L</v>
          </cell>
          <cell r="E8710">
            <v>0</v>
          </cell>
          <cell r="F8710">
            <v>950</v>
          </cell>
        </row>
        <row r="8711">
          <cell r="A8711" t="str">
            <v>SP0243-M</v>
          </cell>
          <cell r="B8711" t="str">
            <v>P243</v>
          </cell>
          <cell r="C8711" t="str">
            <v>ซาติน แขนยาวขายาว onion พื้นฟ้า M</v>
          </cell>
          <cell r="E8711">
            <v>0</v>
          </cell>
          <cell r="F8711">
            <v>950</v>
          </cell>
        </row>
        <row r="8712">
          <cell r="A8712" t="str">
            <v>SP0244-L</v>
          </cell>
          <cell r="B8712" t="str">
            <v>P244</v>
          </cell>
          <cell r="C8712" t="str">
            <v>ซาติน แขนยาวขายาว Love ระบายจุดส้ม พื้นขาว L</v>
          </cell>
          <cell r="E8712">
            <v>0</v>
          </cell>
          <cell r="F8712">
            <v>950</v>
          </cell>
        </row>
        <row r="8713">
          <cell r="A8713" t="str">
            <v>SP0244-M</v>
          </cell>
          <cell r="B8713" t="str">
            <v>P244</v>
          </cell>
          <cell r="C8713" t="str">
            <v>ซาติน แขนยาวขายาว Love ระบายจุดส้ม พื้นขาว M</v>
          </cell>
          <cell r="E8713">
            <v>0</v>
          </cell>
          <cell r="F8713">
            <v>950</v>
          </cell>
        </row>
        <row r="8714">
          <cell r="A8714" t="str">
            <v>SP0245-L</v>
          </cell>
          <cell r="B8714" t="str">
            <v>P245</v>
          </cell>
          <cell r="C8714" t="str">
            <v>ซาติน แขนยาวขายาว Love ระบายจุดกรม พื้นชมพู L</v>
          </cell>
          <cell r="E8714">
            <v>0</v>
          </cell>
          <cell r="F8714">
            <v>950</v>
          </cell>
        </row>
        <row r="8715">
          <cell r="A8715" t="str">
            <v>SP0245-M</v>
          </cell>
          <cell r="B8715" t="str">
            <v>P245</v>
          </cell>
          <cell r="C8715" t="str">
            <v>ซาติน แขนยาวขายาว Love ระบายจุดกรม พื้นชมพู M</v>
          </cell>
          <cell r="E8715">
            <v>0</v>
          </cell>
          <cell r="F8715">
            <v>950</v>
          </cell>
        </row>
        <row r="8716">
          <cell r="A8716" t="str">
            <v>SP0246-2XL</v>
          </cell>
          <cell r="B8716" t="str">
            <v>P246</v>
          </cell>
          <cell r="C8716" t="str">
            <v>ซาติน แขนยาวขายาว เสือ ชมพู 2XL</v>
          </cell>
          <cell r="E8716">
            <v>0</v>
          </cell>
          <cell r="F8716">
            <v>950</v>
          </cell>
        </row>
        <row r="8717">
          <cell r="A8717" t="str">
            <v>SP0246-L</v>
          </cell>
          <cell r="B8717" t="str">
            <v>P246</v>
          </cell>
          <cell r="C8717" t="str">
            <v>ซาติน แขนยาวขายาว เสือ ชมพู L (กปก)</v>
          </cell>
          <cell r="E8717">
            <v>0</v>
          </cell>
          <cell r="F8717">
            <v>990</v>
          </cell>
        </row>
        <row r="8718">
          <cell r="A8718" t="str">
            <v>SP0246-M</v>
          </cell>
          <cell r="B8718" t="str">
            <v>P246</v>
          </cell>
          <cell r="C8718" t="str">
            <v>ซาติน แขนยาวขายาว เสือ ชมพู M (กปก)</v>
          </cell>
          <cell r="E8718">
            <v>0</v>
          </cell>
          <cell r="F8718">
            <v>990</v>
          </cell>
        </row>
        <row r="8719">
          <cell r="A8719" t="str">
            <v>SP0246-XL</v>
          </cell>
          <cell r="B8719" t="str">
            <v>P246</v>
          </cell>
          <cell r="C8719" t="str">
            <v>ซาติน แขนยาวขายาว เสือ ชมพู XL</v>
          </cell>
          <cell r="E8719">
            <v>0</v>
          </cell>
          <cell r="F8719">
            <v>950</v>
          </cell>
        </row>
        <row r="8720">
          <cell r="A8720" t="str">
            <v>SP0247-L</v>
          </cell>
          <cell r="B8720" t="str">
            <v>P247</v>
          </cell>
          <cell r="C8720" t="str">
            <v>ซาติน แขนยาวขายาว 3แฉก พื้นขาว L</v>
          </cell>
          <cell r="E8720">
            <v>0</v>
          </cell>
          <cell r="F8720">
            <v>950</v>
          </cell>
        </row>
        <row r="8721">
          <cell r="A8721" t="str">
            <v>SP0247-M</v>
          </cell>
          <cell r="B8721" t="str">
            <v>P247</v>
          </cell>
          <cell r="C8721" t="str">
            <v>ซาติน แขนยาวขายาว 3แฉก พื้นขาว M</v>
          </cell>
          <cell r="E8721">
            <v>0</v>
          </cell>
          <cell r="F8721">
            <v>950</v>
          </cell>
        </row>
        <row r="8722">
          <cell r="A8722" t="str">
            <v>SP0248-L</v>
          </cell>
          <cell r="B8722" t="str">
            <v>P248</v>
          </cell>
          <cell r="C8722" t="str">
            <v>ซาติน แขนยาวขายาว 3แฉก พื้นชมพู L</v>
          </cell>
          <cell r="E8722">
            <v>0</v>
          </cell>
          <cell r="F8722">
            <v>950</v>
          </cell>
        </row>
        <row r="8723">
          <cell r="A8723" t="str">
            <v>SP0248-M</v>
          </cell>
          <cell r="B8723" t="str">
            <v>P248</v>
          </cell>
          <cell r="C8723" t="str">
            <v>ซาติน แขนยาวขายาว 3แฉก พื้นชมพู M</v>
          </cell>
          <cell r="E8723">
            <v>0</v>
          </cell>
          <cell r="F8723">
            <v>950</v>
          </cell>
        </row>
        <row r="8724">
          <cell r="A8724" t="str">
            <v>SP0249-L</v>
          </cell>
          <cell r="B8724" t="str">
            <v>P249</v>
          </cell>
          <cell r="C8724" t="str">
            <v>ซาติน แขนยาวขายาว จุดเขียว พื้นขาว L</v>
          </cell>
          <cell r="E8724">
            <v>0</v>
          </cell>
          <cell r="F8724">
            <v>950</v>
          </cell>
        </row>
        <row r="8725">
          <cell r="A8725" t="str">
            <v>SP0249-M</v>
          </cell>
          <cell r="B8725" t="str">
            <v>JP249</v>
          </cell>
          <cell r="C8725" t="str">
            <v>ซาติน แขนยาวขายาว จุดเขียว พื้นขาว M ตัวโชว์</v>
          </cell>
          <cell r="E8725">
            <v>0</v>
          </cell>
          <cell r="F8725">
            <v>950</v>
          </cell>
        </row>
        <row r="8726">
          <cell r="A8726" t="str">
            <v>SP0250-L</v>
          </cell>
          <cell r="B8726" t="str">
            <v>P250</v>
          </cell>
          <cell r="C8726" t="str">
            <v>ซาติน แขนยาวขายาว จุดน้ำตาล พื้นขาว L</v>
          </cell>
          <cell r="E8726">
            <v>0</v>
          </cell>
          <cell r="F8726">
            <v>950</v>
          </cell>
        </row>
        <row r="8727">
          <cell r="A8727" t="str">
            <v>SP0250-M</v>
          </cell>
          <cell r="B8727" t="str">
            <v>JP250</v>
          </cell>
          <cell r="C8727" t="str">
            <v>ซาติน แขนยาวขายาว จุดน้ำตาล พื้นขาว M (กปก) ตัวโชว์</v>
          </cell>
          <cell r="E8727">
            <v>0</v>
          </cell>
          <cell r="F8727">
            <v>950</v>
          </cell>
        </row>
        <row r="8728">
          <cell r="A8728" t="str">
            <v>SP0251-L</v>
          </cell>
          <cell r="B8728" t="str">
            <v>P251</v>
          </cell>
          <cell r="C8728" t="str">
            <v>ซาติน แขนยาวขายาว กระต่ายฟ้า L</v>
          </cell>
          <cell r="E8728">
            <v>0</v>
          </cell>
          <cell r="F8728">
            <v>950</v>
          </cell>
        </row>
        <row r="8729">
          <cell r="A8729" t="str">
            <v>SP0251-M</v>
          </cell>
          <cell r="B8729" t="str">
            <v>P251</v>
          </cell>
          <cell r="C8729" t="str">
            <v>ซาติน แขนยาวขายาว กระต่ายฟ้า M</v>
          </cell>
          <cell r="E8729">
            <v>0</v>
          </cell>
          <cell r="F8729">
            <v>950</v>
          </cell>
        </row>
        <row r="8730">
          <cell r="A8730" t="str">
            <v>SP0251-S</v>
          </cell>
          <cell r="B8730" t="str">
            <v>P251</v>
          </cell>
          <cell r="C8730" t="str">
            <v>ซาติน แขนยาวขายาว กระต่ายฟ้า S</v>
          </cell>
          <cell r="E8730">
            <v>0</v>
          </cell>
          <cell r="F8730">
            <v>950</v>
          </cell>
        </row>
        <row r="8731">
          <cell r="A8731" t="str">
            <v>SP0252-L</v>
          </cell>
          <cell r="B8731" t="str">
            <v>P252</v>
          </cell>
          <cell r="C8731" t="str">
            <v>ซาติน แขนยาวขายาว กระต่ายชมพู L</v>
          </cell>
          <cell r="E8731">
            <v>0</v>
          </cell>
          <cell r="F8731">
            <v>950</v>
          </cell>
        </row>
        <row r="8732">
          <cell r="A8732" t="str">
            <v>SP0252-M</v>
          </cell>
          <cell r="B8732" t="str">
            <v>P252</v>
          </cell>
          <cell r="C8732" t="str">
            <v>ซาติน แขนยาวขายาว กระต่ายชมพู M</v>
          </cell>
          <cell r="E8732">
            <v>0</v>
          </cell>
          <cell r="F8732">
            <v>950</v>
          </cell>
        </row>
        <row r="8733">
          <cell r="A8733" t="str">
            <v>SP0253-L</v>
          </cell>
          <cell r="B8733" t="str">
            <v>P253</v>
          </cell>
          <cell r="C8733" t="str">
            <v>ซาติน แขนยาวขายาว ดอกไม้ ปกจุดเขียว L</v>
          </cell>
          <cell r="E8733">
            <v>0</v>
          </cell>
          <cell r="F8733">
            <v>950</v>
          </cell>
        </row>
        <row r="8734">
          <cell r="A8734" t="str">
            <v>SP0253-M</v>
          </cell>
          <cell r="B8734" t="str">
            <v>P253</v>
          </cell>
          <cell r="C8734" t="str">
            <v>ซาติน แขนยาวขายาว ดอกไม้ ปกจุดเขียว M</v>
          </cell>
          <cell r="E8734">
            <v>0</v>
          </cell>
          <cell r="F8734">
            <v>950</v>
          </cell>
        </row>
        <row r="8735">
          <cell r="A8735" t="str">
            <v>SP0254-L</v>
          </cell>
          <cell r="B8735" t="str">
            <v>P254</v>
          </cell>
          <cell r="C8735" t="str">
            <v>ซาติน แขนยาวขายาว ดอกไม้ ปกจุดฟ้า L</v>
          </cell>
          <cell r="E8735">
            <v>0</v>
          </cell>
          <cell r="F8735">
            <v>950</v>
          </cell>
        </row>
        <row r="8736">
          <cell r="A8736" t="str">
            <v>SP0254-M</v>
          </cell>
          <cell r="B8736" t="str">
            <v>P254</v>
          </cell>
          <cell r="C8736" t="str">
            <v>ซาติน แขนยาวขายาว ดอกไม้ ปกจุดฟ้า M</v>
          </cell>
          <cell r="E8736">
            <v>0</v>
          </cell>
          <cell r="F8736">
            <v>950</v>
          </cell>
        </row>
        <row r="8737">
          <cell r="A8737" t="str">
            <v>SP0257-L</v>
          </cell>
          <cell r="B8737" t="str">
            <v>P257</v>
          </cell>
          <cell r="C8737" t="str">
            <v>ซาติน แขนยาวขายาว หัวใจดำ พื้นครีม L</v>
          </cell>
          <cell r="E8737">
            <v>0</v>
          </cell>
          <cell r="F8737">
            <v>950</v>
          </cell>
        </row>
        <row r="8738">
          <cell r="A8738" t="str">
            <v>SP0258-L</v>
          </cell>
          <cell r="B8738" t="str">
            <v>P258</v>
          </cell>
          <cell r="C8738" t="str">
            <v>ซาติน แขนยาวขายาว ผู้หญิงชุดแดง พื้นชมพู L</v>
          </cell>
          <cell r="E8738">
            <v>0</v>
          </cell>
          <cell r="F8738">
            <v>950</v>
          </cell>
        </row>
        <row r="8739">
          <cell r="A8739" t="str">
            <v>SP0258-M</v>
          </cell>
          <cell r="B8739" t="str">
            <v>P258</v>
          </cell>
          <cell r="C8739" t="str">
            <v>ซาติน แขนยาวขายาว ผู้หญิงชุดแดง พื้นชมพู M</v>
          </cell>
          <cell r="E8739">
            <v>0</v>
          </cell>
          <cell r="F8739">
            <v>950</v>
          </cell>
        </row>
        <row r="8740">
          <cell r="A8740" t="str">
            <v>SP0259-L</v>
          </cell>
          <cell r="B8740" t="str">
            <v>P259</v>
          </cell>
          <cell r="C8740" t="str">
            <v>ซาติน แขนยาวขายาว แรคคูน ปกเหลือง L</v>
          </cell>
          <cell r="E8740">
            <v>0</v>
          </cell>
          <cell r="F8740">
            <v>950</v>
          </cell>
        </row>
        <row r="8741">
          <cell r="A8741" t="str">
            <v>SP0259-M</v>
          </cell>
          <cell r="B8741" t="str">
            <v>P259</v>
          </cell>
          <cell r="C8741" t="str">
            <v>ซาติน แขนยาวขายาว แรคคูน ปกเหลือง M</v>
          </cell>
          <cell r="E8741">
            <v>0</v>
          </cell>
          <cell r="F8741">
            <v>950</v>
          </cell>
        </row>
        <row r="8742">
          <cell r="A8742" t="str">
            <v>SP0260-L</v>
          </cell>
          <cell r="B8742" t="str">
            <v>P260</v>
          </cell>
          <cell r="C8742" t="str">
            <v>ซาติน แขนยาวขายาว แรคคูน ปกแดง L</v>
          </cell>
          <cell r="E8742">
            <v>0</v>
          </cell>
          <cell r="F8742">
            <v>950</v>
          </cell>
        </row>
        <row r="8743">
          <cell r="A8743" t="str">
            <v>SP0260-M</v>
          </cell>
          <cell r="B8743" t="str">
            <v>P260</v>
          </cell>
          <cell r="C8743" t="str">
            <v>ซาติน แขนยาวขายาว แรคคูน ปกแดง M</v>
          </cell>
          <cell r="E8743">
            <v>0</v>
          </cell>
          <cell r="F8743">
            <v>950</v>
          </cell>
        </row>
        <row r="8744">
          <cell r="A8744" t="str">
            <v>SP0262-L</v>
          </cell>
          <cell r="B8744" t="str">
            <v>P262</v>
          </cell>
          <cell r="C8744" t="str">
            <v>ซาติน แขนยาวขายาว ลายทางฟ้า L</v>
          </cell>
          <cell r="E8744">
            <v>0</v>
          </cell>
          <cell r="F8744">
            <v>950</v>
          </cell>
        </row>
        <row r="8745">
          <cell r="A8745" t="str">
            <v>SP0262-M</v>
          </cell>
          <cell r="B8745" t="str">
            <v>P262</v>
          </cell>
          <cell r="C8745" t="str">
            <v>ซาติน แขนยาวขายาว ลายทางฟ้า M</v>
          </cell>
          <cell r="E8745">
            <v>0</v>
          </cell>
          <cell r="F8745">
            <v>950</v>
          </cell>
        </row>
        <row r="8746">
          <cell r="A8746" t="str">
            <v>SP0263-M</v>
          </cell>
          <cell r="B8746" t="str">
            <v>P263</v>
          </cell>
          <cell r="C8746" t="str">
            <v>ซาติน แขนยาวขายาว กระบองเพชร M</v>
          </cell>
          <cell r="E8746">
            <v>0</v>
          </cell>
          <cell r="F8746">
            <v>950</v>
          </cell>
        </row>
        <row r="8747">
          <cell r="A8747" t="str">
            <v>SP0263-S</v>
          </cell>
          <cell r="B8747" t="str">
            <v>P263</v>
          </cell>
          <cell r="C8747" t="str">
            <v>ซาติน แขนยาวขายาว กระบองเพชร S</v>
          </cell>
          <cell r="E8747">
            <v>0</v>
          </cell>
          <cell r="F8747">
            <v>950</v>
          </cell>
        </row>
        <row r="8748">
          <cell r="A8748" t="str">
            <v>SP0264-M</v>
          </cell>
          <cell r="B8748" t="str">
            <v>P264</v>
          </cell>
          <cell r="C8748" t="str">
            <v>ซาติน แขนยาวขายาว บาสเกตบอล พื้นเหลือง M</v>
          </cell>
          <cell r="E8748">
            <v>0</v>
          </cell>
          <cell r="F8748">
            <v>950</v>
          </cell>
        </row>
        <row r="8749">
          <cell r="A8749" t="str">
            <v>SP0264-S</v>
          </cell>
          <cell r="B8749" t="str">
            <v>P264</v>
          </cell>
          <cell r="C8749" t="str">
            <v>ซาติน แขนยาวขายาว บาสเกตบอล พื้นเหลือง S</v>
          </cell>
          <cell r="E8749">
            <v>0</v>
          </cell>
          <cell r="F8749">
            <v>950</v>
          </cell>
        </row>
        <row r="8750">
          <cell r="A8750" t="str">
            <v>SP0265-M</v>
          </cell>
          <cell r="B8750" t="str">
            <v>P265</v>
          </cell>
          <cell r="C8750" t="str">
            <v>ซาติน แขนยาวขายาว Tuffy พื้นดำ M</v>
          </cell>
          <cell r="E8750">
            <v>0</v>
          </cell>
          <cell r="F8750">
            <v>950</v>
          </cell>
        </row>
        <row r="8751">
          <cell r="A8751" t="str">
            <v>SP0265-S</v>
          </cell>
          <cell r="B8751" t="str">
            <v>P265</v>
          </cell>
          <cell r="C8751" t="str">
            <v>ซาติน แขนยาวขายาว Tuffy พื้นดำ S</v>
          </cell>
          <cell r="E8751">
            <v>0</v>
          </cell>
          <cell r="F8751">
            <v>950</v>
          </cell>
        </row>
        <row r="8752">
          <cell r="A8752" t="str">
            <v>SP0266-M</v>
          </cell>
          <cell r="B8752" t="str">
            <v>P266</v>
          </cell>
          <cell r="C8752" t="str">
            <v>ซาติน แขนยาวขายาว กระต่าย พื้นชมพู M</v>
          </cell>
          <cell r="E8752">
            <v>0</v>
          </cell>
          <cell r="F8752">
            <v>950</v>
          </cell>
        </row>
        <row r="8753">
          <cell r="A8753" t="str">
            <v>SP0266-S</v>
          </cell>
          <cell r="B8753" t="str">
            <v>P266</v>
          </cell>
          <cell r="C8753" t="str">
            <v>ซาติน แขนยาวขายาว กระต่าย พื้นชมพู S</v>
          </cell>
          <cell r="E8753">
            <v>0</v>
          </cell>
          <cell r="F8753">
            <v>950</v>
          </cell>
        </row>
        <row r="8754">
          <cell r="A8754" t="str">
            <v>SP0267-M</v>
          </cell>
          <cell r="B8754" t="str">
            <v>P267</v>
          </cell>
          <cell r="C8754" t="str">
            <v>ซาติน แขนยาวขายาว เอฟเอฟ ชมพู M</v>
          </cell>
          <cell r="E8754">
            <v>0</v>
          </cell>
          <cell r="F8754">
            <v>950</v>
          </cell>
        </row>
        <row r="8755">
          <cell r="A8755" t="str">
            <v>SP0267-S</v>
          </cell>
          <cell r="B8755" t="str">
            <v>P267</v>
          </cell>
          <cell r="C8755" t="str">
            <v>ซาติน แขนยาวขายาว เอฟเอฟ ชมพู S</v>
          </cell>
          <cell r="E8755">
            <v>0</v>
          </cell>
          <cell r="F8755">
            <v>950</v>
          </cell>
        </row>
        <row r="8756">
          <cell r="A8756" t="str">
            <v>SP0268-M</v>
          </cell>
          <cell r="B8756" t="str">
            <v>P268</v>
          </cell>
          <cell r="C8756" t="str">
            <v>ซาติน แขนยาวขายาว ลายท่อ พื้นดำ M</v>
          </cell>
          <cell r="E8756">
            <v>0</v>
          </cell>
          <cell r="F8756">
            <v>950</v>
          </cell>
        </row>
        <row r="8757">
          <cell r="A8757" t="str">
            <v>SP0268-S</v>
          </cell>
          <cell r="B8757" t="str">
            <v>P268</v>
          </cell>
          <cell r="C8757" t="str">
            <v>ซาติน แขนยาวขายาว ลายท่อ พื้นดำ S</v>
          </cell>
          <cell r="E8757">
            <v>0</v>
          </cell>
          <cell r="F8757">
            <v>950</v>
          </cell>
        </row>
        <row r="8758">
          <cell r="A8758" t="str">
            <v>SP0269-2XL</v>
          </cell>
          <cell r="B8758" t="str">
            <v>P269</v>
          </cell>
          <cell r="C8758" t="str">
            <v>ซาติน แขนยาวขายาว เสือดำ 2XL</v>
          </cell>
          <cell r="E8758">
            <v>0</v>
          </cell>
          <cell r="F8758">
            <v>950</v>
          </cell>
        </row>
        <row r="8759">
          <cell r="A8759" t="str">
            <v>SP0269-L</v>
          </cell>
          <cell r="B8759" t="str">
            <v>P269</v>
          </cell>
          <cell r="C8759" t="str">
            <v>ซาติน แขนยาวขายาว เสือดำ L</v>
          </cell>
          <cell r="E8759">
            <v>0</v>
          </cell>
          <cell r="F8759">
            <v>950</v>
          </cell>
        </row>
        <row r="8760">
          <cell r="A8760" t="str">
            <v>SP0269-M</v>
          </cell>
          <cell r="B8760" t="str">
            <v>P269</v>
          </cell>
          <cell r="C8760" t="str">
            <v>ซาติน แขนยาวขายาว เสือดำ M</v>
          </cell>
          <cell r="E8760">
            <v>0</v>
          </cell>
          <cell r="F8760">
            <v>950</v>
          </cell>
        </row>
        <row r="8761">
          <cell r="A8761" t="str">
            <v>SP0269-XL</v>
          </cell>
          <cell r="B8761" t="str">
            <v>P269</v>
          </cell>
          <cell r="C8761" t="str">
            <v>ซาติน แขนยาวขายาว เสือดำ XL</v>
          </cell>
          <cell r="E8761">
            <v>0</v>
          </cell>
          <cell r="F8761">
            <v>950</v>
          </cell>
        </row>
        <row r="8762">
          <cell r="A8762" t="str">
            <v>SP0270-L</v>
          </cell>
          <cell r="B8762" t="str">
            <v>P270</v>
          </cell>
          <cell r="C8762" t="str">
            <v>ซาติน แขนยาวขายาว จุดขาวใหญ่ พื้นชมพู L</v>
          </cell>
          <cell r="E8762">
            <v>0</v>
          </cell>
          <cell r="F8762">
            <v>950</v>
          </cell>
        </row>
        <row r="8763">
          <cell r="A8763" t="str">
            <v>SP0270-M</v>
          </cell>
          <cell r="B8763" t="str">
            <v>P270</v>
          </cell>
          <cell r="C8763" t="str">
            <v>ซาติน แขนยาวขายาว จุดขาวใหญ่ พื้นชมพู M</v>
          </cell>
          <cell r="E8763">
            <v>0</v>
          </cell>
          <cell r="F8763">
            <v>950</v>
          </cell>
        </row>
        <row r="8764">
          <cell r="A8764" t="str">
            <v>SP0271-L</v>
          </cell>
          <cell r="B8764" t="str">
            <v>P271</v>
          </cell>
          <cell r="C8764" t="str">
            <v>ซาติน แขนยาวขายาว จุดกรมใหญ่ พื้นม่วง L</v>
          </cell>
          <cell r="E8764">
            <v>0</v>
          </cell>
          <cell r="F8764">
            <v>950</v>
          </cell>
        </row>
        <row r="8765">
          <cell r="A8765" t="str">
            <v>SP0271-M</v>
          </cell>
          <cell r="B8765" t="str">
            <v>P271</v>
          </cell>
          <cell r="C8765" t="str">
            <v>ซาติน แขนยาวขายาว จุดกรมใหญ่ พื้นม่วง M</v>
          </cell>
          <cell r="E8765">
            <v>0</v>
          </cell>
          <cell r="F8765">
            <v>950</v>
          </cell>
        </row>
        <row r="8766">
          <cell r="A8766" t="str">
            <v>SP0272-L</v>
          </cell>
          <cell r="B8766" t="str">
            <v>P272</v>
          </cell>
          <cell r="C8766" t="str">
            <v>ซาติน แขนยาวขายาว อลิส ชุดแดง พื้นชมพู L</v>
          </cell>
          <cell r="E8766">
            <v>0</v>
          </cell>
          <cell r="F8766">
            <v>950</v>
          </cell>
        </row>
        <row r="8767">
          <cell r="A8767" t="str">
            <v>SP0272-M</v>
          </cell>
          <cell r="B8767" t="str">
            <v>P272</v>
          </cell>
          <cell r="C8767" t="str">
            <v>ซาติน แขนยาวขายาว อลิส ชุดแดง พื้นชมพู M</v>
          </cell>
          <cell r="E8767">
            <v>0</v>
          </cell>
          <cell r="F8767">
            <v>950</v>
          </cell>
        </row>
        <row r="8768">
          <cell r="A8768" t="str">
            <v>SP0273-L</v>
          </cell>
          <cell r="B8768" t="str">
            <v>P273</v>
          </cell>
          <cell r="C8768" t="str">
            <v>ซาติน แขนยาวขายาว ผู้สาวคนงาม กับผู้บ่าวกินแมว L</v>
          </cell>
          <cell r="E8768">
            <v>0</v>
          </cell>
          <cell r="F8768">
            <v>950</v>
          </cell>
        </row>
        <row r="8769">
          <cell r="A8769" t="str">
            <v>SP0273-M</v>
          </cell>
          <cell r="B8769" t="str">
            <v>P273</v>
          </cell>
          <cell r="C8769" t="str">
            <v>ซาติน แขนยาวขายาว ผู้สาวคนงาม กับผู้บ่าวกินแมว M</v>
          </cell>
          <cell r="E8769">
            <v>0</v>
          </cell>
          <cell r="F8769">
            <v>950</v>
          </cell>
        </row>
        <row r="8770">
          <cell r="A8770" t="str">
            <v>SP0274-L</v>
          </cell>
          <cell r="B8770" t="str">
            <v>P274</v>
          </cell>
          <cell r="C8770" t="str">
            <v>ซาติน แขนยาวขายาว คอระบาย พื้นชมพู L</v>
          </cell>
          <cell r="E8770">
            <v>0</v>
          </cell>
          <cell r="F8770">
            <v>950</v>
          </cell>
        </row>
        <row r="8771">
          <cell r="A8771" t="str">
            <v>SP0274-M</v>
          </cell>
          <cell r="B8771" t="str">
            <v>P274</v>
          </cell>
          <cell r="C8771" t="str">
            <v>ซาติน แขนยาวขายาว คอระบาย พื้นชมพู M</v>
          </cell>
          <cell r="E8771">
            <v>0</v>
          </cell>
          <cell r="F8771">
            <v>950</v>
          </cell>
        </row>
        <row r="8772">
          <cell r="A8772" t="str">
            <v>SP0275-L</v>
          </cell>
          <cell r="B8772" t="str">
            <v>P275</v>
          </cell>
          <cell r="C8772" t="str">
            <v>ซาติน แขนยาวขายาว คอระบาย พื้นเขียว L</v>
          </cell>
          <cell r="E8772">
            <v>0</v>
          </cell>
          <cell r="F8772">
            <v>950</v>
          </cell>
        </row>
        <row r="8773">
          <cell r="A8773" t="str">
            <v>SP0275-M</v>
          </cell>
          <cell r="B8773" t="str">
            <v>P275</v>
          </cell>
          <cell r="C8773" t="str">
            <v>ซาติน แขนยาวขายาว คอระบาย พื้นเขียว M</v>
          </cell>
          <cell r="E8773">
            <v>0</v>
          </cell>
          <cell r="F8773">
            <v>950</v>
          </cell>
        </row>
        <row r="8774">
          <cell r="A8774" t="str">
            <v>SP0276-L</v>
          </cell>
          <cell r="B8774" t="str">
            <v>P276</v>
          </cell>
          <cell r="C8774" t="str">
            <v>ซาติน แขนยาวขายาว ลูกไม้ หัวใจเล็ก พื้นฟ้า L</v>
          </cell>
          <cell r="E8774">
            <v>0</v>
          </cell>
          <cell r="F8774">
            <v>950</v>
          </cell>
        </row>
        <row r="8775">
          <cell r="A8775" t="str">
            <v>SP0276-M</v>
          </cell>
          <cell r="B8775" t="str">
            <v>P276</v>
          </cell>
          <cell r="C8775" t="str">
            <v>ซาติน แขนยาวขายาว ลูกไม้ หัวใจเล็ก พื้นฟ้า M</v>
          </cell>
          <cell r="E8775">
            <v>0</v>
          </cell>
          <cell r="F8775">
            <v>950</v>
          </cell>
        </row>
        <row r="8776">
          <cell r="A8776" t="str">
            <v>SP0276-XL</v>
          </cell>
          <cell r="B8776" t="str">
            <v>P276</v>
          </cell>
          <cell r="C8776" t="str">
            <v>ซาติน แขนยาวขายาว ลูกไม้ หัวใจเล็ก พื้นฟ้า XL</v>
          </cell>
          <cell r="E8776">
            <v>0</v>
          </cell>
          <cell r="F8776">
            <v>950</v>
          </cell>
        </row>
        <row r="8777">
          <cell r="A8777" t="str">
            <v>SP0277-L</v>
          </cell>
          <cell r="B8777" t="str">
            <v>P277</v>
          </cell>
          <cell r="C8777" t="str">
            <v>ซาติน แขนยาวขายาว ลูกไม้ หัวใจเล็ก พื้นชมพู L</v>
          </cell>
          <cell r="E8777">
            <v>0</v>
          </cell>
          <cell r="F8777">
            <v>950</v>
          </cell>
        </row>
        <row r="8778">
          <cell r="A8778" t="str">
            <v>SP0277-M</v>
          </cell>
          <cell r="B8778" t="str">
            <v>P277</v>
          </cell>
          <cell r="C8778" t="str">
            <v>ซาติน แขนยาวขายาว ลูกไม้ หัวใจเล็ก พื้นชมพู M</v>
          </cell>
          <cell r="E8778">
            <v>0</v>
          </cell>
          <cell r="F8778">
            <v>950</v>
          </cell>
        </row>
        <row r="8779">
          <cell r="A8779" t="str">
            <v>SP0277-XL</v>
          </cell>
          <cell r="B8779" t="str">
            <v>P277</v>
          </cell>
          <cell r="C8779" t="str">
            <v>ซาติน แขนยาวขายาว ลูกไม้ หัวใจเล็ก พื้นชมพู XL</v>
          </cell>
          <cell r="E8779">
            <v>0</v>
          </cell>
          <cell r="F8779">
            <v>950</v>
          </cell>
        </row>
        <row r="8780">
          <cell r="A8780" t="str">
            <v>SP0278-L</v>
          </cell>
          <cell r="B8780" t="str">
            <v>P278</v>
          </cell>
          <cell r="C8780" t="str">
            <v>ซาติน แขนยาวขายาว พื้นฟ้าอ่อน ขอบดำ กระเป๋าหงส์ L</v>
          </cell>
          <cell r="E8780">
            <v>0</v>
          </cell>
          <cell r="F8780">
            <v>950</v>
          </cell>
        </row>
        <row r="8781">
          <cell r="A8781" t="str">
            <v>SP0278-M</v>
          </cell>
          <cell r="B8781" t="str">
            <v>P278</v>
          </cell>
          <cell r="C8781" t="str">
            <v>ซาติน แขนยาวขายาว พื้นฟ้าอ่อน ขอบดำ กระเป๋าหงส์ M</v>
          </cell>
          <cell r="E8781">
            <v>0</v>
          </cell>
          <cell r="F8781">
            <v>950</v>
          </cell>
        </row>
        <row r="8782">
          <cell r="A8782" t="str">
            <v>SP0278-XL</v>
          </cell>
          <cell r="B8782" t="str">
            <v>P278</v>
          </cell>
          <cell r="C8782" t="str">
            <v>ซาติน แขนยาวขายาว พื้นฟ้าอ่อน ขอบดำ กระเป๋าหงส์ XL</v>
          </cell>
          <cell r="E8782">
            <v>0</v>
          </cell>
          <cell r="F8782">
            <v>950</v>
          </cell>
        </row>
        <row r="8783">
          <cell r="A8783" t="str">
            <v>SP0281-M</v>
          </cell>
          <cell r="B8783" t="str">
            <v>P281</v>
          </cell>
          <cell r="C8783" t="str">
            <v>ซาติน แขนยาวขายาว ดิออ PERFECT M</v>
          </cell>
          <cell r="E8783">
            <v>0</v>
          </cell>
          <cell r="F8783">
            <v>950</v>
          </cell>
        </row>
        <row r="8784">
          <cell r="A8784" t="str">
            <v>SP0281-S</v>
          </cell>
          <cell r="B8784" t="str">
            <v>P281</v>
          </cell>
          <cell r="C8784" t="str">
            <v>ซาติน แขนยาวขายาว ดิออ PERFECT S</v>
          </cell>
          <cell r="E8784">
            <v>0</v>
          </cell>
          <cell r="F8784">
            <v>950</v>
          </cell>
        </row>
        <row r="8785">
          <cell r="A8785" t="str">
            <v>SP0282-M</v>
          </cell>
          <cell r="B8785" t="str">
            <v>P282</v>
          </cell>
          <cell r="C8785" t="str">
            <v>ซาติน แขนยาวขายาว กุชชี่ ขอบดำ พื้นชมพู M</v>
          </cell>
          <cell r="E8785">
            <v>0</v>
          </cell>
          <cell r="F8785">
            <v>950</v>
          </cell>
        </row>
        <row r="8786">
          <cell r="A8786" t="str">
            <v>SP0282-S</v>
          </cell>
          <cell r="B8786" t="str">
            <v>P282</v>
          </cell>
          <cell r="C8786" t="str">
            <v>ซาติน แขนยาวขายาว กุชชี่ ขอบดำ พื้นชมพู S</v>
          </cell>
          <cell r="E8786">
            <v>0</v>
          </cell>
          <cell r="F8786">
            <v>950</v>
          </cell>
        </row>
        <row r="8787">
          <cell r="A8787" t="str">
            <v>SP0283-M</v>
          </cell>
          <cell r="B8787" t="str">
            <v>P283</v>
          </cell>
          <cell r="C8787" t="str">
            <v>ซาติน แขนยาวขายาว All พื้นชมพู M</v>
          </cell>
          <cell r="E8787">
            <v>0</v>
          </cell>
          <cell r="F8787">
            <v>950</v>
          </cell>
        </row>
        <row r="8788">
          <cell r="A8788" t="str">
            <v>SP0286-L</v>
          </cell>
          <cell r="B8788" t="str">
            <v>P286</v>
          </cell>
          <cell r="C8788" t="str">
            <v>ซาติน แขนยาวขายาว พิมลายใบไม้ พื้นชมพู L</v>
          </cell>
          <cell r="E8788">
            <v>0</v>
          </cell>
          <cell r="F8788">
            <v>950</v>
          </cell>
        </row>
        <row r="8789">
          <cell r="A8789" t="str">
            <v>SP0286-M</v>
          </cell>
          <cell r="B8789" t="str">
            <v>P286</v>
          </cell>
          <cell r="C8789" t="str">
            <v>ซาติน แขนยาวขายาว พิมลายใบไม้ พื้นชมพู M</v>
          </cell>
          <cell r="E8789">
            <v>0</v>
          </cell>
          <cell r="F8789">
            <v>950</v>
          </cell>
        </row>
        <row r="8790">
          <cell r="A8790" t="str">
            <v>SP0287-L</v>
          </cell>
          <cell r="B8790" t="str">
            <v>P287</v>
          </cell>
          <cell r="C8790" t="str">
            <v>ซาติน แขนยาวขายาว ใบกัญชา พื้นเขียว-L</v>
          </cell>
          <cell r="E8790">
            <v>0</v>
          </cell>
          <cell r="F8790">
            <v>950</v>
          </cell>
        </row>
        <row r="8791">
          <cell r="A8791" t="str">
            <v>SP0287-M</v>
          </cell>
          <cell r="B8791" t="str">
            <v>P287</v>
          </cell>
          <cell r="C8791" t="str">
            <v>ซาติน แขนยาวขายาว พิมลายใบไม้พื้นเขียว-M</v>
          </cell>
          <cell r="E8791">
            <v>0</v>
          </cell>
          <cell r="F8791">
            <v>950</v>
          </cell>
        </row>
        <row r="8792">
          <cell r="A8792" t="str">
            <v>SP0288-L</v>
          </cell>
          <cell r="B8792" t="str">
            <v>P288</v>
          </cell>
          <cell r="C8792" t="str">
            <v>ซาติน แขนยาวขายาว พิมลายใบไม้ พื้นโอรส-L</v>
          </cell>
          <cell r="E8792">
            <v>0</v>
          </cell>
          <cell r="F8792">
            <v>950</v>
          </cell>
        </row>
        <row r="8793">
          <cell r="A8793" t="str">
            <v>SP0288-M</v>
          </cell>
          <cell r="B8793" t="str">
            <v>P288</v>
          </cell>
          <cell r="C8793" t="str">
            <v>ซาติน แขนยาวขายาว พิมลายใบไม้ พื้นโอรส-M</v>
          </cell>
          <cell r="E8793">
            <v>0</v>
          </cell>
          <cell r="F8793">
            <v>950</v>
          </cell>
        </row>
        <row r="8794">
          <cell r="A8794" t="str">
            <v>SP0289-F</v>
          </cell>
          <cell r="B8794" t="str">
            <v>P289</v>
          </cell>
          <cell r="C8794" t="str">
            <v>ซาติน แขนยาวขายาว Robot Bear ขาวดำ F</v>
          </cell>
          <cell r="E8794">
            <v>0</v>
          </cell>
          <cell r="F8794">
            <v>950</v>
          </cell>
        </row>
        <row r="8795">
          <cell r="A8795" t="str">
            <v>SP0290-F</v>
          </cell>
          <cell r="B8795" t="str">
            <v>P290</v>
          </cell>
          <cell r="C8795" t="str">
            <v>ซาติน แขนยาวขายาว Bear Brick ตารางขาวดำ F</v>
          </cell>
          <cell r="E8795">
            <v>0</v>
          </cell>
          <cell r="F8795">
            <v>950</v>
          </cell>
        </row>
        <row r="8796">
          <cell r="A8796" t="str">
            <v>SP0291-F</v>
          </cell>
          <cell r="B8796" t="str">
            <v>P291</v>
          </cell>
          <cell r="C8796" t="str">
            <v>ซาติน แขนยาวขายาว Garden Green F</v>
          </cell>
          <cell r="E8796">
            <v>0</v>
          </cell>
          <cell r="F8796">
            <v>950</v>
          </cell>
        </row>
        <row r="8797">
          <cell r="A8797" t="str">
            <v>SP0292-F</v>
          </cell>
          <cell r="B8797" t="str">
            <v>P292</v>
          </cell>
          <cell r="C8797" t="str">
            <v>ซาติน แขนยาวขายาว  จุด จุด จุดดำ F</v>
          </cell>
          <cell r="E8797">
            <v>0</v>
          </cell>
          <cell r="F8797">
            <v>950</v>
          </cell>
        </row>
        <row r="8798">
          <cell r="A8798" t="str">
            <v>SP0293-F</v>
          </cell>
          <cell r="B8798" t="str">
            <v>P293</v>
          </cell>
          <cell r="C8798" t="str">
            <v>ซาติน แขนยาวขายาว  จุด จุด จุดขาวโอรส F</v>
          </cell>
          <cell r="E8798">
            <v>0</v>
          </cell>
          <cell r="F8798">
            <v>950</v>
          </cell>
        </row>
        <row r="8799">
          <cell r="A8799" t="str">
            <v>SP0294-F</v>
          </cell>
          <cell r="B8799" t="str">
            <v>P294</v>
          </cell>
          <cell r="C8799" t="str">
            <v>ซาติน แขนยาวขายาว จุด จุด จุดขาวดำ F</v>
          </cell>
          <cell r="E8799">
            <v>0</v>
          </cell>
          <cell r="F8799">
            <v>950</v>
          </cell>
        </row>
        <row r="8800">
          <cell r="A8800" t="str">
            <v>SP0295-F</v>
          </cell>
          <cell r="B8800" t="str">
            <v>P295</v>
          </cell>
          <cell r="C8800" t="str">
            <v>ซาติน แขนยาวขายาว  ลายทางทูโทน ขาวเหลือง F</v>
          </cell>
          <cell r="E8800">
            <v>0</v>
          </cell>
          <cell r="F8800">
            <v>950</v>
          </cell>
        </row>
        <row r="8801">
          <cell r="A8801" t="str">
            <v>SP0296-L</v>
          </cell>
          <cell r="B8801" t="str">
            <v>P296</v>
          </cell>
          <cell r="C8801" t="str">
            <v>ซาติน แขนยาวขายาว คอวีใหญ่ ขอบดำ พื้นครีม L</v>
          </cell>
          <cell r="E8801">
            <v>0</v>
          </cell>
          <cell r="F8801">
            <v>950</v>
          </cell>
        </row>
        <row r="8802">
          <cell r="A8802" t="str">
            <v>SP0296-M</v>
          </cell>
          <cell r="B8802" t="str">
            <v>P296</v>
          </cell>
          <cell r="C8802" t="str">
            <v>ซาติน แขนยาวขายาว คอวีใหญ่ ขอบดำ พื้นครีม M</v>
          </cell>
          <cell r="E8802">
            <v>0</v>
          </cell>
          <cell r="F8802">
            <v>950</v>
          </cell>
        </row>
        <row r="8803">
          <cell r="A8803" t="str">
            <v>SP0297-L</v>
          </cell>
          <cell r="B8803" t="str">
            <v>P297</v>
          </cell>
          <cell r="C8803" t="str">
            <v>ซาติน แขนยาวขายาว ดาวกระจาย พื้นชมพู L</v>
          </cell>
          <cell r="E8803">
            <v>0</v>
          </cell>
          <cell r="F8803">
            <v>950</v>
          </cell>
        </row>
        <row r="8804">
          <cell r="A8804" t="str">
            <v>SP0297-M</v>
          </cell>
          <cell r="B8804" t="str">
            <v>P297</v>
          </cell>
          <cell r="C8804" t="str">
            <v>ซาติน แขนยาวขายาว ดาวกระจาย พื้นชมพู M</v>
          </cell>
          <cell r="E8804">
            <v>0</v>
          </cell>
          <cell r="F8804">
            <v>950</v>
          </cell>
        </row>
        <row r="8805">
          <cell r="A8805" t="str">
            <v>SP0298-L</v>
          </cell>
          <cell r="B8805" t="str">
            <v>P298</v>
          </cell>
          <cell r="C8805" t="str">
            <v>ซาติน แขนยาวขายาว teddy bear พื้นน้ำตาล L</v>
          </cell>
          <cell r="E8805">
            <v>0</v>
          </cell>
          <cell r="F8805">
            <v>950</v>
          </cell>
        </row>
        <row r="8806">
          <cell r="A8806" t="str">
            <v>SP0298-M</v>
          </cell>
          <cell r="B8806" t="str">
            <v>JP298</v>
          </cell>
          <cell r="C8806" t="str">
            <v>ซาติน แขนยาวขายาว teddy bear พื้นน้ำตาล M ตัวโชว์</v>
          </cell>
          <cell r="E8806">
            <v>0</v>
          </cell>
          <cell r="F8806">
            <v>950</v>
          </cell>
        </row>
        <row r="8807">
          <cell r="A8807" t="str">
            <v>SP0299-F</v>
          </cell>
          <cell r="B8807" t="str">
            <v>P299</v>
          </cell>
          <cell r="C8807" t="str">
            <v>ซาติน แขนยาวขายาว  ลายทางทูโทน เขียวพาสเทล F</v>
          </cell>
          <cell r="E8807">
            <v>0</v>
          </cell>
          <cell r="F8807">
            <v>950</v>
          </cell>
        </row>
        <row r="8808">
          <cell r="A8808" t="str">
            <v>SP0300-2XL</v>
          </cell>
          <cell r="B8808" t="str">
            <v>P300</v>
          </cell>
          <cell r="C8808" t="str">
            <v>ซาติน แขนยาวขายาว บอนไซ พื้นครีม 2XL</v>
          </cell>
          <cell r="E8808">
            <v>0</v>
          </cell>
          <cell r="F8808">
            <v>950</v>
          </cell>
        </row>
        <row r="8809">
          <cell r="A8809" t="str">
            <v>SP0300-L</v>
          </cell>
          <cell r="B8809" t="str">
            <v>P300</v>
          </cell>
          <cell r="C8809" t="str">
            <v>ซาติน แขนยาวขายาว บอนไซ พื้นครีม L</v>
          </cell>
          <cell r="E8809">
            <v>0</v>
          </cell>
          <cell r="F8809">
            <v>950</v>
          </cell>
        </row>
        <row r="8810">
          <cell r="A8810" t="str">
            <v>SP0300-M</v>
          </cell>
          <cell r="B8810" t="str">
            <v>P300</v>
          </cell>
          <cell r="C8810" t="str">
            <v>ซาติน แขนยาวขายาว บอนไซ พื้นครีม M</v>
          </cell>
          <cell r="E8810">
            <v>0</v>
          </cell>
          <cell r="F8810">
            <v>950</v>
          </cell>
        </row>
        <row r="8811">
          <cell r="A8811" t="str">
            <v>SP0300-XL</v>
          </cell>
          <cell r="B8811" t="str">
            <v>P300</v>
          </cell>
          <cell r="C8811" t="str">
            <v>ซาติน แขนยาวขายาว บอนไซ พื้นครีม XL</v>
          </cell>
          <cell r="E8811">
            <v>0</v>
          </cell>
          <cell r="F8811">
            <v>950</v>
          </cell>
        </row>
        <row r="8812">
          <cell r="A8812" t="str">
            <v>SP0301-L</v>
          </cell>
          <cell r="B8812" t="str">
            <v>P301</v>
          </cell>
          <cell r="C8812" t="str">
            <v>ซาติน แขนยาวขายาว ผู้หญิง ผู้ชาย พื้นชมพู L</v>
          </cell>
          <cell r="E8812">
            <v>0</v>
          </cell>
          <cell r="F8812">
            <v>950</v>
          </cell>
        </row>
        <row r="8813">
          <cell r="A8813" t="str">
            <v>SP0301-M</v>
          </cell>
          <cell r="B8813" t="str">
            <v>P301</v>
          </cell>
          <cell r="C8813" t="str">
            <v>ซาติน แขนยาวขายาว ผู้หญิง ผู้ชาย พื้นชมพู M</v>
          </cell>
          <cell r="E8813">
            <v>0</v>
          </cell>
          <cell r="F8813">
            <v>950</v>
          </cell>
        </row>
        <row r="8814">
          <cell r="A8814" t="str">
            <v>SP0302-L</v>
          </cell>
          <cell r="B8814" t="str">
            <v>P302</v>
          </cell>
          <cell r="C8814" t="str">
            <v>ซาติน แขนยาวขายาว ลูกไม้ ปากแดง พื้นชมพู L</v>
          </cell>
          <cell r="E8814">
            <v>0</v>
          </cell>
          <cell r="F8814">
            <v>950</v>
          </cell>
        </row>
        <row r="8815">
          <cell r="A8815" t="str">
            <v>SP0302-M</v>
          </cell>
          <cell r="B8815" t="str">
            <v>P302</v>
          </cell>
          <cell r="C8815" t="str">
            <v>ซาติน แขนยาวขายาว ลูกไม้ ปากแดง พื้นชมพู M</v>
          </cell>
          <cell r="E8815">
            <v>0</v>
          </cell>
          <cell r="F8815">
            <v>950</v>
          </cell>
        </row>
        <row r="8816">
          <cell r="A8816" t="str">
            <v>SP0302-XL</v>
          </cell>
          <cell r="B8816" t="str">
            <v>P302</v>
          </cell>
          <cell r="C8816" t="str">
            <v>ซาติน แขนยาวขายาว ลูกไม้ ปากแดง พื้นชมพู XL</v>
          </cell>
          <cell r="E8816">
            <v>0</v>
          </cell>
          <cell r="F8816">
            <v>950</v>
          </cell>
        </row>
        <row r="8817">
          <cell r="A8817" t="str">
            <v>SP0303-L</v>
          </cell>
          <cell r="B8817" t="str">
            <v>P303</v>
          </cell>
          <cell r="C8817" t="str">
            <v>ซาติน แขนยาวขายาว ลูกไม้ ปากแดง พื้นฟ้า L</v>
          </cell>
          <cell r="E8817">
            <v>0</v>
          </cell>
          <cell r="F8817">
            <v>950</v>
          </cell>
        </row>
        <row r="8818">
          <cell r="A8818" t="str">
            <v>SP0303-M</v>
          </cell>
          <cell r="B8818" t="str">
            <v>P303</v>
          </cell>
          <cell r="C8818" t="str">
            <v>ซาติน แขนยาวขายาว ลูกไม้ ปากแดง พื้นฟ้า M</v>
          </cell>
          <cell r="E8818">
            <v>0</v>
          </cell>
          <cell r="F8818">
            <v>950</v>
          </cell>
        </row>
        <row r="8819">
          <cell r="A8819" t="str">
            <v>SP0303-XL</v>
          </cell>
          <cell r="B8819" t="str">
            <v>P303</v>
          </cell>
          <cell r="C8819" t="str">
            <v>ซาติน แขนยาวขายาว ลูกไม้ ปากแดง พื้นฟ้า XL</v>
          </cell>
          <cell r="E8819">
            <v>0</v>
          </cell>
          <cell r="F8819">
            <v>950</v>
          </cell>
        </row>
        <row r="8820">
          <cell r="A8820" t="str">
            <v>SP0304-L</v>
          </cell>
          <cell r="B8820" t="str">
            <v>P304</v>
          </cell>
          <cell r="C8820" t="str">
            <v>ซาติน แขนยาวขายาว หมาชิบะ พื้นน้ำตาล L</v>
          </cell>
          <cell r="E8820">
            <v>0</v>
          </cell>
          <cell r="F8820">
            <v>950</v>
          </cell>
        </row>
        <row r="8821">
          <cell r="A8821" t="str">
            <v>SP0304-M</v>
          </cell>
          <cell r="B8821" t="str">
            <v>P304</v>
          </cell>
          <cell r="C8821" t="str">
            <v>ซาติน แขนยาวขายาว หมาชิบะ พื้นน้ำตาล M</v>
          </cell>
          <cell r="E8821">
            <v>0</v>
          </cell>
          <cell r="F8821">
            <v>950</v>
          </cell>
        </row>
        <row r="8822">
          <cell r="A8822" t="str">
            <v>SP0305-L</v>
          </cell>
          <cell r="B8822" t="str">
            <v>P305</v>
          </cell>
          <cell r="C8822" t="str">
            <v>ซาติน แขนยาวขายาว หมาชิบะ พื้นครีม L</v>
          </cell>
          <cell r="E8822">
            <v>0</v>
          </cell>
          <cell r="F8822">
            <v>950</v>
          </cell>
        </row>
        <row r="8823">
          <cell r="A8823" t="str">
            <v>SP0305-M</v>
          </cell>
          <cell r="B8823" t="str">
            <v>P305</v>
          </cell>
          <cell r="C8823" t="str">
            <v>ซาติน แขนยาวขายาว หมาชิบะ พื้นครีม M</v>
          </cell>
          <cell r="E8823">
            <v>0</v>
          </cell>
          <cell r="F8823">
            <v>950</v>
          </cell>
        </row>
        <row r="8824">
          <cell r="A8824" t="str">
            <v>SP0306-M</v>
          </cell>
          <cell r="B8824" t="str">
            <v>P306</v>
          </cell>
          <cell r="C8824" t="str">
            <v>ซาติน แขนยาวขายาว โบว์ขาว ขอบเขียว พื้นชมพู M</v>
          </cell>
          <cell r="E8824">
            <v>0</v>
          </cell>
          <cell r="F8824">
            <v>950</v>
          </cell>
        </row>
        <row r="8825">
          <cell r="A8825" t="str">
            <v>SP0306-S</v>
          </cell>
          <cell r="B8825" t="str">
            <v>P306</v>
          </cell>
          <cell r="C8825" t="str">
            <v>ซาติน แขนยาวขายาว โบว์ขาว ขอบเขียว พื้นชมพู S</v>
          </cell>
          <cell r="E8825">
            <v>0</v>
          </cell>
          <cell r="F8825">
            <v>950</v>
          </cell>
        </row>
        <row r="8826">
          <cell r="A8826" t="str">
            <v>SP0313-L</v>
          </cell>
          <cell r="B8826" t="str">
            <v>P313</v>
          </cell>
          <cell r="C8826" t="str">
            <v>ซาติน  แขนยาวขายาว ตาราง เขียวขาว L</v>
          </cell>
          <cell r="E8826">
            <v>0</v>
          </cell>
          <cell r="F8826">
            <v>950</v>
          </cell>
        </row>
        <row r="8827">
          <cell r="A8827" t="str">
            <v>SP0314-L</v>
          </cell>
          <cell r="B8827" t="str">
            <v>P314</v>
          </cell>
          <cell r="C8827" t="str">
            <v>ซาติน แขนยาวขายาว ตาราง ดำขาว L</v>
          </cell>
          <cell r="E8827">
            <v>0</v>
          </cell>
          <cell r="F8827">
            <v>950</v>
          </cell>
        </row>
        <row r="8828">
          <cell r="A8828" t="str">
            <v>SP0314-M</v>
          </cell>
          <cell r="B8828" t="str">
            <v>P314</v>
          </cell>
          <cell r="C8828" t="str">
            <v>ซาติน แขนยาวขายาว ตาราง ดำขาว M</v>
          </cell>
          <cell r="E8828">
            <v>0</v>
          </cell>
          <cell r="F8828">
            <v>950</v>
          </cell>
        </row>
        <row r="8829">
          <cell r="A8829" t="str">
            <v>SP0315-L</v>
          </cell>
          <cell r="B8829" t="str">
            <v>P315</v>
          </cell>
          <cell r="C8829" t="str">
            <v>ซาติน  แขนยาวขายาว ตาราง ครีมขาว L</v>
          </cell>
          <cell r="E8829">
            <v>0</v>
          </cell>
          <cell r="F8829">
            <v>950</v>
          </cell>
        </row>
        <row r="8830">
          <cell r="A8830" t="str">
            <v>SP0315-M</v>
          </cell>
          <cell r="B8830" t="str">
            <v>P315</v>
          </cell>
          <cell r="C8830" t="str">
            <v>ซาติน แขนยาวขายาว ตาราง ครีมขาว M</v>
          </cell>
          <cell r="E8830">
            <v>0</v>
          </cell>
          <cell r="F8830">
            <v>950</v>
          </cell>
        </row>
        <row r="8831">
          <cell r="A8831" t="str">
            <v>SP0316-L</v>
          </cell>
          <cell r="B8831" t="str">
            <v>P316</v>
          </cell>
          <cell r="C8831" t="str">
            <v>ซาติน แขนยาวขายาว ดอกไม้ขาว ใบน้ำตาล พื้นดำ L</v>
          </cell>
          <cell r="E8831">
            <v>0</v>
          </cell>
          <cell r="F8831">
            <v>950</v>
          </cell>
        </row>
        <row r="8832">
          <cell r="A8832" t="str">
            <v>SP0316-M</v>
          </cell>
          <cell r="B8832" t="str">
            <v>JP316</v>
          </cell>
          <cell r="C8832" t="str">
            <v>ซาติน แขนยาวขายาว ดอกไม้ขาว ใบน้ำตาล พื้นดำ M (กปก) ตัวโชว์</v>
          </cell>
          <cell r="E8832">
            <v>0</v>
          </cell>
          <cell r="F8832">
            <v>950</v>
          </cell>
        </row>
        <row r="8833">
          <cell r="A8833" t="str">
            <v>SP0317-L</v>
          </cell>
          <cell r="B8833" t="str">
            <v>P317</v>
          </cell>
          <cell r="C8833" t="str">
            <v>ซาติน แขนยาวขายาว ดอกไม้ขาว ใบน้ำตาล พื้นครีม L</v>
          </cell>
          <cell r="E8833">
            <v>0</v>
          </cell>
          <cell r="F8833">
            <v>950</v>
          </cell>
        </row>
        <row r="8834">
          <cell r="A8834" t="str">
            <v>SP0317-M</v>
          </cell>
          <cell r="B8834" t="str">
            <v>JP317</v>
          </cell>
          <cell r="C8834" t="str">
            <v>ซาติน แขนยาวขายาว ดอกไม้ขาว ใบน้ำตาล พื้นครีม M ตัวโชว์</v>
          </cell>
          <cell r="E8834">
            <v>0</v>
          </cell>
          <cell r="F8834">
            <v>950</v>
          </cell>
        </row>
        <row r="8835">
          <cell r="A8835" t="str">
            <v>SP0318-L</v>
          </cell>
          <cell r="B8835" t="str">
            <v>JP318</v>
          </cell>
          <cell r="C8835" t="str">
            <v>ซาติน แขนยาวขายาว คาร์เนชั่นครีม พื้นดำ L (กปก) ตัวโชว์</v>
          </cell>
          <cell r="E8835">
            <v>0</v>
          </cell>
          <cell r="F8835">
            <v>950</v>
          </cell>
        </row>
        <row r="8836">
          <cell r="A8836" t="str">
            <v>SP0318-M</v>
          </cell>
          <cell r="B8836" t="str">
            <v>JP318</v>
          </cell>
          <cell r="C8836" t="str">
            <v>ซาติน แขนยาวขายาว คาร์เนชั่นครีม พื้นดำ M (กปก) ตัวโชว์</v>
          </cell>
          <cell r="E8836">
            <v>0</v>
          </cell>
          <cell r="F8836">
            <v>950</v>
          </cell>
        </row>
        <row r="8837">
          <cell r="A8837" t="str">
            <v>SP0319-L</v>
          </cell>
          <cell r="B8837" t="str">
            <v>P319</v>
          </cell>
          <cell r="C8837" t="str">
            <v>ซาติน แขนยาวขายาว คาร์เนชั่นครีม พื้นครีม L</v>
          </cell>
          <cell r="E8837">
            <v>0</v>
          </cell>
          <cell r="F8837">
            <v>950</v>
          </cell>
        </row>
        <row r="8838">
          <cell r="A8838" t="str">
            <v>SP0319-M</v>
          </cell>
          <cell r="B8838" t="str">
            <v>P319</v>
          </cell>
          <cell r="C8838" t="str">
            <v>ซาติน แขนยาวขายาว คาร์เนชั่นครีม พื้นครีม M</v>
          </cell>
          <cell r="E8838">
            <v>0</v>
          </cell>
          <cell r="F8838">
            <v>950</v>
          </cell>
        </row>
        <row r="8839">
          <cell r="A8839" t="str">
            <v>SP0323-L</v>
          </cell>
          <cell r="B8839" t="str">
            <v>P323</v>
          </cell>
          <cell r="C8839" t="str">
            <v>ซาติน แขนยาวขายาว ดอกเล็ก โบว์ดำ พื้นขาว L</v>
          </cell>
          <cell r="E8839">
            <v>0</v>
          </cell>
          <cell r="F8839">
            <v>950</v>
          </cell>
        </row>
        <row r="8840">
          <cell r="A8840" t="str">
            <v>SP0323-M</v>
          </cell>
          <cell r="B8840" t="str">
            <v>P323</v>
          </cell>
          <cell r="C8840" t="str">
            <v>ซาติน แขนยาวขายาว ดอกเล็ก โบว์ดำ พื้นขาว M</v>
          </cell>
          <cell r="E8840">
            <v>0</v>
          </cell>
          <cell r="F8840">
            <v>950</v>
          </cell>
        </row>
        <row r="8841">
          <cell r="A8841" t="str">
            <v>SP0324-L</v>
          </cell>
          <cell r="B8841" t="str">
            <v>P324</v>
          </cell>
          <cell r="C8841" t="str">
            <v>ซาติน แขนยาวขายาว ดอกเล็ก โบว์ชมพู พื้นชมพู L</v>
          </cell>
          <cell r="E8841">
            <v>0</v>
          </cell>
          <cell r="F8841">
            <v>950</v>
          </cell>
        </row>
        <row r="8842">
          <cell r="A8842" t="str">
            <v>SP0324-M</v>
          </cell>
          <cell r="B8842" t="str">
            <v>P324</v>
          </cell>
          <cell r="C8842" t="str">
            <v>ซาติน แขนยาวขายาว ดอกเล็ก โบว์ชมพู พื้นชมพู M</v>
          </cell>
          <cell r="E8842">
            <v>0</v>
          </cell>
          <cell r="F8842">
            <v>950</v>
          </cell>
        </row>
        <row r="8843">
          <cell r="A8843" t="str">
            <v>SP0325-L</v>
          </cell>
          <cell r="B8843" t="str">
            <v>P325</v>
          </cell>
          <cell r="C8843" t="str">
            <v>ซาติน แขนยาวขายาว ดอกไม้ นกยูง L</v>
          </cell>
          <cell r="E8843">
            <v>0</v>
          </cell>
          <cell r="F8843">
            <v>990</v>
          </cell>
        </row>
        <row r="8844">
          <cell r="A8844" t="str">
            <v>SP0325-M</v>
          </cell>
          <cell r="B8844" t="str">
            <v>P325</v>
          </cell>
          <cell r="C8844" t="str">
            <v>ซาติน แขนยาวขายาว ดอกไม้ นกยูง M</v>
          </cell>
          <cell r="E8844">
            <v>0</v>
          </cell>
          <cell r="F8844">
            <v>990</v>
          </cell>
        </row>
        <row r="8845">
          <cell r="A8845" t="str">
            <v>SP0325-S</v>
          </cell>
          <cell r="B8845" t="str">
            <v>P325</v>
          </cell>
          <cell r="C8845" t="str">
            <v>ซาติน แขนยาวขายาว ดอกไม้ นกยูง S</v>
          </cell>
          <cell r="E8845">
            <v>0</v>
          </cell>
          <cell r="F8845">
            <v>990</v>
          </cell>
        </row>
        <row r="8846">
          <cell r="A8846" t="str">
            <v>SP0325-XL</v>
          </cell>
          <cell r="B8846" t="str">
            <v>P325</v>
          </cell>
          <cell r="C8846" t="str">
            <v>ซาติน แขนยาวขายาว ดอกไม้ นกยูง XL</v>
          </cell>
          <cell r="E8846">
            <v>0</v>
          </cell>
          <cell r="F8846">
            <v>990</v>
          </cell>
        </row>
        <row r="8847">
          <cell r="A8847" t="str">
            <v>SP0326-L</v>
          </cell>
          <cell r="B8847" t="str">
            <v>QP326</v>
          </cell>
          <cell r="C8847" t="str">
            <v>ซาติน แขนยาวขายาว แคนวาส พื้นครีม L QC</v>
          </cell>
          <cell r="E8847">
            <v>0</v>
          </cell>
          <cell r="F8847">
            <v>990</v>
          </cell>
        </row>
        <row r="8848">
          <cell r="A8848" t="str">
            <v>SP0326-M</v>
          </cell>
          <cell r="B8848" t="str">
            <v>P326</v>
          </cell>
          <cell r="C8848" t="str">
            <v>ซาติน แขนยาวขายาว แคนวาส พื้นครีม M</v>
          </cell>
          <cell r="E8848">
            <v>0</v>
          </cell>
          <cell r="F8848">
            <v>990</v>
          </cell>
        </row>
        <row r="8849">
          <cell r="A8849" t="str">
            <v>SP0326-XL</v>
          </cell>
          <cell r="B8849" t="str">
            <v>P326</v>
          </cell>
          <cell r="C8849" t="str">
            <v>ซาติน แขนยาวขายาว แคนวาส พื้นครีม XL</v>
          </cell>
          <cell r="E8849">
            <v>0</v>
          </cell>
          <cell r="F8849">
            <v>990</v>
          </cell>
        </row>
        <row r="8850">
          <cell r="A8850" t="str">
            <v>SP0337-L</v>
          </cell>
          <cell r="B8850" t="str">
            <v>P337</v>
          </cell>
          <cell r="C8850" t="str">
            <v>ซาติน แขนยาวขายาว วัว พื้นฟ้า Blue cow L</v>
          </cell>
          <cell r="E8850">
            <v>0</v>
          </cell>
          <cell r="F8850">
            <v>950</v>
          </cell>
        </row>
        <row r="8851">
          <cell r="A8851" t="str">
            <v>SP0337-M</v>
          </cell>
          <cell r="B8851" t="str">
            <v>P337</v>
          </cell>
          <cell r="C8851" t="str">
            <v>ซาติน แขนยาวขายาว วัว พื้นฟ้า Blue cow M</v>
          </cell>
          <cell r="E8851">
            <v>0</v>
          </cell>
          <cell r="F8851">
            <v>950</v>
          </cell>
        </row>
        <row r="8852">
          <cell r="A8852" t="str">
            <v>SP0342-F</v>
          </cell>
          <cell r="B8852" t="str">
            <v>P342</v>
          </cell>
          <cell r="C8852" t="str">
            <v>ซาติน แขนยาวขายาว Fox พื้นครีม F</v>
          </cell>
          <cell r="E8852">
            <v>0</v>
          </cell>
          <cell r="F8852">
            <v>950</v>
          </cell>
        </row>
        <row r="8853">
          <cell r="A8853" t="str">
            <v>SP0343-L</v>
          </cell>
          <cell r="B8853" t="str">
            <v>P343</v>
          </cell>
          <cell r="C8853" t="str">
            <v>ซาติน แขนยาวขายาว Angle Heart พื้นชมพู  L</v>
          </cell>
          <cell r="E8853">
            <v>0</v>
          </cell>
          <cell r="F8853">
            <v>950</v>
          </cell>
        </row>
        <row r="8854">
          <cell r="A8854" t="str">
            <v>SP0343-M</v>
          </cell>
          <cell r="B8854" t="str">
            <v>P343</v>
          </cell>
          <cell r="C8854" t="str">
            <v>ซาติน แขนยาวขายาว Angle Heart พื้นชมพู  M</v>
          </cell>
          <cell r="E8854">
            <v>0</v>
          </cell>
          <cell r="F8854">
            <v>950</v>
          </cell>
        </row>
        <row r="8855">
          <cell r="A8855" t="str">
            <v>SP0343-XL</v>
          </cell>
          <cell r="B8855" t="str">
            <v>P343</v>
          </cell>
          <cell r="C8855" t="str">
            <v>ซาติน แขนยาวขายาว Angle Heart พื้นชมพู  XL</v>
          </cell>
          <cell r="E8855">
            <v>0</v>
          </cell>
          <cell r="F8855">
            <v>950</v>
          </cell>
        </row>
        <row r="8856">
          <cell r="A8856" t="str">
            <v>SP0344-L</v>
          </cell>
          <cell r="B8856" t="str">
            <v>P344</v>
          </cell>
          <cell r="C8856" t="str">
            <v>ซาติน แขนยาวขายาว แมว FEN BOR พื้นขาว L</v>
          </cell>
          <cell r="E8856">
            <v>0</v>
          </cell>
          <cell r="F8856">
            <v>950</v>
          </cell>
        </row>
        <row r="8857">
          <cell r="A8857" t="str">
            <v>SP0344-M</v>
          </cell>
          <cell r="B8857" t="str">
            <v>P344</v>
          </cell>
          <cell r="C8857" t="str">
            <v>ซาติน แขนยาวขายาว แมว FEN BOR พื้นขาว M</v>
          </cell>
          <cell r="E8857">
            <v>0</v>
          </cell>
          <cell r="F8857">
            <v>950</v>
          </cell>
        </row>
        <row r="8858">
          <cell r="A8858" t="str">
            <v>SP0344-XL</v>
          </cell>
          <cell r="B8858" t="str">
            <v>P344</v>
          </cell>
          <cell r="C8858" t="str">
            <v>ซาติน แขนยาวขายาว แมว FEN BOR พื้นขาว XL</v>
          </cell>
          <cell r="E8858">
            <v>0</v>
          </cell>
          <cell r="F8858">
            <v>950</v>
          </cell>
        </row>
        <row r="8859">
          <cell r="A8859" t="str">
            <v>SP0346-L</v>
          </cell>
          <cell r="B8859" t="str">
            <v>P346</v>
          </cell>
          <cell r="C8859" t="str">
            <v>ซาติน แขนยาวขายาว กระเป๋าแมวขาว ขอบขาว พื้นดำ L</v>
          </cell>
          <cell r="E8859">
            <v>0</v>
          </cell>
          <cell r="F8859">
            <v>950</v>
          </cell>
        </row>
        <row r="8860">
          <cell r="A8860" t="str">
            <v>SP0346-M</v>
          </cell>
          <cell r="B8860" t="str">
            <v>P346</v>
          </cell>
          <cell r="C8860" t="str">
            <v>ซาติน แขนยาวขายาว กระเป๋าแมวขาว ขอบขาว พื้นดำ M</v>
          </cell>
          <cell r="E8860">
            <v>0</v>
          </cell>
          <cell r="F8860">
            <v>950</v>
          </cell>
        </row>
        <row r="8861">
          <cell r="A8861" t="str">
            <v>SP0347-2XL</v>
          </cell>
          <cell r="B8861" t="str">
            <v>QP347</v>
          </cell>
          <cell r="C8861" t="str">
            <v>ซาติน แขนยาวขายาว Coral Sea 2XL QC</v>
          </cell>
          <cell r="E8861">
            <v>0</v>
          </cell>
          <cell r="F8861">
            <v>990</v>
          </cell>
        </row>
        <row r="8862">
          <cell r="A8862" t="str">
            <v>SP0347-L</v>
          </cell>
          <cell r="B8862" t="str">
            <v>P347</v>
          </cell>
          <cell r="C8862" t="str">
            <v>ซาติน แขนยาวขายาว Coral Sea L</v>
          </cell>
          <cell r="E8862">
            <v>0</v>
          </cell>
          <cell r="F8862">
            <v>990</v>
          </cell>
        </row>
        <row r="8863">
          <cell r="A8863" t="str">
            <v>SP0347-M</v>
          </cell>
          <cell r="B8863" t="str">
            <v>P347</v>
          </cell>
          <cell r="C8863" t="str">
            <v>ซาติน แขนยาวขายาว Coral Sea M</v>
          </cell>
          <cell r="E8863">
            <v>0</v>
          </cell>
          <cell r="F8863">
            <v>990</v>
          </cell>
        </row>
        <row r="8864">
          <cell r="A8864" t="str">
            <v>SP0347-XL</v>
          </cell>
          <cell r="B8864" t="str">
            <v>P347</v>
          </cell>
          <cell r="C8864" t="str">
            <v>ซาติน แขนยาวขายาว Coral Sea XL</v>
          </cell>
          <cell r="E8864">
            <v>0</v>
          </cell>
          <cell r="F8864">
            <v>990</v>
          </cell>
        </row>
        <row r="8865">
          <cell r="A8865" t="str">
            <v>SP0348-L</v>
          </cell>
          <cell r="B8865" t="str">
            <v>P348</v>
          </cell>
          <cell r="C8865" t="str">
            <v>ซาติน แขนยาวขายาว Red Flower L</v>
          </cell>
          <cell r="E8865">
            <v>0</v>
          </cell>
          <cell r="F8865">
            <v>950</v>
          </cell>
        </row>
        <row r="8866">
          <cell r="A8866" t="str">
            <v>SP0348-M</v>
          </cell>
          <cell r="B8866" t="str">
            <v>P348</v>
          </cell>
          <cell r="C8866" t="str">
            <v>ซาติน แขนยาวขายาว Red Flower M</v>
          </cell>
          <cell r="E8866">
            <v>0</v>
          </cell>
          <cell r="F8866">
            <v>950</v>
          </cell>
        </row>
        <row r="8867">
          <cell r="A8867" t="str">
            <v>SP0348-XL</v>
          </cell>
          <cell r="B8867" t="str">
            <v>P348</v>
          </cell>
          <cell r="C8867" t="str">
            <v>ซาติน แขนยาวขายาว Red Flower XL</v>
          </cell>
          <cell r="E8867">
            <v>0</v>
          </cell>
          <cell r="F8867">
            <v>950</v>
          </cell>
        </row>
        <row r="8868">
          <cell r="A8868" t="str">
            <v>SP0350-L</v>
          </cell>
          <cell r="B8868" t="str">
            <v>P350</v>
          </cell>
          <cell r="C8868" t="str">
            <v>ซาติน แขนยาวขายาว Flower Gray L</v>
          </cell>
          <cell r="E8868">
            <v>0</v>
          </cell>
          <cell r="F8868">
            <v>990</v>
          </cell>
        </row>
        <row r="8869">
          <cell r="A8869" t="str">
            <v>SP0350-M</v>
          </cell>
          <cell r="B8869" t="str">
            <v>P350</v>
          </cell>
          <cell r="C8869" t="str">
            <v>ซาติน แขนยาวขายาว Flower Gray M</v>
          </cell>
          <cell r="E8869">
            <v>0</v>
          </cell>
          <cell r="F8869">
            <v>990</v>
          </cell>
        </row>
        <row r="8870">
          <cell r="A8870" t="str">
            <v>SP0350-S</v>
          </cell>
          <cell r="B8870" t="str">
            <v>P350</v>
          </cell>
          <cell r="C8870" t="str">
            <v>ซาติน แขนยาวขายาว Flower Gray S</v>
          </cell>
          <cell r="E8870">
            <v>0</v>
          </cell>
          <cell r="F8870">
            <v>990</v>
          </cell>
        </row>
        <row r="8871">
          <cell r="A8871" t="str">
            <v>SP0350-XL</v>
          </cell>
          <cell r="B8871" t="str">
            <v>P350</v>
          </cell>
          <cell r="C8871" t="str">
            <v>ซาติน แขนยาวขายาว Flower Gray XL</v>
          </cell>
          <cell r="E8871">
            <v>0</v>
          </cell>
          <cell r="F8871">
            <v>990</v>
          </cell>
        </row>
        <row r="8872">
          <cell r="A8872" t="str">
            <v>SP0351-L</v>
          </cell>
          <cell r="B8872" t="str">
            <v>P351</v>
          </cell>
          <cell r="C8872" t="str">
            <v>ซาติน แขนยาวขายาว เสือ พื้นม่วง L</v>
          </cell>
          <cell r="E8872">
            <v>0</v>
          </cell>
          <cell r="F8872">
            <v>950</v>
          </cell>
        </row>
        <row r="8873">
          <cell r="A8873" t="str">
            <v>SP0351-XL</v>
          </cell>
          <cell r="B8873" t="str">
            <v>P351</v>
          </cell>
          <cell r="C8873" t="str">
            <v>ซาติน แขนยาวขายาว เสือ พื้นม่วง XL</v>
          </cell>
          <cell r="E8873">
            <v>0</v>
          </cell>
          <cell r="F8873">
            <v>950</v>
          </cell>
        </row>
        <row r="8874">
          <cell r="A8874" t="str">
            <v>SP0354-L</v>
          </cell>
          <cell r="B8874" t="str">
            <v>P354</v>
          </cell>
          <cell r="C8874" t="str">
            <v>ซาติน แขนยาวขายาว Black Golden Flower L</v>
          </cell>
          <cell r="E8874">
            <v>0</v>
          </cell>
          <cell r="F8874">
            <v>950</v>
          </cell>
        </row>
        <row r="8875">
          <cell r="A8875" t="str">
            <v>SP0354-XL</v>
          </cell>
          <cell r="B8875" t="str">
            <v>P354</v>
          </cell>
          <cell r="C8875" t="str">
            <v>ซาติน แขนยาวขายาว Black Golden Flower XL</v>
          </cell>
          <cell r="E8875">
            <v>0</v>
          </cell>
          <cell r="F8875">
            <v>950</v>
          </cell>
        </row>
        <row r="8876">
          <cell r="A8876" t="str">
            <v>SP0355-L</v>
          </cell>
          <cell r="B8876" t="str">
            <v>P355</v>
          </cell>
          <cell r="C8876" t="str">
            <v>ซาติน แขนยาวขายาว GC L</v>
          </cell>
          <cell r="E8876">
            <v>0</v>
          </cell>
          <cell r="F8876">
            <v>950</v>
          </cell>
        </row>
        <row r="8877">
          <cell r="A8877" t="str">
            <v>SP0355-M</v>
          </cell>
          <cell r="B8877" t="str">
            <v>P355</v>
          </cell>
          <cell r="C8877" t="str">
            <v>ซาติน แขนยาวขายาว GC M</v>
          </cell>
          <cell r="E8877">
            <v>0</v>
          </cell>
          <cell r="F8877">
            <v>950</v>
          </cell>
        </row>
        <row r="8878">
          <cell r="A8878" t="str">
            <v>SP0355-XL</v>
          </cell>
          <cell r="B8878" t="str">
            <v>P355</v>
          </cell>
          <cell r="C8878" t="str">
            <v>ซาติน แขนยาวขายาว GC XL</v>
          </cell>
          <cell r="E8878">
            <v>0</v>
          </cell>
          <cell r="F8878">
            <v>950</v>
          </cell>
        </row>
        <row r="8879">
          <cell r="A8879" t="str">
            <v>SP0356-L</v>
          </cell>
          <cell r="B8879" t="str">
            <v>P356</v>
          </cell>
          <cell r="C8879" t="str">
            <v>ซาติน แขนยาวขายาว กระเป๋าผีเสื้อ พื้นขาว L</v>
          </cell>
          <cell r="E8879">
            <v>0</v>
          </cell>
          <cell r="F8879">
            <v>950</v>
          </cell>
        </row>
        <row r="8880">
          <cell r="A8880" t="str">
            <v>SP0356-M</v>
          </cell>
          <cell r="B8880" t="str">
            <v>P356</v>
          </cell>
          <cell r="C8880" t="str">
            <v>ซาติน แขนยาวขายาว กระเป๋าผีเสื้อ พื้นขาว M</v>
          </cell>
          <cell r="E8880">
            <v>0</v>
          </cell>
          <cell r="F8880">
            <v>950</v>
          </cell>
        </row>
        <row r="8881">
          <cell r="A8881" t="str">
            <v>SP0356-XL</v>
          </cell>
          <cell r="B8881" t="str">
            <v>P356</v>
          </cell>
          <cell r="C8881" t="str">
            <v>ซาติน แขนยาวขายาว กระเป๋าผีเสื้อ พื้นขาว XL</v>
          </cell>
          <cell r="E8881">
            <v>0</v>
          </cell>
          <cell r="F8881">
            <v>950</v>
          </cell>
        </row>
        <row r="8882">
          <cell r="A8882" t="str">
            <v>SP0357-L</v>
          </cell>
          <cell r="B8882" t="str">
            <v>P357</v>
          </cell>
          <cell r="C8882" t="str">
            <v>ซาติน แขนยาวขายาว กระเป๋าผีเสื้อ พื้นชมพู L</v>
          </cell>
          <cell r="E8882">
            <v>0</v>
          </cell>
          <cell r="F8882">
            <v>950</v>
          </cell>
        </row>
        <row r="8883">
          <cell r="A8883" t="str">
            <v>SP0357-M</v>
          </cell>
          <cell r="B8883" t="str">
            <v>P357</v>
          </cell>
          <cell r="C8883" t="str">
            <v>ซาติน แขนยาวขายาว กระเป๋าผีเสื้อ พื้นชมพู M</v>
          </cell>
          <cell r="E8883">
            <v>0</v>
          </cell>
          <cell r="F8883">
            <v>590</v>
          </cell>
        </row>
        <row r="8884">
          <cell r="A8884" t="str">
            <v>SP0357-XL</v>
          </cell>
          <cell r="B8884" t="str">
            <v>P357</v>
          </cell>
          <cell r="C8884" t="str">
            <v>ซาติน แขนยาวขายาว กระเป๋าผีเสื้อ พื้นชมพู XL</v>
          </cell>
          <cell r="E8884">
            <v>0</v>
          </cell>
          <cell r="F8884">
            <v>950</v>
          </cell>
        </row>
        <row r="8885">
          <cell r="A8885" t="str">
            <v>SP0358-L</v>
          </cell>
          <cell r="B8885" t="str">
            <v>P358</v>
          </cell>
          <cell r="C8885" t="str">
            <v>ซาติน แขนยาวขายาว ลายทางม่วงครีม L</v>
          </cell>
          <cell r="E8885">
            <v>0</v>
          </cell>
          <cell r="F8885">
            <v>950</v>
          </cell>
        </row>
        <row r="8886">
          <cell r="A8886" t="str">
            <v>SP0358-M</v>
          </cell>
          <cell r="B8886" t="str">
            <v>P358</v>
          </cell>
          <cell r="C8886" t="str">
            <v>ซาติน แขนยาวขายาว ลายทางม่วงครีม M</v>
          </cell>
          <cell r="E8886">
            <v>0</v>
          </cell>
          <cell r="F8886">
            <v>950</v>
          </cell>
        </row>
        <row r="8887">
          <cell r="A8887" t="str">
            <v>SP0359-L</v>
          </cell>
          <cell r="B8887" t="str">
            <v>P359</v>
          </cell>
          <cell r="C8887" t="str">
            <v>ซาติน แขนยาวขายาว Mini Heart พื้นครีม L</v>
          </cell>
          <cell r="E8887">
            <v>0</v>
          </cell>
          <cell r="F8887">
            <v>950</v>
          </cell>
        </row>
        <row r="8888">
          <cell r="A8888" t="str">
            <v>SP0359-M</v>
          </cell>
          <cell r="B8888" t="str">
            <v>P359</v>
          </cell>
          <cell r="C8888" t="str">
            <v>ซาติน แขนยาวขายาว Mini Heart พื้นครีม M</v>
          </cell>
          <cell r="E8888">
            <v>0</v>
          </cell>
          <cell r="F8888">
            <v>950</v>
          </cell>
        </row>
        <row r="8889">
          <cell r="A8889" t="str">
            <v>SP0360-2XL</v>
          </cell>
          <cell r="B8889" t="str">
            <v>P360</v>
          </cell>
          <cell r="C8889" t="str">
            <v>ซาติน แขนยาวขายาว Comic book 2XL</v>
          </cell>
          <cell r="E8889">
            <v>0</v>
          </cell>
          <cell r="F8889">
            <v>990</v>
          </cell>
        </row>
        <row r="8890">
          <cell r="A8890" t="str">
            <v>SP0360-3XL</v>
          </cell>
          <cell r="B8890" t="str">
            <v>P360</v>
          </cell>
          <cell r="C8890" t="str">
            <v>ซาติน แขนยาวขายาว Comic book 3XL</v>
          </cell>
          <cell r="E8890">
            <v>0</v>
          </cell>
          <cell r="F8890">
            <v>990</v>
          </cell>
        </row>
        <row r="8891">
          <cell r="A8891" t="str">
            <v>SP0360-L</v>
          </cell>
          <cell r="B8891" t="str">
            <v>P360</v>
          </cell>
          <cell r="C8891" t="str">
            <v>ซาติน แขนยาวขายาว Comic book L</v>
          </cell>
          <cell r="E8891">
            <v>0</v>
          </cell>
          <cell r="F8891">
            <v>990</v>
          </cell>
        </row>
        <row r="8892">
          <cell r="A8892" t="str">
            <v>SP0360-M</v>
          </cell>
          <cell r="B8892" t="str">
            <v>P360</v>
          </cell>
          <cell r="C8892" t="str">
            <v>ซาติน แขนยาวขายาว Comic book M</v>
          </cell>
          <cell r="E8892">
            <v>0</v>
          </cell>
          <cell r="F8892">
            <v>990</v>
          </cell>
        </row>
        <row r="8893">
          <cell r="A8893" t="str">
            <v>SP0360-XL</v>
          </cell>
          <cell r="B8893" t="str">
            <v>P360</v>
          </cell>
          <cell r="C8893" t="str">
            <v>ซาติน แขนยาวขายาว Comic book XL</v>
          </cell>
          <cell r="E8893">
            <v>0</v>
          </cell>
          <cell r="F8893">
            <v>990</v>
          </cell>
        </row>
        <row r="8894">
          <cell r="A8894" t="str">
            <v>SP0361-L</v>
          </cell>
          <cell r="B8894" t="str">
            <v>P361</v>
          </cell>
          <cell r="C8894" t="str">
            <v>ซาติน แขนยาวขายาว Color Full L</v>
          </cell>
          <cell r="E8894">
            <v>0</v>
          </cell>
          <cell r="F8894">
            <v>990</v>
          </cell>
        </row>
        <row r="8895">
          <cell r="A8895" t="str">
            <v>SP0361-M</v>
          </cell>
          <cell r="B8895" t="str">
            <v>P361</v>
          </cell>
          <cell r="C8895" t="str">
            <v>ซาติน แขนยาวขายาว Color Full M</v>
          </cell>
          <cell r="E8895">
            <v>0</v>
          </cell>
          <cell r="F8895">
            <v>990</v>
          </cell>
        </row>
        <row r="8896">
          <cell r="A8896" t="str">
            <v>SP0361-S</v>
          </cell>
          <cell r="B8896" t="str">
            <v>P361</v>
          </cell>
          <cell r="C8896" t="str">
            <v>ซาติน แขนยาวขายาว Color Full S</v>
          </cell>
          <cell r="E8896">
            <v>0</v>
          </cell>
          <cell r="F8896">
            <v>990</v>
          </cell>
        </row>
        <row r="8897">
          <cell r="A8897" t="str">
            <v>SP0361-XL</v>
          </cell>
          <cell r="B8897" t="str">
            <v>P361</v>
          </cell>
          <cell r="C8897" t="str">
            <v>ซาติน แขนยาวขายาว Color Full XL</v>
          </cell>
          <cell r="E8897">
            <v>0</v>
          </cell>
          <cell r="F8897">
            <v>990</v>
          </cell>
        </row>
        <row r="8898">
          <cell r="A8898" t="str">
            <v>SP0362-L</v>
          </cell>
          <cell r="B8898" t="str">
            <v>P362</v>
          </cell>
          <cell r="C8898" t="str">
            <v>ซาติน แขนยาวขายาว New moon Art L</v>
          </cell>
          <cell r="E8898">
            <v>0</v>
          </cell>
          <cell r="F8898">
            <v>950</v>
          </cell>
        </row>
        <row r="8899">
          <cell r="A8899" t="str">
            <v>SP0362-M</v>
          </cell>
          <cell r="B8899" t="str">
            <v>P362</v>
          </cell>
          <cell r="C8899" t="str">
            <v>ซาติน แขนยาวขายาว New moon Art M</v>
          </cell>
          <cell r="E8899">
            <v>0</v>
          </cell>
          <cell r="F8899">
            <v>950</v>
          </cell>
        </row>
        <row r="8900">
          <cell r="A8900" t="str">
            <v>SP0362-XL</v>
          </cell>
          <cell r="B8900" t="str">
            <v>P362</v>
          </cell>
          <cell r="C8900" t="str">
            <v>ซาติน แขนยาวขายาว New moon Art XL</v>
          </cell>
          <cell r="E8900">
            <v>0</v>
          </cell>
          <cell r="F8900">
            <v>950</v>
          </cell>
        </row>
        <row r="8901">
          <cell r="A8901" t="str">
            <v>SP0363-L</v>
          </cell>
          <cell r="B8901" t="str">
            <v>P363</v>
          </cell>
          <cell r="C8901" t="str">
            <v>ซาติน แขนยาวขายาว ม้าลาย ดำ L</v>
          </cell>
          <cell r="E8901">
            <v>0</v>
          </cell>
          <cell r="F8901">
            <v>950</v>
          </cell>
        </row>
        <row r="8902">
          <cell r="A8902" t="str">
            <v>SP0363-M</v>
          </cell>
          <cell r="B8902" t="str">
            <v>P363</v>
          </cell>
          <cell r="C8902" t="str">
            <v>ซาติน แขนยาวขายาว ม้าลาย ดำ M</v>
          </cell>
          <cell r="E8902">
            <v>0</v>
          </cell>
          <cell r="F8902">
            <v>950</v>
          </cell>
        </row>
        <row r="8903">
          <cell r="A8903" t="str">
            <v>SP0364-L</v>
          </cell>
          <cell r="B8903" t="str">
            <v>P364</v>
          </cell>
          <cell r="C8903" t="str">
            <v>ซาติน แขนยาวขายาว ม้าลาย ชมพู L</v>
          </cell>
          <cell r="E8903">
            <v>0</v>
          </cell>
          <cell r="F8903">
            <v>950</v>
          </cell>
        </row>
        <row r="8904">
          <cell r="A8904" t="str">
            <v>SP0364-M</v>
          </cell>
          <cell r="B8904" t="str">
            <v>P364</v>
          </cell>
          <cell r="C8904" t="str">
            <v>ซาติน แขนยาวขายาว ม้าลาย ชมพู M</v>
          </cell>
          <cell r="E8904">
            <v>0</v>
          </cell>
          <cell r="F8904">
            <v>950</v>
          </cell>
        </row>
        <row r="8905">
          <cell r="A8905" t="str">
            <v>SP0365-L</v>
          </cell>
          <cell r="B8905" t="str">
            <v>P365</v>
          </cell>
          <cell r="C8905" t="str">
            <v>ซาติน แขนยาวขายาว ม้าลาย เทา L</v>
          </cell>
          <cell r="E8905">
            <v>0</v>
          </cell>
          <cell r="F8905">
            <v>950</v>
          </cell>
        </row>
        <row r="8906">
          <cell r="A8906" t="str">
            <v>SP0365-M</v>
          </cell>
          <cell r="B8906" t="str">
            <v>P365</v>
          </cell>
          <cell r="C8906" t="str">
            <v>ซาติน แขนยาวขายาว ม้าลาย เทา M</v>
          </cell>
          <cell r="E8906">
            <v>0</v>
          </cell>
          <cell r="F8906">
            <v>950</v>
          </cell>
        </row>
        <row r="8907">
          <cell r="A8907" t="str">
            <v>SP0366-L</v>
          </cell>
          <cell r="B8907" t="str">
            <v>P366</v>
          </cell>
          <cell r="C8907" t="str">
            <v>ซาติน แขนยาวขายาว กระเป๋าระบาย เท้าแมว พื้นเทา L</v>
          </cell>
          <cell r="E8907">
            <v>0</v>
          </cell>
          <cell r="F8907">
            <v>950</v>
          </cell>
        </row>
        <row r="8908">
          <cell r="A8908" t="str">
            <v>SP0366-M</v>
          </cell>
          <cell r="B8908" t="str">
            <v>P366</v>
          </cell>
          <cell r="C8908" t="str">
            <v>ซาติน แขนยาวขายาว กระเป๋าระบาย เท้าแมว พื้นเทา M</v>
          </cell>
          <cell r="E8908">
            <v>0</v>
          </cell>
          <cell r="F8908">
            <v>950</v>
          </cell>
        </row>
        <row r="8909">
          <cell r="A8909" t="str">
            <v>SP0367-L</v>
          </cell>
          <cell r="B8909" t="str">
            <v>P367</v>
          </cell>
          <cell r="C8909" t="str">
            <v>ซาติน แขนยาวขายาว กระเป๋าระบาย เท้าแมว พื้นครีม L</v>
          </cell>
          <cell r="E8909">
            <v>0</v>
          </cell>
          <cell r="F8909">
            <v>950</v>
          </cell>
        </row>
        <row r="8910">
          <cell r="A8910" t="str">
            <v>SP0367-M</v>
          </cell>
          <cell r="B8910" t="str">
            <v>P367</v>
          </cell>
          <cell r="C8910" t="str">
            <v>ซาติน แขนยาวขายาว กระเป๋าระบาย เท้าแมว พื้นครีม M</v>
          </cell>
          <cell r="E8910">
            <v>0</v>
          </cell>
          <cell r="F8910">
            <v>950</v>
          </cell>
        </row>
        <row r="8911">
          <cell r="A8911" t="str">
            <v>SP0368-L</v>
          </cell>
          <cell r="B8911" t="str">
            <v>P368</v>
          </cell>
          <cell r="C8911" t="str">
            <v>ซาติน แขนยาวขายาว เสื้อ น้ำเงิน L</v>
          </cell>
          <cell r="E8911">
            <v>0</v>
          </cell>
          <cell r="F8911">
            <v>950</v>
          </cell>
        </row>
        <row r="8912">
          <cell r="A8912" t="str">
            <v>SP0368-M</v>
          </cell>
          <cell r="B8912" t="str">
            <v>P368</v>
          </cell>
          <cell r="C8912" t="str">
            <v>ซาติน แขนยาวขายาว เสือ น้ำเงิน M</v>
          </cell>
          <cell r="E8912">
            <v>0</v>
          </cell>
          <cell r="F8912">
            <v>950</v>
          </cell>
        </row>
        <row r="8913">
          <cell r="A8913" t="str">
            <v>SP0368-XL</v>
          </cell>
          <cell r="B8913" t="str">
            <v>P368</v>
          </cell>
          <cell r="C8913" t="str">
            <v>ซาติน แขนยาวขายาว เสือ น้ำเงิน XL</v>
          </cell>
          <cell r="E8913">
            <v>0</v>
          </cell>
          <cell r="F8913">
            <v>950</v>
          </cell>
        </row>
        <row r="8914">
          <cell r="A8914" t="str">
            <v>SP0371-L</v>
          </cell>
          <cell r="B8914" t="str">
            <v>P371</v>
          </cell>
          <cell r="C8914" t="str">
            <v>ซาติน แขนยาวขายาว หมีน้ำตาล พื้นครีม L</v>
          </cell>
          <cell r="E8914">
            <v>0</v>
          </cell>
          <cell r="F8914">
            <v>990</v>
          </cell>
        </row>
        <row r="8915">
          <cell r="A8915" t="str">
            <v>SP0372-L</v>
          </cell>
          <cell r="B8915" t="str">
            <v>P372</v>
          </cell>
          <cell r="C8915" t="str">
            <v>ซาติน แขนยาวขายาว หมีขาว พื้นม่วง L</v>
          </cell>
          <cell r="E8915">
            <v>0</v>
          </cell>
          <cell r="F8915">
            <v>950</v>
          </cell>
        </row>
        <row r="8916">
          <cell r="A8916" t="str">
            <v>SP0372-M</v>
          </cell>
          <cell r="B8916" t="str">
            <v>P372</v>
          </cell>
          <cell r="C8916" t="str">
            <v>ซาติน แขนยาวขายาว หมีขาว พื้นม่วง M</v>
          </cell>
          <cell r="E8916">
            <v>0</v>
          </cell>
          <cell r="F8916">
            <v>950</v>
          </cell>
        </row>
        <row r="8917">
          <cell r="A8917" t="str">
            <v>SP0374-L</v>
          </cell>
          <cell r="B8917" t="str">
            <v>P374</v>
          </cell>
          <cell r="C8917" t="str">
            <v>ซาติน แขนยาวขายาว พื้นชมพู ขอบลูกไม้ดำ L</v>
          </cell>
          <cell r="E8917">
            <v>0</v>
          </cell>
          <cell r="F8917">
            <v>950</v>
          </cell>
        </row>
        <row r="8918">
          <cell r="A8918" t="str">
            <v>SP0374-M</v>
          </cell>
          <cell r="B8918" t="str">
            <v>P374</v>
          </cell>
          <cell r="C8918" t="str">
            <v>ซาติน แขนยาวขายาว พื้นชมพู ขอบลูกไม้ดำ M</v>
          </cell>
          <cell r="E8918">
            <v>0</v>
          </cell>
          <cell r="F8918">
            <v>950</v>
          </cell>
        </row>
        <row r="8919">
          <cell r="A8919" t="str">
            <v>SP0374-XL</v>
          </cell>
          <cell r="B8919" t="str">
            <v>P374</v>
          </cell>
          <cell r="C8919" t="str">
            <v>ซาติน แขนยาวขายาว พื้นชมพู ขอบลูกไม้ดำ XL</v>
          </cell>
          <cell r="E8919">
            <v>0</v>
          </cell>
          <cell r="F8919">
            <v>950</v>
          </cell>
        </row>
        <row r="8920">
          <cell r="A8920" t="str">
            <v>SP0375-L</v>
          </cell>
          <cell r="B8920" t="str">
            <v>P375</v>
          </cell>
          <cell r="C8920" t="str">
            <v>ซาติน แขนยาวขายาว พื้นฟ้า ขอบลูกไม้ดำ L</v>
          </cell>
          <cell r="E8920">
            <v>0</v>
          </cell>
          <cell r="F8920">
            <v>950</v>
          </cell>
        </row>
        <row r="8921">
          <cell r="A8921" t="str">
            <v>SP0375-M</v>
          </cell>
          <cell r="B8921" t="str">
            <v>P375</v>
          </cell>
          <cell r="C8921" t="str">
            <v>ซาติน แขนยาวขายาว พื้นฟ้า ขอบลูกไม้ดำ M</v>
          </cell>
          <cell r="E8921">
            <v>0</v>
          </cell>
          <cell r="F8921">
            <v>950</v>
          </cell>
        </row>
        <row r="8922">
          <cell r="A8922" t="str">
            <v>SP0375-XL</v>
          </cell>
          <cell r="B8922" t="str">
            <v>P375</v>
          </cell>
          <cell r="C8922" t="str">
            <v>ซาติน แขนยาวขายาว พื้นฟ้า ขอบลูกไม้ดำ XL</v>
          </cell>
          <cell r="E8922">
            <v>0</v>
          </cell>
          <cell r="F8922">
            <v>950</v>
          </cell>
        </row>
        <row r="8923">
          <cell r="A8923" t="str">
            <v>SP0376-L</v>
          </cell>
          <cell r="B8923" t="str">
            <v>P376</v>
          </cell>
          <cell r="C8923" t="str">
            <v>ซาติน แขนยาวขายาว Drew flower L</v>
          </cell>
          <cell r="E8923">
            <v>0</v>
          </cell>
          <cell r="F8923">
            <v>950</v>
          </cell>
        </row>
        <row r="8924">
          <cell r="A8924" t="str">
            <v>SP0376-M</v>
          </cell>
          <cell r="B8924" t="str">
            <v>P376</v>
          </cell>
          <cell r="C8924" t="str">
            <v>ซาติน แขนยาวขายาว Drew flower M</v>
          </cell>
          <cell r="E8924">
            <v>0</v>
          </cell>
          <cell r="F8924">
            <v>950</v>
          </cell>
        </row>
        <row r="8925">
          <cell r="A8925" t="str">
            <v>SP0377-L</v>
          </cell>
          <cell r="B8925" t="str">
            <v>P377</v>
          </cell>
          <cell r="C8925" t="str">
            <v>ซาติน แขนยาวขายาว กระต่ายม่วง L</v>
          </cell>
          <cell r="E8925">
            <v>0</v>
          </cell>
          <cell r="F8925">
            <v>950</v>
          </cell>
        </row>
        <row r="8926">
          <cell r="A8926" t="str">
            <v>SP0377-M</v>
          </cell>
          <cell r="B8926" t="str">
            <v>P377</v>
          </cell>
          <cell r="C8926" t="str">
            <v>ซาติน แขนยาวขายาว กระต่ายม่วง M</v>
          </cell>
          <cell r="E8926">
            <v>0</v>
          </cell>
          <cell r="F8926">
            <v>950</v>
          </cell>
        </row>
        <row r="8927">
          <cell r="A8927" t="str">
            <v>SP0378-L</v>
          </cell>
          <cell r="B8927" t="str">
            <v>P378</v>
          </cell>
          <cell r="C8927" t="str">
            <v>ซาติน แขนยาวขายาว โบว์ดำ ทั่วตัว พื้นครีม L</v>
          </cell>
          <cell r="E8927">
            <v>0</v>
          </cell>
          <cell r="F8927">
            <v>950</v>
          </cell>
        </row>
        <row r="8928">
          <cell r="A8928" t="str">
            <v>SP0378-M</v>
          </cell>
          <cell r="B8928" t="str">
            <v>P378</v>
          </cell>
          <cell r="C8928" t="str">
            <v>ซาติน แขนยาวขายาว โบว์ดำ ทั่วตัว พื้นครีม M</v>
          </cell>
          <cell r="E8928">
            <v>0</v>
          </cell>
          <cell r="F8928">
            <v>950</v>
          </cell>
        </row>
        <row r="8929">
          <cell r="A8929" t="str">
            <v>SP0379-L</v>
          </cell>
          <cell r="B8929" t="str">
            <v>P379</v>
          </cell>
          <cell r="C8929" t="str">
            <v>ซาติน แขนยาวขายาว หัวใจฟ้า น้ำตาล พื้นขาว L</v>
          </cell>
          <cell r="E8929">
            <v>0</v>
          </cell>
          <cell r="F8929">
            <v>950</v>
          </cell>
        </row>
        <row r="8930">
          <cell r="A8930" t="str">
            <v>SP0380-L</v>
          </cell>
          <cell r="B8930" t="str">
            <v>JP380</v>
          </cell>
          <cell r="C8930" t="str">
            <v>ซาติน แขนยาวขายาว หัวใจฟ้า น้ำตาล พื้นชมพู L ตัวโชว์</v>
          </cell>
          <cell r="E8930">
            <v>0</v>
          </cell>
          <cell r="F8930">
            <v>950</v>
          </cell>
        </row>
        <row r="8931">
          <cell r="A8931" t="str">
            <v>SP0380-M</v>
          </cell>
          <cell r="B8931" t="str">
            <v>JP380</v>
          </cell>
          <cell r="C8931" t="str">
            <v>ซาติน แขนยาวขายาว หัวใจฟ้า น้ำตาล พื้นชมพู M ตัวโชว์</v>
          </cell>
          <cell r="E8931">
            <v>0</v>
          </cell>
          <cell r="F8931">
            <v>950</v>
          </cell>
        </row>
        <row r="8932">
          <cell r="A8932" t="str">
            <v>SP0381-L</v>
          </cell>
          <cell r="B8932" t="str">
            <v>P381</v>
          </cell>
          <cell r="C8932" t="str">
            <v>ซาติน แขนยาวขายาว Christmas Red L</v>
          </cell>
          <cell r="E8932">
            <v>0</v>
          </cell>
          <cell r="F8932">
            <v>950</v>
          </cell>
        </row>
        <row r="8933">
          <cell r="A8933" t="str">
            <v>SP0382-L</v>
          </cell>
          <cell r="B8933" t="str">
            <v>P382</v>
          </cell>
          <cell r="C8933" t="str">
            <v>ซาติน แขนยาวขายาว Christmas Green L</v>
          </cell>
          <cell r="E8933">
            <v>0</v>
          </cell>
          <cell r="F8933">
            <v>950</v>
          </cell>
        </row>
        <row r="8934">
          <cell r="A8934" t="str">
            <v>SP0382-M</v>
          </cell>
          <cell r="B8934" t="str">
            <v>P382</v>
          </cell>
          <cell r="C8934" t="str">
            <v>ซาติน แขนยาวขายาว Christmas Green M</v>
          </cell>
          <cell r="E8934">
            <v>0</v>
          </cell>
          <cell r="F8934">
            <v>950</v>
          </cell>
        </row>
        <row r="8935">
          <cell r="A8935" t="str">
            <v>SP0383-L</v>
          </cell>
          <cell r="B8935" t="str">
            <v>P383</v>
          </cell>
          <cell r="C8935" t="str">
            <v>ซาติน แขนยาวขายาว Lemon White L</v>
          </cell>
          <cell r="E8935">
            <v>0</v>
          </cell>
          <cell r="F8935">
            <v>950</v>
          </cell>
        </row>
        <row r="8936">
          <cell r="A8936" t="str">
            <v>SP0383-M</v>
          </cell>
          <cell r="B8936" t="str">
            <v>P383</v>
          </cell>
          <cell r="C8936" t="str">
            <v>ซาติน แขนยาวขายาว Lemon White M</v>
          </cell>
          <cell r="E8936">
            <v>0</v>
          </cell>
          <cell r="F8936">
            <v>950</v>
          </cell>
        </row>
        <row r="8937">
          <cell r="A8937" t="str">
            <v>SP0384-L</v>
          </cell>
          <cell r="B8937" t="str">
            <v>P384</v>
          </cell>
          <cell r="C8937" t="str">
            <v>ซาติน แขนยาวขายาว Lemon Yellow L</v>
          </cell>
          <cell r="E8937">
            <v>0</v>
          </cell>
          <cell r="F8937">
            <v>950</v>
          </cell>
        </row>
        <row r="8938">
          <cell r="A8938" t="str">
            <v>SP0384-M</v>
          </cell>
          <cell r="B8938" t="str">
            <v>P384</v>
          </cell>
          <cell r="C8938" t="str">
            <v>ซาติน แขนยาวขายาว Lemon Yellow M</v>
          </cell>
          <cell r="E8938">
            <v>0</v>
          </cell>
          <cell r="F8938">
            <v>950</v>
          </cell>
        </row>
        <row r="8939">
          <cell r="A8939" t="str">
            <v>SP0385-L</v>
          </cell>
          <cell r="B8939" t="str">
            <v>P385</v>
          </cell>
          <cell r="C8939" t="str">
            <v>ซาติน แขนยาวขายาว Lemon Green L</v>
          </cell>
          <cell r="E8939">
            <v>0</v>
          </cell>
          <cell r="F8939">
            <v>950</v>
          </cell>
        </row>
        <row r="8940">
          <cell r="A8940" t="str">
            <v>SP0385-M</v>
          </cell>
          <cell r="B8940" t="str">
            <v>P385</v>
          </cell>
          <cell r="C8940" t="str">
            <v>ซาติน แขนยาวขายาว Lemon Green M</v>
          </cell>
          <cell r="E8940">
            <v>0</v>
          </cell>
          <cell r="F8940">
            <v>950</v>
          </cell>
        </row>
        <row r="8941">
          <cell r="A8941" t="str">
            <v>SP0386-L</v>
          </cell>
          <cell r="B8941" t="str">
            <v>P386</v>
          </cell>
          <cell r="C8941" t="str">
            <v>ซาติน แขนยาวขายาว Lemon Pink L</v>
          </cell>
          <cell r="E8941">
            <v>0</v>
          </cell>
          <cell r="F8941">
            <v>950</v>
          </cell>
        </row>
        <row r="8942">
          <cell r="A8942" t="str">
            <v>SP0386-M</v>
          </cell>
          <cell r="B8942" t="str">
            <v>P386</v>
          </cell>
          <cell r="C8942" t="str">
            <v>ซาติน แขนยาวขายาว Lemon Pink M (กปก)</v>
          </cell>
          <cell r="E8942">
            <v>0</v>
          </cell>
          <cell r="F8942">
            <v>950</v>
          </cell>
        </row>
        <row r="8943">
          <cell r="A8943" t="str">
            <v>SP0387-L</v>
          </cell>
          <cell r="B8943" t="str">
            <v>P387</v>
          </cell>
          <cell r="C8943" t="str">
            <v>ซาติน แขนยาวขายาว balloon heart ฟ้า L</v>
          </cell>
          <cell r="E8943">
            <v>0</v>
          </cell>
          <cell r="F8943">
            <v>950</v>
          </cell>
        </row>
        <row r="8944">
          <cell r="A8944" t="str">
            <v>SP0387-M</v>
          </cell>
          <cell r="B8944" t="str">
            <v>P387</v>
          </cell>
          <cell r="C8944" t="str">
            <v>ซาติน แขนยาวขายาว balloon heart ฟ้า M</v>
          </cell>
          <cell r="E8944">
            <v>0</v>
          </cell>
          <cell r="F8944">
            <v>950</v>
          </cell>
        </row>
        <row r="8945">
          <cell r="A8945" t="str">
            <v>SP0387-XL</v>
          </cell>
          <cell r="B8945" t="str">
            <v>P387</v>
          </cell>
          <cell r="C8945" t="str">
            <v>ซาติน แขนยาวขายาว balloon heart ฟ้า XL</v>
          </cell>
          <cell r="E8945">
            <v>0</v>
          </cell>
          <cell r="F8945">
            <v>950</v>
          </cell>
        </row>
        <row r="8946">
          <cell r="A8946" t="str">
            <v>SP0388-L</v>
          </cell>
          <cell r="B8946" t="str">
            <v>P388</v>
          </cell>
          <cell r="C8946" t="str">
            <v>ซาติน แขนยาวขายาว balloon heart ชมพู L</v>
          </cell>
          <cell r="E8946">
            <v>0</v>
          </cell>
          <cell r="F8946">
            <v>950</v>
          </cell>
        </row>
        <row r="8947">
          <cell r="A8947" t="str">
            <v>SP0388-XL</v>
          </cell>
          <cell r="B8947" t="str">
            <v>P388</v>
          </cell>
          <cell r="C8947" t="str">
            <v>ซาติน แขนยาวขายาว balloon heart ชมพู XL</v>
          </cell>
          <cell r="E8947">
            <v>0</v>
          </cell>
          <cell r="F8947">
            <v>950</v>
          </cell>
        </row>
        <row r="8948">
          <cell r="A8948" t="str">
            <v>SP0389-L</v>
          </cell>
          <cell r="B8948" t="str">
            <v>P389</v>
          </cell>
          <cell r="C8948" t="str">
            <v>ซาติน แขนยาวขายาว ช้างน้อย พื้นโอรส L</v>
          </cell>
          <cell r="E8948">
            <v>0</v>
          </cell>
          <cell r="F8948">
            <v>950</v>
          </cell>
        </row>
        <row r="8949">
          <cell r="A8949" t="str">
            <v>SP0389-M</v>
          </cell>
          <cell r="B8949" t="str">
            <v>P389</v>
          </cell>
          <cell r="C8949" t="str">
            <v>ซาติน แขนยาวขายาว ช้างน้อย พื้นโอรส M</v>
          </cell>
          <cell r="E8949">
            <v>0</v>
          </cell>
          <cell r="F8949">
            <v>950</v>
          </cell>
        </row>
        <row r="8950">
          <cell r="A8950" t="str">
            <v>SP0389-XL</v>
          </cell>
          <cell r="B8950" t="str">
            <v>P389</v>
          </cell>
          <cell r="C8950" t="str">
            <v>ซาติน แขนยาวขายาว ช้างน้อย พื้นโอรส XL</v>
          </cell>
          <cell r="E8950">
            <v>0</v>
          </cell>
          <cell r="F8950">
            <v>950</v>
          </cell>
        </row>
        <row r="8951">
          <cell r="A8951" t="str">
            <v>SP0390-L</v>
          </cell>
          <cell r="B8951" t="str">
            <v>P390</v>
          </cell>
          <cell r="C8951" t="str">
            <v>ซาติน แขนยาวขายาว ช้างน้อย พื้นขาว L</v>
          </cell>
          <cell r="E8951">
            <v>0</v>
          </cell>
          <cell r="F8951">
            <v>950</v>
          </cell>
        </row>
        <row r="8952">
          <cell r="A8952" t="str">
            <v>SP0390-M</v>
          </cell>
          <cell r="B8952" t="str">
            <v>P390</v>
          </cell>
          <cell r="C8952" t="str">
            <v>ซาติน แขนยาวขายาว ช้างน้อย พื้นขาว M</v>
          </cell>
          <cell r="E8952">
            <v>0</v>
          </cell>
          <cell r="F8952">
            <v>950</v>
          </cell>
        </row>
        <row r="8953">
          <cell r="A8953" t="str">
            <v>SP0390-XL</v>
          </cell>
          <cell r="B8953" t="str">
            <v>P390</v>
          </cell>
          <cell r="C8953" t="str">
            <v>ซาติน แขนยาวขายาว ช้างน้อย พื้นขาว XL</v>
          </cell>
          <cell r="E8953">
            <v>0</v>
          </cell>
          <cell r="F8953">
            <v>950</v>
          </cell>
        </row>
        <row r="8954">
          <cell r="A8954" t="str">
            <v>SP0391-L</v>
          </cell>
          <cell r="B8954" t="str">
            <v>P391</v>
          </cell>
          <cell r="C8954" t="str">
            <v>ซาติน แขนยาวขายาว bow love heart พื้นขาว L</v>
          </cell>
          <cell r="E8954">
            <v>0</v>
          </cell>
          <cell r="F8954">
            <v>950</v>
          </cell>
        </row>
        <row r="8955">
          <cell r="A8955" t="str">
            <v>SP0391-M</v>
          </cell>
          <cell r="B8955" t="str">
            <v>P391</v>
          </cell>
          <cell r="C8955" t="str">
            <v>ซาติน แขนยาวขายาว bow love heart พื้นขาว M</v>
          </cell>
          <cell r="E8955">
            <v>0</v>
          </cell>
          <cell r="F8955">
            <v>950</v>
          </cell>
        </row>
        <row r="8956">
          <cell r="A8956" t="str">
            <v>SP0391-XL</v>
          </cell>
          <cell r="B8956" t="str">
            <v>P391</v>
          </cell>
          <cell r="C8956" t="str">
            <v>ซาติน แขนยาวขายาว bow love heart พื้นขาว XL</v>
          </cell>
          <cell r="E8956">
            <v>0</v>
          </cell>
          <cell r="F8956">
            <v>950</v>
          </cell>
        </row>
        <row r="8957">
          <cell r="A8957" t="str">
            <v>SP0392-L</v>
          </cell>
          <cell r="B8957" t="str">
            <v>P392</v>
          </cell>
          <cell r="C8957" t="str">
            <v>ซาติน แขนยาวขายาว bow love heart พื้นฟ้า L</v>
          </cell>
          <cell r="E8957">
            <v>0</v>
          </cell>
          <cell r="F8957">
            <v>950</v>
          </cell>
        </row>
        <row r="8958">
          <cell r="A8958" t="str">
            <v>SP0392-M</v>
          </cell>
          <cell r="B8958" t="str">
            <v>P392</v>
          </cell>
          <cell r="C8958" t="str">
            <v>ซาติน แขนยาวขายาว bow love heart พื้นฟ้า M</v>
          </cell>
          <cell r="E8958">
            <v>0</v>
          </cell>
          <cell r="F8958">
            <v>590</v>
          </cell>
        </row>
        <row r="8959">
          <cell r="A8959" t="str">
            <v>SP0392-XL</v>
          </cell>
          <cell r="B8959" t="str">
            <v>P392</v>
          </cell>
          <cell r="C8959" t="str">
            <v>ซาติน แขนยาวขายาว bow love heart พื้นฟ้า XL</v>
          </cell>
          <cell r="E8959">
            <v>0</v>
          </cell>
          <cell r="F8959">
            <v>950</v>
          </cell>
        </row>
        <row r="8960">
          <cell r="A8960" t="str">
            <v>SP0393-L</v>
          </cell>
          <cell r="B8960" t="str">
            <v>P393</v>
          </cell>
          <cell r="C8960" t="str">
            <v>ซาติน แขนยาวขายาว enjoylife พื้นชมพู L</v>
          </cell>
          <cell r="E8960">
            <v>0</v>
          </cell>
          <cell r="F8960">
            <v>950</v>
          </cell>
        </row>
        <row r="8961">
          <cell r="A8961" t="str">
            <v>SP0394-L</v>
          </cell>
          <cell r="B8961" t="str">
            <v>P394</v>
          </cell>
          <cell r="C8961" t="str">
            <v>ซาติน แขนยาวขายาว enjoylife พื้นดำ L</v>
          </cell>
          <cell r="E8961">
            <v>0</v>
          </cell>
          <cell r="F8961">
            <v>950</v>
          </cell>
        </row>
        <row r="8962">
          <cell r="A8962" t="str">
            <v>SP0394-M</v>
          </cell>
          <cell r="B8962" t="str">
            <v>P394</v>
          </cell>
          <cell r="C8962" t="str">
            <v>ซาติน แขนยาวขายาว enjoylife พื้นดำ M</v>
          </cell>
          <cell r="E8962">
            <v>0</v>
          </cell>
          <cell r="F8962">
            <v>950</v>
          </cell>
        </row>
        <row r="8963">
          <cell r="A8963" t="str">
            <v>SP0395-L</v>
          </cell>
          <cell r="B8963" t="str">
            <v>P395</v>
          </cell>
          <cell r="C8963" t="str">
            <v>ซาติน แขนยาวขายาว พื้นครีม คอปกขาว L</v>
          </cell>
          <cell r="E8963">
            <v>0</v>
          </cell>
          <cell r="F8963">
            <v>950</v>
          </cell>
        </row>
        <row r="8964">
          <cell r="A8964" t="str">
            <v>SP0395-M</v>
          </cell>
          <cell r="B8964" t="str">
            <v>P395</v>
          </cell>
          <cell r="C8964" t="str">
            <v>ซาติน แขนยาวขายาว พื้นครีม คอปกขาว M</v>
          </cell>
          <cell r="E8964">
            <v>0</v>
          </cell>
          <cell r="F8964">
            <v>950</v>
          </cell>
        </row>
        <row r="8965">
          <cell r="A8965" t="str">
            <v>SP0396-L</v>
          </cell>
          <cell r="B8965" t="str">
            <v>P396</v>
          </cell>
          <cell r="C8965" t="str">
            <v>ซาติน แขนยาวขายาว enjoylife พื้นขาว L</v>
          </cell>
          <cell r="E8965">
            <v>0</v>
          </cell>
          <cell r="F8965">
            <v>950</v>
          </cell>
        </row>
        <row r="8966">
          <cell r="A8966" t="str">
            <v>SP0397-L</v>
          </cell>
          <cell r="B8966" t="str">
            <v>P397</v>
          </cell>
          <cell r="C8966" t="str">
            <v>ซาติน แขนยาวขายาว enjoylife พื้นครีม L</v>
          </cell>
          <cell r="E8966">
            <v>0</v>
          </cell>
          <cell r="F8966">
            <v>950</v>
          </cell>
        </row>
        <row r="8967">
          <cell r="A8967" t="str">
            <v>SP0398-L</v>
          </cell>
          <cell r="B8967" t="str">
            <v>P398</v>
          </cell>
          <cell r="C8967" t="str">
            <v>ซาติน แขนยาวขายาว พื้นฟ้า คอปกขาว L</v>
          </cell>
          <cell r="E8967">
            <v>0</v>
          </cell>
          <cell r="F8967">
            <v>950</v>
          </cell>
        </row>
        <row r="8968">
          <cell r="A8968" t="str">
            <v>SP0398-M</v>
          </cell>
          <cell r="B8968" t="str">
            <v>P398</v>
          </cell>
          <cell r="C8968" t="str">
            <v>ซาติน แขนยาวขายาว พื้นฟ้า คอปกขาว M</v>
          </cell>
          <cell r="E8968">
            <v>0</v>
          </cell>
          <cell r="F8968">
            <v>950</v>
          </cell>
        </row>
        <row r="8969">
          <cell r="A8969" t="str">
            <v>SP0399-L</v>
          </cell>
          <cell r="B8969" t="str">
            <v>P399</v>
          </cell>
          <cell r="C8969" t="str">
            <v>ซาติน แขนยาวขายาว พื้นเหลือง จุดขาว SLEEP L</v>
          </cell>
          <cell r="E8969">
            <v>0</v>
          </cell>
          <cell r="F8969">
            <v>950</v>
          </cell>
        </row>
        <row r="8970">
          <cell r="A8970" t="str">
            <v>SP0399-M</v>
          </cell>
          <cell r="B8970" t="str">
            <v>P399</v>
          </cell>
          <cell r="C8970" t="str">
            <v>ซาติน แขนยาวขายาว พื้นเหลือง จุดขาว SLEEP M</v>
          </cell>
          <cell r="E8970">
            <v>0</v>
          </cell>
          <cell r="F8970">
            <v>950</v>
          </cell>
        </row>
        <row r="8971">
          <cell r="A8971" t="str">
            <v>SP0400-L</v>
          </cell>
          <cell r="B8971" t="str">
            <v>P400</v>
          </cell>
          <cell r="C8971" t="str">
            <v>ซาติน แขนยาวขายาว พื้นขาว จุดเขียวอ่อน SLEEP L</v>
          </cell>
          <cell r="E8971">
            <v>0</v>
          </cell>
          <cell r="F8971">
            <v>950</v>
          </cell>
        </row>
        <row r="8972">
          <cell r="A8972" t="str">
            <v>SP0400-M</v>
          </cell>
          <cell r="B8972" t="str">
            <v>P400</v>
          </cell>
          <cell r="C8972" t="str">
            <v>ซาติน แขนยาวขายาว พื้นขาว จุดเขียวอ่อน SLEEP M</v>
          </cell>
          <cell r="E8972">
            <v>0</v>
          </cell>
          <cell r="F8972">
            <v>950</v>
          </cell>
        </row>
        <row r="8973">
          <cell r="A8973" t="str">
            <v>SP0401-L</v>
          </cell>
          <cell r="B8973" t="str">
            <v>P401</v>
          </cell>
          <cell r="C8973" t="str">
            <v>ซาติน แขนยาวขายาว พื้นขาว จุดชมพูอ่อน SLEEP L</v>
          </cell>
          <cell r="E8973">
            <v>0</v>
          </cell>
          <cell r="F8973">
            <v>950</v>
          </cell>
        </row>
        <row r="8974">
          <cell r="A8974" t="str">
            <v>SP0401-M</v>
          </cell>
          <cell r="B8974" t="str">
            <v>P401</v>
          </cell>
          <cell r="C8974" t="str">
            <v>ซาติน แขนยาวขายาว พื้นขาว จุดชมพูอ่อน SLEEP M</v>
          </cell>
          <cell r="E8974">
            <v>0</v>
          </cell>
          <cell r="F8974">
            <v>950</v>
          </cell>
        </row>
        <row r="8975">
          <cell r="A8975" t="str">
            <v>SP0402-L</v>
          </cell>
          <cell r="B8975" t="str">
            <v>P402</v>
          </cell>
          <cell r="C8975" t="str">
            <v>ซาติน แขนยาวขายาว เสือ พื้นขาว จุดเขียว L</v>
          </cell>
          <cell r="E8975">
            <v>0</v>
          </cell>
          <cell r="F8975">
            <v>950</v>
          </cell>
        </row>
        <row r="8976">
          <cell r="A8976" t="str">
            <v>SP0402-M</v>
          </cell>
          <cell r="B8976" t="str">
            <v>P402</v>
          </cell>
          <cell r="C8976" t="str">
            <v>ซาติน แขนยาวขายาว เสือ พื้นขาว จุดเขียว M</v>
          </cell>
          <cell r="E8976">
            <v>0</v>
          </cell>
          <cell r="F8976">
            <v>950</v>
          </cell>
        </row>
        <row r="8977">
          <cell r="A8977" t="str">
            <v>SP0403-L</v>
          </cell>
          <cell r="B8977" t="str">
            <v>P403</v>
          </cell>
          <cell r="C8977" t="str">
            <v>ซาติน แขนยาวขายาว เสือ พื้นขาว จุดชมพู L</v>
          </cell>
          <cell r="E8977">
            <v>0</v>
          </cell>
          <cell r="F8977">
            <v>950</v>
          </cell>
        </row>
        <row r="8978">
          <cell r="A8978" t="str">
            <v>SP0403-M</v>
          </cell>
          <cell r="B8978" t="str">
            <v>P403</v>
          </cell>
          <cell r="C8978" t="str">
            <v>ซาติน แขนยาวขายาว เสือ พื้นขาว จุดชมพู M</v>
          </cell>
          <cell r="E8978">
            <v>0</v>
          </cell>
          <cell r="F8978">
            <v>950</v>
          </cell>
        </row>
        <row r="8979">
          <cell r="A8979" t="str">
            <v>SP0404-L</v>
          </cell>
          <cell r="B8979" t="str">
            <v>P404</v>
          </cell>
          <cell r="C8979" t="str">
            <v>ซาติน แขนยาวขายาว ชิโนริ พื้นขาว กระเป๋า Queen L</v>
          </cell>
          <cell r="E8979">
            <v>0</v>
          </cell>
          <cell r="F8979">
            <v>950</v>
          </cell>
        </row>
        <row r="8980">
          <cell r="A8980" t="str">
            <v>SP0404-M</v>
          </cell>
          <cell r="B8980" t="str">
            <v>P404</v>
          </cell>
          <cell r="C8980" t="str">
            <v>ซาติน แขนยาวขายาว ชิโนริ พื้นขาว กระเป๋า Queen M</v>
          </cell>
          <cell r="E8980">
            <v>0</v>
          </cell>
          <cell r="F8980">
            <v>950</v>
          </cell>
        </row>
        <row r="8981">
          <cell r="A8981" t="str">
            <v>SP0405-L</v>
          </cell>
          <cell r="B8981" t="str">
            <v>P405</v>
          </cell>
          <cell r="C8981" t="str">
            <v>ซาติน แขนยาวขายาว ชิโนริ พื้นดำ กระเป๋า Queen L</v>
          </cell>
          <cell r="E8981">
            <v>0</v>
          </cell>
          <cell r="F8981">
            <v>950</v>
          </cell>
        </row>
        <row r="8982">
          <cell r="A8982" t="str">
            <v>SP0405-M</v>
          </cell>
          <cell r="B8982" t="str">
            <v>P405</v>
          </cell>
          <cell r="C8982" t="str">
            <v>ซาติน แขนยาวขายาว ชิโนริ พื้นดำ กระเป๋า Queen M</v>
          </cell>
          <cell r="E8982">
            <v>0</v>
          </cell>
          <cell r="F8982">
            <v>950</v>
          </cell>
        </row>
        <row r="8983">
          <cell r="A8983" t="str">
            <v>SP0406-L</v>
          </cell>
          <cell r="B8983" t="str">
            <v>P406</v>
          </cell>
          <cell r="C8983" t="str">
            <v>ซาติน แขนยาวขายาว ชิโนริ พื้นเทา กระเป๋า Queen L</v>
          </cell>
          <cell r="E8983">
            <v>0</v>
          </cell>
          <cell r="F8983">
            <v>950</v>
          </cell>
        </row>
        <row r="8984">
          <cell r="A8984" t="str">
            <v>SP0407-L</v>
          </cell>
          <cell r="B8984" t="str">
            <v>P407</v>
          </cell>
          <cell r="C8984" t="str">
            <v>ซาติน แขนยาวขายาว ชิโนริ พื้นเขียว กระเป๋า Queen L</v>
          </cell>
          <cell r="E8984">
            <v>0</v>
          </cell>
          <cell r="F8984">
            <v>950</v>
          </cell>
        </row>
        <row r="8985">
          <cell r="A8985" t="str">
            <v>SP0407-M</v>
          </cell>
          <cell r="B8985" t="str">
            <v>P407</v>
          </cell>
          <cell r="C8985" t="str">
            <v>ซาติน แขนยาวขายาว ชิโนริ พื้นเขียว กระเป๋า Queen M</v>
          </cell>
          <cell r="E8985">
            <v>0</v>
          </cell>
          <cell r="F8985">
            <v>950</v>
          </cell>
        </row>
        <row r="8986">
          <cell r="A8986" t="str">
            <v>SP0408-L</v>
          </cell>
          <cell r="B8986" t="str">
            <v>P408</v>
          </cell>
          <cell r="C8986" t="str">
            <v>ซาติน แขนยาวขายาว ชิโนริ พื้นชมพู กระเป๋า Queen L</v>
          </cell>
          <cell r="E8986">
            <v>0</v>
          </cell>
          <cell r="F8986">
            <v>950</v>
          </cell>
        </row>
        <row r="8987">
          <cell r="A8987" t="str">
            <v>SP0408-M</v>
          </cell>
          <cell r="B8987" t="str">
            <v>P408</v>
          </cell>
          <cell r="C8987" t="str">
            <v>ซาติน แขนยาวขายาว ชิโนริ พื้นชมพู กระเป๋า Queen M</v>
          </cell>
          <cell r="E8987">
            <v>0</v>
          </cell>
          <cell r="F8987">
            <v>950</v>
          </cell>
        </row>
        <row r="8988">
          <cell r="A8988" t="str">
            <v>SP0410-F</v>
          </cell>
          <cell r="B8988" t="str">
            <v>P410</v>
          </cell>
          <cell r="C8988" t="str">
            <v>ซาติน แขนยาวขายาว กระเป๋า X พื้นครีม F</v>
          </cell>
          <cell r="E8988">
            <v>0</v>
          </cell>
          <cell r="F8988">
            <v>950</v>
          </cell>
        </row>
        <row r="8989">
          <cell r="A8989" t="str">
            <v>SP0411-F</v>
          </cell>
          <cell r="B8989" t="str">
            <v>P411</v>
          </cell>
          <cell r="C8989" t="str">
            <v>ซาติน แขนยาวขายาว Rectangle Dap พื้นเขียว F</v>
          </cell>
          <cell r="E8989">
            <v>0</v>
          </cell>
          <cell r="F8989">
            <v>950</v>
          </cell>
        </row>
        <row r="8990">
          <cell r="A8990" t="str">
            <v>SP0412-F</v>
          </cell>
          <cell r="B8990" t="str">
            <v>P412</v>
          </cell>
          <cell r="C8990" t="str">
            <v>ซาติน แขนยาวขายาว Rectangle Dap พื้นชมพู F</v>
          </cell>
          <cell r="E8990">
            <v>0</v>
          </cell>
          <cell r="F8990">
            <v>950</v>
          </cell>
        </row>
        <row r="8991">
          <cell r="A8991" t="str">
            <v>SP0413-F</v>
          </cell>
          <cell r="B8991" t="str">
            <v>P413</v>
          </cell>
          <cell r="C8991" t="str">
            <v>ซาติน แขนยาวขายาว กระเป๋า X พื้นเขียว F</v>
          </cell>
          <cell r="E8991">
            <v>0</v>
          </cell>
          <cell r="F8991">
            <v>950</v>
          </cell>
        </row>
        <row r="8992">
          <cell r="A8992" t="str">
            <v>SP0414-M</v>
          </cell>
          <cell r="B8992" t="str">
            <v>P414</v>
          </cell>
          <cell r="C8992" t="str">
            <v>ซาติน แขนยาวขายาว California Beach Day Green M</v>
          </cell>
          <cell r="E8992">
            <v>0</v>
          </cell>
          <cell r="F8992">
            <v>950</v>
          </cell>
        </row>
        <row r="8993">
          <cell r="A8993" t="str">
            <v>SP0414-S</v>
          </cell>
          <cell r="B8993" t="str">
            <v>P414</v>
          </cell>
          <cell r="C8993" t="str">
            <v>ซาติน แขนยาวขายาว California Beach Day Green S</v>
          </cell>
          <cell r="E8993">
            <v>0</v>
          </cell>
          <cell r="F8993">
            <v>950</v>
          </cell>
        </row>
        <row r="8994">
          <cell r="A8994" t="str">
            <v>SP0416-L</v>
          </cell>
          <cell r="B8994" t="str">
            <v>P416</v>
          </cell>
          <cell r="C8994" t="str">
            <v>ซาติน แขนยาวขายาว หัวใจผู้หญิงคู่ พื้นฟ้า L</v>
          </cell>
          <cell r="E8994">
            <v>0</v>
          </cell>
          <cell r="F8994">
            <v>950</v>
          </cell>
        </row>
        <row r="8995">
          <cell r="A8995" t="str">
            <v>SP0416-M</v>
          </cell>
          <cell r="B8995" t="str">
            <v>P416</v>
          </cell>
          <cell r="C8995" t="str">
            <v>ซาติน แขนยาวขายาว หัวใจผู้หญิงคู่ พื้นฟ้า M</v>
          </cell>
          <cell r="E8995">
            <v>0</v>
          </cell>
          <cell r="F8995">
            <v>950</v>
          </cell>
        </row>
        <row r="8996">
          <cell r="A8996" t="str">
            <v>SP0416-XL</v>
          </cell>
          <cell r="B8996" t="str">
            <v>P416</v>
          </cell>
          <cell r="C8996" t="str">
            <v>ซาติน แขนยาวขายาว หัวใจผู้หญิงคู่ พื้นฟ้า XL</v>
          </cell>
          <cell r="E8996">
            <v>0</v>
          </cell>
          <cell r="F8996">
            <v>950</v>
          </cell>
        </row>
        <row r="8997">
          <cell r="A8997" t="str">
            <v>SP0417-L</v>
          </cell>
          <cell r="B8997" t="str">
            <v>P417</v>
          </cell>
          <cell r="C8997" t="str">
            <v>ซาติน แขนยาวขายาว หัวใจผู้หญิงคู่ พื้นชมพู L</v>
          </cell>
          <cell r="E8997">
            <v>0</v>
          </cell>
          <cell r="F8997">
            <v>950</v>
          </cell>
        </row>
        <row r="8998">
          <cell r="A8998" t="str">
            <v>SP0417-M</v>
          </cell>
          <cell r="B8998" t="str">
            <v>P417</v>
          </cell>
          <cell r="C8998" t="str">
            <v>SP0417-M</v>
          </cell>
          <cell r="E8998">
            <v>0</v>
          </cell>
          <cell r="F8998">
            <v>950</v>
          </cell>
        </row>
        <row r="8999">
          <cell r="A8999" t="str">
            <v>SP0417-XL</v>
          </cell>
          <cell r="B8999" t="str">
            <v>P417</v>
          </cell>
          <cell r="C8999" t="str">
            <v>ซาติน แขนยาวขายาว หัวใจผู้หญิงคู่ พื้นชมพู XL (กปก)</v>
          </cell>
          <cell r="E8999">
            <v>0</v>
          </cell>
          <cell r="F8999">
            <v>950</v>
          </cell>
        </row>
        <row r="9000">
          <cell r="A9000" t="str">
            <v>SP0418-L</v>
          </cell>
          <cell r="B9000" t="str">
            <v>P418</v>
          </cell>
          <cell r="C9000" t="str">
            <v>ซาติน แขนยาวขายาว Where is the cat พื้นเขียว L</v>
          </cell>
          <cell r="E9000">
            <v>0</v>
          </cell>
          <cell r="F9000">
            <v>950</v>
          </cell>
        </row>
        <row r="9001">
          <cell r="A9001" t="str">
            <v>SP0418-M</v>
          </cell>
          <cell r="B9001" t="str">
            <v>P418</v>
          </cell>
          <cell r="C9001" t="str">
            <v>ซาติน แขนยาวขายาว Where is the cat พื้นเขียว M</v>
          </cell>
          <cell r="E9001">
            <v>0</v>
          </cell>
          <cell r="F9001">
            <v>950</v>
          </cell>
        </row>
        <row r="9002">
          <cell r="A9002" t="str">
            <v>SP0418-XL</v>
          </cell>
          <cell r="B9002" t="str">
            <v>P418</v>
          </cell>
          <cell r="C9002" t="str">
            <v>ซาติน แขนยาวขายาว Where is the cat พื้นเขียว XL</v>
          </cell>
          <cell r="E9002">
            <v>0</v>
          </cell>
          <cell r="F9002">
            <v>950</v>
          </cell>
        </row>
        <row r="9003">
          <cell r="A9003" t="str">
            <v>SP0419-L</v>
          </cell>
          <cell r="B9003" t="str">
            <v>P419</v>
          </cell>
          <cell r="C9003" t="str">
            <v>ซาติน แขนยาวขายาว Where is the cat พื้นฟ้า L</v>
          </cell>
          <cell r="E9003">
            <v>0</v>
          </cell>
          <cell r="F9003">
            <v>950</v>
          </cell>
        </row>
        <row r="9004">
          <cell r="A9004" t="str">
            <v>SP0419-M</v>
          </cell>
          <cell r="B9004" t="str">
            <v>P419</v>
          </cell>
          <cell r="C9004" t="str">
            <v>ซาติน แขนยาวขายาว Where is the cat พื้นฟ้า M</v>
          </cell>
          <cell r="E9004">
            <v>0</v>
          </cell>
          <cell r="F9004">
            <v>950</v>
          </cell>
        </row>
        <row r="9005">
          <cell r="A9005" t="str">
            <v>SP0419-XL</v>
          </cell>
          <cell r="B9005" t="str">
            <v>P419</v>
          </cell>
          <cell r="C9005" t="str">
            <v>ซาติน แขนยาวขายาว Where is the cat พื้นฟ้า XL</v>
          </cell>
          <cell r="E9005">
            <v>0</v>
          </cell>
          <cell r="F9005">
            <v>950</v>
          </cell>
        </row>
        <row r="9006">
          <cell r="A9006" t="str">
            <v>SP0420-L</v>
          </cell>
          <cell r="B9006" t="str">
            <v>P420</v>
          </cell>
          <cell r="C9006" t="str">
            <v>ซาติน แขนยาวขายาว ลูกแพร พื้นขาว L</v>
          </cell>
          <cell r="E9006">
            <v>0</v>
          </cell>
          <cell r="F9006">
            <v>950</v>
          </cell>
        </row>
        <row r="9007">
          <cell r="A9007" t="str">
            <v>SP0420-M</v>
          </cell>
          <cell r="B9007" t="str">
            <v>P420</v>
          </cell>
          <cell r="C9007" t="str">
            <v>ซาติน แขนยาวขายาว ลูกแพร พื้นขาว M</v>
          </cell>
          <cell r="E9007">
            <v>0</v>
          </cell>
          <cell r="F9007">
            <v>950</v>
          </cell>
        </row>
        <row r="9008">
          <cell r="A9008" t="str">
            <v>SP0420-XL</v>
          </cell>
          <cell r="B9008" t="str">
            <v>P420</v>
          </cell>
          <cell r="C9008" t="str">
            <v>ซาติน แขนยาวขายาว ลูกแพร พื้นขาว XL</v>
          </cell>
          <cell r="E9008">
            <v>0</v>
          </cell>
          <cell r="F9008">
            <v>950</v>
          </cell>
        </row>
        <row r="9009">
          <cell r="A9009" t="str">
            <v>SP0421-L</v>
          </cell>
          <cell r="B9009" t="str">
            <v>P421</v>
          </cell>
          <cell r="C9009" t="str">
            <v>ซาติน แขนยาวขายาว ลูกแพร พื้นชมพู L</v>
          </cell>
          <cell r="E9009">
            <v>0</v>
          </cell>
          <cell r="F9009">
            <v>950</v>
          </cell>
        </row>
        <row r="9010">
          <cell r="A9010" t="str">
            <v>SP0421-M</v>
          </cell>
          <cell r="B9010" t="str">
            <v>P421</v>
          </cell>
          <cell r="C9010" t="str">
            <v>ซาติน แขนยาวขายาว ลูกแพร พื้นชมพู M</v>
          </cell>
          <cell r="E9010">
            <v>0</v>
          </cell>
          <cell r="F9010">
            <v>950</v>
          </cell>
        </row>
        <row r="9011">
          <cell r="A9011" t="str">
            <v>SP0421-XL</v>
          </cell>
          <cell r="B9011" t="str">
            <v>P421</v>
          </cell>
          <cell r="C9011" t="str">
            <v>ซาติน แขนยาวขายาว ลูกแพร พื้นชมพู XL</v>
          </cell>
          <cell r="E9011">
            <v>0</v>
          </cell>
          <cell r="F9011">
            <v>950</v>
          </cell>
        </row>
        <row r="9012">
          <cell r="A9012" t="str">
            <v>SP0422-L</v>
          </cell>
          <cell r="B9012" t="str">
            <v>P422</v>
          </cell>
          <cell r="C9012" t="str">
            <v>ซาติน แขนยาวขายาว ช้างน้อย ลายโบว์ พื้นฟ้า L</v>
          </cell>
          <cell r="E9012">
            <v>0</v>
          </cell>
          <cell r="F9012">
            <v>950</v>
          </cell>
        </row>
        <row r="9013">
          <cell r="A9013" t="str">
            <v>SP0422-M</v>
          </cell>
          <cell r="B9013" t="str">
            <v>P422</v>
          </cell>
          <cell r="C9013" t="str">
            <v>ซาติน แขนยาวขายาว ช้างน้อย ลายโบว์ พื้นฟ้า M</v>
          </cell>
          <cell r="E9013">
            <v>0</v>
          </cell>
          <cell r="F9013">
            <v>950</v>
          </cell>
        </row>
        <row r="9014">
          <cell r="A9014" t="str">
            <v>SP0422-XL</v>
          </cell>
          <cell r="B9014" t="str">
            <v>P422</v>
          </cell>
          <cell r="C9014" t="str">
            <v>ซาติน แขนยาวขายาว ช้างน้อย ลายโบว์ พื้นฟ้า XL</v>
          </cell>
          <cell r="E9014">
            <v>0</v>
          </cell>
          <cell r="F9014">
            <v>950</v>
          </cell>
        </row>
        <row r="9015">
          <cell r="A9015" t="str">
            <v>SP0423-L</v>
          </cell>
          <cell r="B9015" t="str">
            <v>P423</v>
          </cell>
          <cell r="C9015" t="str">
            <v>ซาติน แขนยาวขายาว Star Sky พื้นฟ้า L</v>
          </cell>
          <cell r="E9015">
            <v>0</v>
          </cell>
          <cell r="F9015">
            <v>950</v>
          </cell>
        </row>
        <row r="9016">
          <cell r="A9016" t="str">
            <v>SP0423-M</v>
          </cell>
          <cell r="B9016" t="str">
            <v>P423</v>
          </cell>
          <cell r="C9016" t="str">
            <v>ซาติน แขนยาวขายาว Star Sky พื้นฟ้า M</v>
          </cell>
          <cell r="E9016">
            <v>0</v>
          </cell>
          <cell r="F9016">
            <v>950</v>
          </cell>
        </row>
        <row r="9017">
          <cell r="A9017" t="str">
            <v>SP0423-XL</v>
          </cell>
          <cell r="B9017" t="str">
            <v>P423</v>
          </cell>
          <cell r="C9017" t="str">
            <v>ซาติน แขนยาวขายาว Star Sky พื้นฟ้า XL</v>
          </cell>
          <cell r="E9017">
            <v>0</v>
          </cell>
          <cell r="F9017">
            <v>950</v>
          </cell>
        </row>
        <row r="9018">
          <cell r="A9018" t="str">
            <v>SP0424-L</v>
          </cell>
          <cell r="B9018" t="str">
            <v>P424</v>
          </cell>
          <cell r="C9018" t="str">
            <v>ซาติน แขนยาวขายาว Star Sky พื้นชมพู L</v>
          </cell>
          <cell r="E9018">
            <v>0</v>
          </cell>
          <cell r="F9018">
            <v>950</v>
          </cell>
        </row>
        <row r="9019">
          <cell r="A9019" t="str">
            <v>SP0424-M</v>
          </cell>
          <cell r="B9019" t="str">
            <v>P424</v>
          </cell>
          <cell r="C9019" t="str">
            <v>ซาติน แขนยาวขายาว Star Sky พื้นชมพู M</v>
          </cell>
          <cell r="E9019">
            <v>0</v>
          </cell>
          <cell r="F9019">
            <v>950</v>
          </cell>
        </row>
        <row r="9020">
          <cell r="A9020" t="str">
            <v>SP0424-XL</v>
          </cell>
          <cell r="B9020" t="str">
            <v>P424</v>
          </cell>
          <cell r="C9020" t="str">
            <v>ซาติน แขนยาวขายาว Star Sky พื้นชมพู XL</v>
          </cell>
          <cell r="E9020">
            <v>0</v>
          </cell>
          <cell r="F9020">
            <v>950</v>
          </cell>
        </row>
        <row r="9021">
          <cell r="A9021" t="str">
            <v>SP0426-L</v>
          </cell>
          <cell r="B9021" t="str">
            <v>P426</v>
          </cell>
          <cell r="C9021" t="str">
            <v>ซาติน แขนยาวขายาว สีกรม กุ๊นขาว L</v>
          </cell>
          <cell r="E9021">
            <v>0</v>
          </cell>
          <cell r="F9021">
            <v>950</v>
          </cell>
        </row>
        <row r="9022">
          <cell r="A9022" t="str">
            <v>SP0426-M</v>
          </cell>
          <cell r="B9022" t="str">
            <v>P426</v>
          </cell>
          <cell r="C9022" t="str">
            <v>ซาติน แขนยาวขายาว สีกรม กุ๊นขาว M</v>
          </cell>
          <cell r="E9022">
            <v>0</v>
          </cell>
          <cell r="F9022">
            <v>950</v>
          </cell>
        </row>
        <row r="9023">
          <cell r="A9023" t="str">
            <v>SP0432-L</v>
          </cell>
          <cell r="B9023" t="str">
            <v>P432</v>
          </cell>
          <cell r="C9023" t="str">
            <v>ซาติน แขนยาวขายาว Montel พื้นครีม L</v>
          </cell>
          <cell r="E9023">
            <v>0</v>
          </cell>
          <cell r="F9023">
            <v>950</v>
          </cell>
        </row>
        <row r="9024">
          <cell r="A9024" t="str">
            <v>SP0432-M</v>
          </cell>
          <cell r="B9024" t="str">
            <v>P432</v>
          </cell>
          <cell r="C9024" t="str">
            <v>ซาติน แขนยาวขายาว Montel พื้นครีม M</v>
          </cell>
          <cell r="E9024">
            <v>0</v>
          </cell>
          <cell r="F9024">
            <v>950</v>
          </cell>
        </row>
        <row r="9025">
          <cell r="A9025" t="str">
            <v>SP0433-L</v>
          </cell>
          <cell r="B9025" t="str">
            <v>P433</v>
          </cell>
          <cell r="C9025" t="str">
            <v>ซาติน แขนยาวขายาว Montel พื้นดำ L</v>
          </cell>
          <cell r="E9025">
            <v>0</v>
          </cell>
          <cell r="F9025">
            <v>950</v>
          </cell>
        </row>
        <row r="9026">
          <cell r="A9026" t="str">
            <v>SP0433-M</v>
          </cell>
          <cell r="B9026" t="str">
            <v>P433</v>
          </cell>
          <cell r="C9026" t="str">
            <v>ซาติน แขนยาวขายาว Montel พื้นดำ M</v>
          </cell>
          <cell r="E9026">
            <v>0</v>
          </cell>
          <cell r="F9026">
            <v>950</v>
          </cell>
        </row>
        <row r="9027">
          <cell r="A9027" t="str">
            <v>SP0434-L</v>
          </cell>
          <cell r="B9027" t="str">
            <v>P434</v>
          </cell>
          <cell r="C9027" t="str">
            <v>ซาติน แขนยาวขายาว Montel พื้นชมพู L</v>
          </cell>
          <cell r="E9027">
            <v>0</v>
          </cell>
          <cell r="F9027">
            <v>950</v>
          </cell>
        </row>
        <row r="9028">
          <cell r="A9028" t="str">
            <v>SP0434-M</v>
          </cell>
          <cell r="B9028" t="str">
            <v>P434</v>
          </cell>
          <cell r="C9028" t="str">
            <v>ซาติน แขนยาวขายาว Montel พื้นชมพู M</v>
          </cell>
          <cell r="E9028">
            <v>0</v>
          </cell>
          <cell r="F9028">
            <v>950</v>
          </cell>
        </row>
        <row r="9029">
          <cell r="A9029" t="str">
            <v>SP0435-L</v>
          </cell>
          <cell r="B9029" t="str">
            <v>P435</v>
          </cell>
          <cell r="C9029" t="str">
            <v>ซาติน แขนยาวขายาว Montel พื้นขาว L</v>
          </cell>
          <cell r="E9029">
            <v>0</v>
          </cell>
          <cell r="F9029">
            <v>950</v>
          </cell>
        </row>
        <row r="9030">
          <cell r="A9030" t="str">
            <v>SP0435-M</v>
          </cell>
          <cell r="B9030" t="str">
            <v>P435</v>
          </cell>
          <cell r="C9030" t="str">
            <v>ซาติน แขนยาวขายาว Montel พื้นขาว M</v>
          </cell>
          <cell r="E9030">
            <v>0</v>
          </cell>
          <cell r="F9030">
            <v>950</v>
          </cell>
        </row>
        <row r="9031">
          <cell r="A9031" t="str">
            <v>SP0436-L</v>
          </cell>
          <cell r="B9031" t="str">
            <v>P436</v>
          </cell>
          <cell r="C9031" t="str">
            <v>ซาติน แขนยาวขายาว พื้นชมพู กุ๊นเงิน L</v>
          </cell>
          <cell r="E9031">
            <v>0</v>
          </cell>
          <cell r="F9031">
            <v>950</v>
          </cell>
        </row>
        <row r="9032">
          <cell r="A9032" t="str">
            <v>SP0436-M</v>
          </cell>
          <cell r="B9032" t="str">
            <v>P436</v>
          </cell>
          <cell r="C9032" t="str">
            <v>ซาติน แขนยาวขายาว พื้นชมพู กุ๊นเงิน M</v>
          </cell>
          <cell r="E9032">
            <v>0</v>
          </cell>
          <cell r="F9032">
            <v>950</v>
          </cell>
        </row>
        <row r="9033">
          <cell r="A9033" t="str">
            <v>SP0437-L</v>
          </cell>
          <cell r="B9033" t="str">
            <v>P437</v>
          </cell>
          <cell r="C9033" t="str">
            <v>ซาติน แขนยาวขายาว พื้นครีม กุ๊นทอง L</v>
          </cell>
          <cell r="E9033">
            <v>0</v>
          </cell>
          <cell r="F9033">
            <v>950</v>
          </cell>
        </row>
        <row r="9034">
          <cell r="A9034" t="str">
            <v>SP0437-M</v>
          </cell>
          <cell r="B9034" t="str">
            <v>P437</v>
          </cell>
          <cell r="C9034" t="str">
            <v>ซาติน แขนยาวขายาว พื้นครีม กุ๊นทอง M (กปก)</v>
          </cell>
          <cell r="E9034">
            <v>0</v>
          </cell>
          <cell r="F9034">
            <v>950</v>
          </cell>
        </row>
        <row r="9035">
          <cell r="A9035" t="str">
            <v>SP0438-L</v>
          </cell>
          <cell r="B9035" t="str">
            <v>P438</v>
          </cell>
          <cell r="C9035" t="str">
            <v>ซาติน แขนยาวขายาว พื้นเหลือง กุ๊นเขียว L (กปก)</v>
          </cell>
          <cell r="E9035">
            <v>0</v>
          </cell>
          <cell r="F9035">
            <v>990</v>
          </cell>
        </row>
        <row r="9036">
          <cell r="A9036" t="str">
            <v>SP0438-M</v>
          </cell>
          <cell r="B9036" t="str">
            <v>P438</v>
          </cell>
          <cell r="C9036" t="str">
            <v>ซาติน แขนยาวขายาว พื้นเหลือง กุ๊นเขียว M (กปก)</v>
          </cell>
          <cell r="E9036">
            <v>0</v>
          </cell>
          <cell r="F9036">
            <v>590</v>
          </cell>
        </row>
        <row r="9037">
          <cell r="A9037" t="str">
            <v>SP0440-L</v>
          </cell>
          <cell r="B9037" t="str">
            <v>P440</v>
          </cell>
          <cell r="C9037" t="str">
            <v>ซาติน แขนยาวขายาว rabbit smile พื้นฟ้า L</v>
          </cell>
          <cell r="E9037">
            <v>0</v>
          </cell>
          <cell r="F9037">
            <v>950</v>
          </cell>
        </row>
        <row r="9038">
          <cell r="A9038" t="str">
            <v>SP0440-M</v>
          </cell>
          <cell r="B9038" t="str">
            <v>P440</v>
          </cell>
          <cell r="C9038" t="str">
            <v>ซาติน แขนยาวขายาว rabbit smile พื้นฟ้า M</v>
          </cell>
          <cell r="E9038">
            <v>0</v>
          </cell>
          <cell r="F9038">
            <v>950</v>
          </cell>
        </row>
        <row r="9039">
          <cell r="A9039" t="str">
            <v>SP0440-XL</v>
          </cell>
          <cell r="B9039" t="str">
            <v>P440</v>
          </cell>
          <cell r="C9039" t="str">
            <v>ซาติน แขนยาวขายาว rabbit smile พื้นฟ้า XL</v>
          </cell>
          <cell r="E9039">
            <v>0</v>
          </cell>
          <cell r="F9039">
            <v>950</v>
          </cell>
        </row>
        <row r="9040">
          <cell r="A9040" t="str">
            <v>SP0441-L</v>
          </cell>
          <cell r="B9040" t="str">
            <v>JP441</v>
          </cell>
          <cell r="C9040" t="str">
            <v>ซาติน แขนยาวขายาว rabbit smile พื้นขาว L ตัวโชว์</v>
          </cell>
          <cell r="E9040">
            <v>0</v>
          </cell>
          <cell r="F9040">
            <v>950</v>
          </cell>
        </row>
        <row r="9041">
          <cell r="A9041" t="str">
            <v>SP0441-M</v>
          </cell>
          <cell r="B9041" t="str">
            <v>JP441</v>
          </cell>
          <cell r="C9041" t="str">
            <v>ซาติน แขนยาวขายาว rabbit smile พื้นขาว M ตัวโชว์</v>
          </cell>
          <cell r="E9041">
            <v>0</v>
          </cell>
          <cell r="F9041">
            <v>950</v>
          </cell>
        </row>
        <row r="9042">
          <cell r="A9042" t="str">
            <v>SP0441-XL</v>
          </cell>
          <cell r="B9042" t="str">
            <v>JP441</v>
          </cell>
          <cell r="C9042" t="str">
            <v>ซาติน แขนยาวขายาว rabbit smile พื้นขาว XL ตัวโชว์</v>
          </cell>
          <cell r="E9042">
            <v>0</v>
          </cell>
          <cell r="F9042">
            <v>950</v>
          </cell>
        </row>
        <row r="9043">
          <cell r="A9043" t="str">
            <v>SP0442-L</v>
          </cell>
          <cell r="B9043" t="str">
            <v>P442</v>
          </cell>
          <cell r="C9043" t="str">
            <v>ซาติน แขนยาวขายาว จุดแมว ปกฟ้า L</v>
          </cell>
          <cell r="E9043">
            <v>0</v>
          </cell>
          <cell r="F9043">
            <v>950</v>
          </cell>
        </row>
        <row r="9044">
          <cell r="A9044" t="str">
            <v>SP0442-M</v>
          </cell>
          <cell r="B9044" t="str">
            <v>P442</v>
          </cell>
          <cell r="C9044" t="str">
            <v>ซาติน แขนยาวขายาว จุดแมว ปกฟ้า M</v>
          </cell>
          <cell r="E9044">
            <v>0</v>
          </cell>
          <cell r="F9044">
            <v>950</v>
          </cell>
        </row>
        <row r="9045">
          <cell r="A9045" t="str">
            <v>SP0442-XL</v>
          </cell>
          <cell r="B9045" t="str">
            <v>P442</v>
          </cell>
          <cell r="C9045" t="str">
            <v>ซาติน แขนยาวขายาว จุดแมว ปกฟ้า XL</v>
          </cell>
          <cell r="E9045">
            <v>0</v>
          </cell>
          <cell r="F9045">
            <v>950</v>
          </cell>
        </row>
        <row r="9046">
          <cell r="A9046" t="str">
            <v>SP0443-L</v>
          </cell>
          <cell r="B9046" t="str">
            <v>P443</v>
          </cell>
          <cell r="C9046" t="str">
            <v>ซาติน แขนยาวขายาว จุดแมว ปกชมพู L</v>
          </cell>
          <cell r="E9046">
            <v>0</v>
          </cell>
          <cell r="F9046">
            <v>950</v>
          </cell>
        </row>
        <row r="9047">
          <cell r="A9047" t="str">
            <v>SP0443-M</v>
          </cell>
          <cell r="B9047" t="str">
            <v>P443</v>
          </cell>
          <cell r="C9047" t="str">
            <v>ซาติน แขนยาวขายาว จุดแมว ปกชมพู M</v>
          </cell>
          <cell r="E9047">
            <v>0</v>
          </cell>
          <cell r="F9047">
            <v>950</v>
          </cell>
        </row>
        <row r="9048">
          <cell r="A9048" t="str">
            <v>SP0443-XL</v>
          </cell>
          <cell r="B9048" t="str">
            <v>P443</v>
          </cell>
          <cell r="C9048" t="str">
            <v>ซาติน แขนยาวขายาว จุดแมว ปกชมพู XL</v>
          </cell>
          <cell r="E9048">
            <v>0</v>
          </cell>
          <cell r="F9048">
            <v>950</v>
          </cell>
        </row>
        <row r="9049">
          <cell r="A9049" t="str">
            <v>SP0444-L</v>
          </cell>
          <cell r="B9049" t="str">
            <v>P444</v>
          </cell>
          <cell r="C9049" t="str">
            <v>ซาติน แขนยาวขายาว Mint green L</v>
          </cell>
          <cell r="E9049">
            <v>0</v>
          </cell>
          <cell r="F9049">
            <v>950</v>
          </cell>
        </row>
        <row r="9050">
          <cell r="A9050" t="str">
            <v>SP0444-M</v>
          </cell>
          <cell r="B9050" t="str">
            <v>P444</v>
          </cell>
          <cell r="C9050" t="str">
            <v>ซาติน แขนยาวขายาว Mint green M</v>
          </cell>
          <cell r="E9050">
            <v>0</v>
          </cell>
          <cell r="F9050">
            <v>950</v>
          </cell>
        </row>
        <row r="9051">
          <cell r="A9051" t="str">
            <v>SP0444-XL</v>
          </cell>
          <cell r="B9051" t="str">
            <v>P444</v>
          </cell>
          <cell r="C9051" t="str">
            <v>ซาติน แขนยาวขายาว Mint green XL</v>
          </cell>
          <cell r="E9051">
            <v>0</v>
          </cell>
          <cell r="F9051">
            <v>950</v>
          </cell>
        </row>
        <row r="9052">
          <cell r="A9052" t="str">
            <v>SP0448-L</v>
          </cell>
          <cell r="B9052" t="str">
            <v>P448</v>
          </cell>
          <cell r="C9052" t="str">
            <v>ซาติน แขนยาวขายาว&amp;nbsp;ส้ม พื้นชมพู L</v>
          </cell>
          <cell r="E9052">
            <v>0</v>
          </cell>
          <cell r="F9052">
            <v>950</v>
          </cell>
        </row>
        <row r="9053">
          <cell r="A9053" t="str">
            <v>SP0449-L</v>
          </cell>
          <cell r="B9053" t="str">
            <v>P449</v>
          </cell>
          <cell r="C9053" t="str">
            <v>ซาติน แขนยาวขายาว&amp;nbsp;ส้ม พื้นม่วง L</v>
          </cell>
          <cell r="E9053">
            <v>0</v>
          </cell>
          <cell r="F9053">
            <v>950</v>
          </cell>
        </row>
        <row r="9054">
          <cell r="A9054" t="str">
            <v>SP0449-M</v>
          </cell>
          <cell r="B9054" t="str">
            <v>P449</v>
          </cell>
          <cell r="C9054" t="str">
            <v>ซาติน แขนยาวขายาว&amp;nbsp;ส้ม พื้นม่วง M</v>
          </cell>
          <cell r="E9054">
            <v>0</v>
          </cell>
          <cell r="F9054">
            <v>950</v>
          </cell>
        </row>
        <row r="9055">
          <cell r="A9055" t="str">
            <v>SP0450-L</v>
          </cell>
          <cell r="B9055" t="str">
            <v>P450</v>
          </cell>
          <cell r="C9055" t="str">
            <v>ซาติน แขนยาวขายาว Stawberry พื้นชมพู L</v>
          </cell>
          <cell r="E9055">
            <v>0</v>
          </cell>
          <cell r="F9055">
            <v>950</v>
          </cell>
        </row>
        <row r="9056">
          <cell r="A9056" t="str">
            <v>SP0450-M</v>
          </cell>
          <cell r="B9056" t="str">
            <v>P450</v>
          </cell>
          <cell r="C9056" t="str">
            <v>ซาติน แขนยาวขายาว Stawberry พื้นชมพู M</v>
          </cell>
          <cell r="E9056">
            <v>0</v>
          </cell>
          <cell r="F9056">
            <v>950</v>
          </cell>
        </row>
        <row r="9057">
          <cell r="A9057" t="str">
            <v>SP0451-L</v>
          </cell>
          <cell r="B9057" t="str">
            <v>P451</v>
          </cell>
          <cell r="C9057" t="str">
            <v>ซาติน แขนยาวขายาว Stawberry พื้นม่วง L</v>
          </cell>
          <cell r="E9057">
            <v>0</v>
          </cell>
          <cell r="F9057">
            <v>950</v>
          </cell>
        </row>
        <row r="9058">
          <cell r="A9058" t="str">
            <v>SP0451-M</v>
          </cell>
          <cell r="B9058" t="str">
            <v>P451</v>
          </cell>
          <cell r="C9058" t="str">
            <v>ซาติน แขนยาวขายาว Stawberry พื้นม่วง M</v>
          </cell>
          <cell r="E9058">
            <v>0</v>
          </cell>
          <cell r="F9058">
            <v>950</v>
          </cell>
        </row>
        <row r="9059">
          <cell r="A9059" t="str">
            <v>SP0452-L</v>
          </cell>
          <cell r="B9059" t="str">
            <v>P452</v>
          </cell>
          <cell r="C9059" t="str">
            <v>ซาติน แขนยาวขายาว Stawberry พื้นขาว L</v>
          </cell>
          <cell r="E9059">
            <v>0</v>
          </cell>
          <cell r="F9059">
            <v>950</v>
          </cell>
        </row>
        <row r="9060">
          <cell r="A9060" t="str">
            <v>SP0456-L</v>
          </cell>
          <cell r="B9060" t="str">
            <v>P456</v>
          </cell>
          <cell r="C9060" t="str">
            <v>ซาติน แขนยาวขายาว Waffle พื้นเทา L</v>
          </cell>
          <cell r="E9060">
            <v>0</v>
          </cell>
          <cell r="F9060">
            <v>950</v>
          </cell>
        </row>
        <row r="9061">
          <cell r="A9061" t="str">
            <v>SP0457-L</v>
          </cell>
          <cell r="B9061" t="str">
            <v>P457</v>
          </cell>
          <cell r="C9061" t="str">
            <v>ซาติน แขนยาวขายาว&amp;nbsp;Waffle พื้นฟ้า L</v>
          </cell>
          <cell r="E9061">
            <v>0</v>
          </cell>
          <cell r="F9061">
            <v>950</v>
          </cell>
        </row>
        <row r="9062">
          <cell r="A9062" t="str">
            <v>SP0457-M</v>
          </cell>
          <cell r="B9062" t="str">
            <v>P457</v>
          </cell>
          <cell r="C9062" t="str">
            <v>ซาติน แขนยาวขายาว Waffle พื้นฟ้า M</v>
          </cell>
          <cell r="E9062">
            <v>0</v>
          </cell>
          <cell r="F9062">
            <v>950</v>
          </cell>
        </row>
        <row r="9063">
          <cell r="A9063" t="str">
            <v>SP0458-L</v>
          </cell>
          <cell r="B9063" t="str">
            <v>P458</v>
          </cell>
          <cell r="C9063" t="str">
            <v>ซาติน แขนยาวขายาว&amp;nbsp;Waffle พื้นชมพู L</v>
          </cell>
          <cell r="E9063">
            <v>0</v>
          </cell>
          <cell r="F9063">
            <v>950</v>
          </cell>
        </row>
        <row r="9064">
          <cell r="A9064" t="str">
            <v>SP0458-M</v>
          </cell>
          <cell r="B9064" t="str">
            <v>P458</v>
          </cell>
          <cell r="C9064" t="str">
            <v>ซาติน แขนยาวขายาว Waffle พื้นชมพู M</v>
          </cell>
          <cell r="E9064">
            <v>0</v>
          </cell>
          <cell r="F9064">
            <v>950</v>
          </cell>
        </row>
        <row r="9065">
          <cell r="A9065" t="str">
            <v>SP0460-L</v>
          </cell>
          <cell r="B9065" t="str">
            <v>P460</v>
          </cell>
          <cell r="C9065" t="str">
            <v>ซาติน แขนยาวขายาว&amp;nbsp;ดอกเก็กฮวย L</v>
          </cell>
          <cell r="E9065">
            <v>0</v>
          </cell>
          <cell r="F9065">
            <v>950</v>
          </cell>
        </row>
        <row r="9066">
          <cell r="A9066" t="str">
            <v>SP0460-M</v>
          </cell>
          <cell r="B9066" t="str">
            <v>P460</v>
          </cell>
          <cell r="C9066" t="str">
            <v>ซาติน แขนยาวขายาว ดอกเก็กฮวย M</v>
          </cell>
          <cell r="E9066">
            <v>0</v>
          </cell>
          <cell r="F9066">
            <v>950</v>
          </cell>
        </row>
        <row r="9067">
          <cell r="A9067" t="str">
            <v>SP0471-L</v>
          </cell>
          <cell r="B9067" t="str">
            <v>P471</v>
          </cell>
          <cell r="C9067" t="str">
            <v>ซาติน แขนยาวขายาว ลายทางดอกไม้ พื้นฟ้า L</v>
          </cell>
          <cell r="E9067">
            <v>0</v>
          </cell>
          <cell r="F9067">
            <v>950</v>
          </cell>
        </row>
        <row r="9068">
          <cell r="A9068" t="str">
            <v>SP0471-M</v>
          </cell>
          <cell r="B9068" t="str">
            <v>P471</v>
          </cell>
          <cell r="C9068" t="str">
            <v>ซาติน แขนยาวขายาว ลายทางดอกไม้ พื้นฟ้า M</v>
          </cell>
          <cell r="E9068">
            <v>0</v>
          </cell>
          <cell r="F9068">
            <v>950</v>
          </cell>
        </row>
        <row r="9069">
          <cell r="A9069" t="str">
            <v>SP0472-L</v>
          </cell>
          <cell r="B9069" t="str">
            <v>P472</v>
          </cell>
          <cell r="C9069" t="str">
            <v>ซาติน แขนยาวขายาว ลายทางดอกไม้ พื้นชมพู L</v>
          </cell>
          <cell r="E9069">
            <v>0</v>
          </cell>
          <cell r="F9069">
            <v>950</v>
          </cell>
        </row>
        <row r="9070">
          <cell r="A9070" t="str">
            <v>SP0472-M</v>
          </cell>
          <cell r="B9070" t="str">
            <v>P472</v>
          </cell>
          <cell r="C9070" t="str">
            <v>ซาติน แขนยาวขายาว ลายทางดอกไม้ พื้นชมพู M</v>
          </cell>
          <cell r="E9070">
            <v>0</v>
          </cell>
          <cell r="F9070">
            <v>950</v>
          </cell>
        </row>
        <row r="9071">
          <cell r="A9071" t="str">
            <v>SP0473-L</v>
          </cell>
          <cell r="B9071" t="str">
            <v>P473</v>
          </cell>
          <cell r="C9071" t="str">
            <v>ซาติน แขนยาวขายาว ซากุระ พื้นม่วง L</v>
          </cell>
          <cell r="E9071">
            <v>0</v>
          </cell>
          <cell r="F9071">
            <v>950</v>
          </cell>
        </row>
        <row r="9072">
          <cell r="A9072" t="str">
            <v>SP0473-M</v>
          </cell>
          <cell r="B9072" t="str">
            <v>P473</v>
          </cell>
          <cell r="C9072" t="str">
            <v>ซาติน แขนยาวขายาว ซากุระ พื้นม่วง M</v>
          </cell>
          <cell r="E9072">
            <v>0</v>
          </cell>
          <cell r="F9072">
            <v>950</v>
          </cell>
        </row>
        <row r="9073">
          <cell r="A9073" t="str">
            <v>SP0474-L</v>
          </cell>
          <cell r="B9073" t="str">
            <v>P474</v>
          </cell>
          <cell r="C9073" t="str">
            <v>ซาติน แขนยาวขายาว Good Night Dog พื้นชมพู L</v>
          </cell>
          <cell r="E9073">
            <v>0</v>
          </cell>
          <cell r="F9073">
            <v>950</v>
          </cell>
        </row>
        <row r="9074">
          <cell r="A9074" t="str">
            <v>SP0475-L</v>
          </cell>
          <cell r="B9074" t="str">
            <v>P475</v>
          </cell>
          <cell r="C9074" t="str">
            <v>ซาติน แขนยาวขายาว Good Night Dog พื้นขาว L</v>
          </cell>
          <cell r="E9074">
            <v>0</v>
          </cell>
          <cell r="F9074">
            <v>950</v>
          </cell>
        </row>
        <row r="9075">
          <cell r="A9075" t="str">
            <v>SP0475-M</v>
          </cell>
          <cell r="B9075" t="str">
            <v>P475</v>
          </cell>
          <cell r="C9075" t="str">
            <v>ซาติน แขนยาวขายาว Good Night Dog พื้นขาว M</v>
          </cell>
          <cell r="E9075">
            <v>0</v>
          </cell>
          <cell r="F9075">
            <v>950</v>
          </cell>
        </row>
        <row r="9076">
          <cell r="A9076" t="str">
            <v>SP0486-L</v>
          </cell>
          <cell r="B9076" t="str">
            <v>P486</v>
          </cell>
          <cell r="C9076" t="str">
            <v>ซาติน แขนยาวขายาว G FLOWER RED L</v>
          </cell>
          <cell r="E9076">
            <v>0</v>
          </cell>
          <cell r="F9076">
            <v>950</v>
          </cell>
        </row>
        <row r="9077">
          <cell r="A9077" t="str">
            <v>SP0486-XL</v>
          </cell>
          <cell r="B9077" t="str">
            <v>P486</v>
          </cell>
          <cell r="C9077" t="str">
            <v>ซาติน แขนยาวขายาว G FLOWER  RED XL</v>
          </cell>
          <cell r="E9077">
            <v>0</v>
          </cell>
          <cell r="F9077">
            <v>950</v>
          </cell>
        </row>
        <row r="9078">
          <cell r="A9078" t="str">
            <v>SP0487-L</v>
          </cell>
          <cell r="B9078" t="str">
            <v>P487</v>
          </cell>
          <cell r="C9078" t="str">
            <v>ซาติน แขนยาวขายาว ORCHID BLACK L</v>
          </cell>
          <cell r="E9078">
            <v>0</v>
          </cell>
          <cell r="F9078">
            <v>950</v>
          </cell>
        </row>
        <row r="9079">
          <cell r="A9079" t="str">
            <v>SP0487-M</v>
          </cell>
          <cell r="B9079" t="str">
            <v>P487</v>
          </cell>
          <cell r="C9079" t="str">
            <v>ซาติน แขนยาวขายาว ORCHID BLACK M</v>
          </cell>
          <cell r="E9079">
            <v>0</v>
          </cell>
          <cell r="F9079">
            <v>950</v>
          </cell>
        </row>
        <row r="9080">
          <cell r="A9080" t="str">
            <v>SP0487-Xl</v>
          </cell>
          <cell r="B9080" t="str">
            <v>P487</v>
          </cell>
          <cell r="C9080" t="str">
            <v>ซาติน แขนยาวขายาว ORCHID BLACK XL</v>
          </cell>
          <cell r="E9080">
            <v>0</v>
          </cell>
          <cell r="F9080">
            <v>950</v>
          </cell>
        </row>
        <row r="9081">
          <cell r="A9081" t="str">
            <v>SP0488-L</v>
          </cell>
          <cell r="B9081" t="str">
            <v>JP488</v>
          </cell>
          <cell r="C9081" t="str">
            <v>ซาติน แขนยาวขายาว VINTAGE พื้นดำ L ตัวโชว์</v>
          </cell>
          <cell r="E9081">
            <v>0</v>
          </cell>
          <cell r="F9081">
            <v>950</v>
          </cell>
        </row>
        <row r="9082">
          <cell r="A9082" t="str">
            <v>SP0488-M</v>
          </cell>
          <cell r="B9082" t="str">
            <v>JP488</v>
          </cell>
          <cell r="C9082" t="str">
            <v>ซาติน แขนยาวขายาว VINTAGE พื้นดำ M ตัวโชว์</v>
          </cell>
          <cell r="E9082">
            <v>0</v>
          </cell>
          <cell r="F9082">
            <v>950</v>
          </cell>
        </row>
        <row r="9083">
          <cell r="A9083" t="str">
            <v>SP0488-S</v>
          </cell>
          <cell r="B9083" t="str">
            <v>QP488</v>
          </cell>
          <cell r="C9083" t="str">
            <v>ซาติน แขนยาวขายาว VINTAGE พื้นดำ S QC</v>
          </cell>
          <cell r="E9083">
            <v>0</v>
          </cell>
          <cell r="F9083">
            <v>990</v>
          </cell>
        </row>
        <row r="9084">
          <cell r="A9084" t="str">
            <v>SP0488-XL</v>
          </cell>
          <cell r="B9084" t="str">
            <v>JP488</v>
          </cell>
          <cell r="C9084" t="str">
            <v>ซาติน แขนยาวขายาว VINTAGE พื้นดำ XL ตัวโชว์</v>
          </cell>
          <cell r="E9084">
            <v>0</v>
          </cell>
          <cell r="F9084">
            <v>950</v>
          </cell>
        </row>
        <row r="9085">
          <cell r="A9085" t="str">
            <v>SP0489-L</v>
          </cell>
          <cell r="B9085" t="str">
            <v>P489</v>
          </cell>
          <cell r="C9085" t="str">
            <v>ซาติน แขนยาวขายาว ตาราง ฟ้าขาว L</v>
          </cell>
          <cell r="E9085">
            <v>0</v>
          </cell>
          <cell r="F9085">
            <v>950</v>
          </cell>
        </row>
        <row r="9086">
          <cell r="A9086" t="str">
            <v>SP0489-M</v>
          </cell>
          <cell r="B9086" t="str">
            <v>P489</v>
          </cell>
          <cell r="C9086" t="str">
            <v>ซาติน แขนยาวขายาว ตาราง ฟ้าขาว M</v>
          </cell>
          <cell r="E9086">
            <v>0</v>
          </cell>
          <cell r="F9086">
            <v>950</v>
          </cell>
        </row>
        <row r="9087">
          <cell r="A9087" t="str">
            <v>SP0490-L</v>
          </cell>
          <cell r="B9087" t="str">
            <v>P490</v>
          </cell>
          <cell r="C9087" t="str">
            <v>ซิลค์แจ็คการ์ด แขนยาวขายาว Summer Tiger L</v>
          </cell>
          <cell r="E9087">
            <v>0</v>
          </cell>
          <cell r="F9087">
            <v>990</v>
          </cell>
        </row>
        <row r="9088">
          <cell r="A9088" t="str">
            <v>SP0490-M</v>
          </cell>
          <cell r="B9088" t="str">
            <v>P490</v>
          </cell>
          <cell r="C9088" t="str">
            <v>ซิลค์แจ็คการ์ด แขนยาวขายาว Summer Tiger M</v>
          </cell>
          <cell r="E9088">
            <v>0</v>
          </cell>
          <cell r="F9088">
            <v>990</v>
          </cell>
        </row>
        <row r="9089">
          <cell r="A9089" t="str">
            <v>SP0490-XL</v>
          </cell>
          <cell r="B9089" t="str">
            <v>P490</v>
          </cell>
          <cell r="C9089" t="str">
            <v>ซิลค์แจ็คการ์ด แขนยาวขายาว Summer Tiger XL</v>
          </cell>
          <cell r="E9089">
            <v>0</v>
          </cell>
          <cell r="F9089">
            <v>990</v>
          </cell>
        </row>
        <row r="9090">
          <cell r="A9090" t="str">
            <v>SP0505-L</v>
          </cell>
          <cell r="B9090" t="str">
            <v>P505</v>
          </cell>
          <cell r="C9090" t="str">
            <v>ซาติน แขนยาวขายาว ลายทาง ชมพู พาสเทล L</v>
          </cell>
          <cell r="E9090">
            <v>0</v>
          </cell>
          <cell r="F9090">
            <v>950</v>
          </cell>
        </row>
        <row r="9091">
          <cell r="A9091" t="str">
            <v>SP0505-M</v>
          </cell>
          <cell r="B9091" t="str">
            <v>P505</v>
          </cell>
          <cell r="C9091" t="str">
            <v>ซาติน แขนยาวขายาว ลายทาง ชมพู พาสเทล M</v>
          </cell>
          <cell r="E9091">
            <v>0</v>
          </cell>
          <cell r="F9091">
            <v>950</v>
          </cell>
        </row>
        <row r="9092">
          <cell r="A9092" t="str">
            <v>SP0520-F</v>
          </cell>
          <cell r="B9092" t="str">
            <v>P520</v>
          </cell>
          <cell r="C9092" t="str">
            <v>ซิลค์แจ็คการ์ด แขนยาวขายาว นักบินอวกาศ พื้นเทา F</v>
          </cell>
          <cell r="E9092">
            <v>0</v>
          </cell>
          <cell r="F9092">
            <v>950</v>
          </cell>
        </row>
        <row r="9093">
          <cell r="A9093" t="str">
            <v>SP0525-L</v>
          </cell>
          <cell r="B9093" t="str">
            <v>P525</v>
          </cell>
          <cell r="C9093" t="str">
            <v>ซาติน แขนยาวขายาว ภาพวาดกุหลาบ พื้นส้ม L</v>
          </cell>
          <cell r="E9093">
            <v>0</v>
          </cell>
          <cell r="F9093">
            <v>950</v>
          </cell>
        </row>
        <row r="9094">
          <cell r="A9094" t="str">
            <v>SP0525-M</v>
          </cell>
          <cell r="B9094" t="str">
            <v>P525</v>
          </cell>
          <cell r="C9094" t="str">
            <v>ซาติน แขนยาวขายาว ภาพวาดกุหลาบ พื้นส้ม M</v>
          </cell>
          <cell r="E9094">
            <v>0</v>
          </cell>
          <cell r="F9094">
            <v>950</v>
          </cell>
        </row>
        <row r="9095">
          <cell r="A9095" t="str">
            <v>SP0525-XL</v>
          </cell>
          <cell r="B9095" t="str">
            <v>P525</v>
          </cell>
          <cell r="C9095" t="str">
            <v>ซาติน แขนยาวขายาว ภาพวาดกุหลาบ พื้นส้ม XL</v>
          </cell>
          <cell r="E9095">
            <v>0</v>
          </cell>
          <cell r="F9095">
            <v>950</v>
          </cell>
        </row>
        <row r="9096">
          <cell r="A9096" t="str">
            <v>SP0527-2XL</v>
          </cell>
          <cell r="B9096" t="str">
            <v>P527</v>
          </cell>
          <cell r="C9096" t="str">
            <v>ซาติน แขนยาวขายาว ใบไม้เขียว พื้นชมพู 2XL</v>
          </cell>
          <cell r="E9096">
            <v>0</v>
          </cell>
          <cell r="F9096">
            <v>990</v>
          </cell>
        </row>
        <row r="9097">
          <cell r="A9097" t="str">
            <v>SP0527-3XL</v>
          </cell>
          <cell r="B9097" t="str">
            <v>P527</v>
          </cell>
          <cell r="C9097" t="str">
            <v>ซาติน แขนยาวขายาว ใบไม้เขียว พื้นชมพู 3XL</v>
          </cell>
          <cell r="E9097">
            <v>0</v>
          </cell>
          <cell r="F9097">
            <v>990</v>
          </cell>
        </row>
        <row r="9098">
          <cell r="A9098" t="str">
            <v>SP0527-L</v>
          </cell>
          <cell r="B9098" t="str">
            <v>P527</v>
          </cell>
          <cell r="C9098" t="str">
            <v>ซาติน แขนยาวขายาว ใบไม้เขียว พื้นชมพู L</v>
          </cell>
          <cell r="E9098">
            <v>0</v>
          </cell>
          <cell r="F9098">
            <v>990</v>
          </cell>
        </row>
        <row r="9099">
          <cell r="A9099" t="str">
            <v>SP0527-M</v>
          </cell>
          <cell r="B9099" t="str">
            <v>P527</v>
          </cell>
          <cell r="C9099" t="str">
            <v>ซาติน แขนยาวขายาว ใบไม้เขียว พื้นชมพู M</v>
          </cell>
          <cell r="E9099">
            <v>0</v>
          </cell>
          <cell r="F9099">
            <v>990</v>
          </cell>
        </row>
        <row r="9100">
          <cell r="A9100" t="str">
            <v>SP0527-XL</v>
          </cell>
          <cell r="B9100" t="str">
            <v>P527</v>
          </cell>
          <cell r="C9100" t="str">
            <v>ซาติน แขนยาวขายาว ใบไม้เขียว พื้นชมพู XL</v>
          </cell>
          <cell r="E9100">
            <v>0</v>
          </cell>
          <cell r="F9100">
            <v>990</v>
          </cell>
        </row>
        <row r="9101">
          <cell r="A9101" t="str">
            <v>SP0528</v>
          </cell>
          <cell r="B9101" t="str">
            <v>P528</v>
          </cell>
          <cell r="C9101" t="str">
            <v>SP0528-XL ซาติน แขนยาวขายาว อาชา น้ำตาล XL</v>
          </cell>
          <cell r="E9101">
            <v>0</v>
          </cell>
          <cell r="F9101">
            <v>850</v>
          </cell>
        </row>
        <row r="9102">
          <cell r="A9102" t="str">
            <v>SP0528-M</v>
          </cell>
          <cell r="B9102" t="str">
            <v>P528</v>
          </cell>
          <cell r="C9102" t="str">
            <v>ซาติน แขนยาวขายาว อาชา น้ำตาล M</v>
          </cell>
          <cell r="E9102">
            <v>0</v>
          </cell>
          <cell r="F9102">
            <v>950</v>
          </cell>
        </row>
        <row r="9103">
          <cell r="A9103" t="str">
            <v>SP0528-XL</v>
          </cell>
          <cell r="B9103" t="str">
            <v>P528</v>
          </cell>
          <cell r="C9103" t="str">
            <v>ซาติน แขนยาวขายาว อาชา น้ำตาล XL</v>
          </cell>
          <cell r="E9103">
            <v>0</v>
          </cell>
          <cell r="F9103">
            <v>950</v>
          </cell>
        </row>
        <row r="9104">
          <cell r="A9104" t="str">
            <v>SP0529-L</v>
          </cell>
          <cell r="B9104" t="str">
            <v>P529</v>
          </cell>
          <cell r="C9104" t="str">
            <v>ซาติน แขนยาวขายาว อาชา ดำ L</v>
          </cell>
          <cell r="E9104">
            <v>0</v>
          </cell>
          <cell r="F9104">
            <v>950</v>
          </cell>
        </row>
        <row r="9105">
          <cell r="A9105" t="str">
            <v>SP0529-M</v>
          </cell>
          <cell r="B9105" t="str">
            <v>P529</v>
          </cell>
          <cell r="C9105" t="str">
            <v>ซาติน แขนยาวขายาว อาชา ดำ M</v>
          </cell>
          <cell r="E9105">
            <v>0</v>
          </cell>
          <cell r="F9105">
            <v>950</v>
          </cell>
        </row>
        <row r="9106">
          <cell r="A9106" t="str">
            <v>SP0529-XL</v>
          </cell>
          <cell r="B9106" t="str">
            <v>P529</v>
          </cell>
          <cell r="C9106" t="str">
            <v>ซาติน แขนยาวขายาว อาชา ดำ XL</v>
          </cell>
          <cell r="E9106">
            <v>0</v>
          </cell>
          <cell r="F9106">
            <v>950</v>
          </cell>
        </row>
        <row r="9107">
          <cell r="A9107" t="str">
            <v>SP0530-M</v>
          </cell>
          <cell r="B9107" t="str">
            <v>P530</v>
          </cell>
          <cell r="C9107" t="str">
            <v>ซาติน แขนยาวขายาว ภาพวาด เสือ M</v>
          </cell>
          <cell r="E9107">
            <v>0</v>
          </cell>
          <cell r="F9107">
            <v>950</v>
          </cell>
        </row>
        <row r="9108">
          <cell r="A9108" t="str">
            <v>SP0530-XL</v>
          </cell>
          <cell r="B9108" t="str">
            <v>P530</v>
          </cell>
          <cell r="C9108" t="str">
            <v>ซาติน แขนยาวขายาว ภาพวาด เสือ XL</v>
          </cell>
          <cell r="E9108">
            <v>0</v>
          </cell>
          <cell r="F9108">
            <v>950</v>
          </cell>
        </row>
        <row r="9109">
          <cell r="A9109" t="str">
            <v>SP0531-M</v>
          </cell>
          <cell r="B9109" t="str">
            <v>P531</v>
          </cell>
          <cell r="C9109" t="str">
            <v>ซาติน แขนยาวขายาว Winter Tiger M</v>
          </cell>
          <cell r="E9109">
            <v>0</v>
          </cell>
          <cell r="F9109">
            <v>950</v>
          </cell>
        </row>
        <row r="9110">
          <cell r="A9110" t="str">
            <v>SP0531-XL</v>
          </cell>
          <cell r="B9110" t="str">
            <v>P531</v>
          </cell>
          <cell r="C9110" t="str">
            <v>ซาติน แขนยาวขายาว Winter Tiger XL</v>
          </cell>
          <cell r="E9110">
            <v>0</v>
          </cell>
          <cell r="F9110">
            <v>950</v>
          </cell>
        </row>
        <row r="9111">
          <cell r="A9111" t="str">
            <v>SP0534-M</v>
          </cell>
          <cell r="B9111" t="str">
            <v>P534</v>
          </cell>
          <cell r="C9111" t="str">
            <v>ซาติน แขนยาวขายาว ข้าวหลามตัด หัวใจ พื้นส้ม M</v>
          </cell>
          <cell r="E9111">
            <v>0</v>
          </cell>
          <cell r="F9111">
            <v>950</v>
          </cell>
        </row>
        <row r="9112">
          <cell r="A9112" t="str">
            <v>SP0534-S</v>
          </cell>
          <cell r="B9112" t="str">
            <v>P534</v>
          </cell>
          <cell r="C9112" t="str">
            <v>ซาติน แขนยาวขายาว ข้าวหลามตัด หัวใจ พื้นส้ม S</v>
          </cell>
          <cell r="E9112">
            <v>0</v>
          </cell>
          <cell r="F9112">
            <v>950</v>
          </cell>
        </row>
        <row r="9113">
          <cell r="A9113" t="str">
            <v>SP0544-M</v>
          </cell>
          <cell r="B9113" t="str">
            <v>P544</v>
          </cell>
          <cell r="E9113">
            <v>0</v>
          </cell>
          <cell r="F9113">
            <v>0</v>
          </cell>
        </row>
        <row r="9114">
          <cell r="A9114" t="str">
            <v>SP0544-S</v>
          </cell>
          <cell r="B9114" t="str">
            <v>P544</v>
          </cell>
          <cell r="E9114">
            <v>0</v>
          </cell>
          <cell r="F9114">
            <v>0</v>
          </cell>
        </row>
        <row r="9115">
          <cell r="A9115" t="str">
            <v>SP0554-L</v>
          </cell>
          <cell r="B9115" t="str">
            <v>P554</v>
          </cell>
          <cell r="C9115" t="str">
            <v>ซาติน แขนยาวขายาว ลายเสือ ชมพูนู้ด ลูกไม้ (กปก) L</v>
          </cell>
          <cell r="E9115">
            <v>0</v>
          </cell>
          <cell r="F9115">
            <v>950</v>
          </cell>
        </row>
        <row r="9116">
          <cell r="A9116" t="str">
            <v>SP0554-M</v>
          </cell>
          <cell r="B9116" t="str">
            <v>P554</v>
          </cell>
          <cell r="C9116" t="str">
            <v>ซาติน แขนยาวขายาว ลายเสือ ชมพูนู้ด ลูกไม้ (กปก) M</v>
          </cell>
          <cell r="E9116">
            <v>0</v>
          </cell>
          <cell r="F9116">
            <v>950</v>
          </cell>
        </row>
        <row r="9117">
          <cell r="A9117" t="str">
            <v>SP0575-M</v>
          </cell>
          <cell r="B9117" t="str">
            <v>P575</v>
          </cell>
          <cell r="C9117" t="str">
            <v>ซาติน แขนยาวขายาว ลายเส้น พาสเทล พื้นดำ M</v>
          </cell>
          <cell r="E9117">
            <v>0</v>
          </cell>
          <cell r="F9117">
            <v>990</v>
          </cell>
        </row>
        <row r="9118">
          <cell r="A9118" t="str">
            <v>SP0575-S</v>
          </cell>
          <cell r="B9118" t="str">
            <v>P575</v>
          </cell>
          <cell r="C9118" t="str">
            <v>ซาติน แขนยาวขายาว ลายเส้น พาสเทล พื้นดำ S</v>
          </cell>
          <cell r="E9118">
            <v>0</v>
          </cell>
          <cell r="F9118">
            <v>950</v>
          </cell>
        </row>
        <row r="9119">
          <cell r="A9119" t="str">
            <v>SP0578-L</v>
          </cell>
          <cell r="B9119" t="str">
            <v>P578</v>
          </cell>
          <cell r="C9119" t="str">
            <v>ซาติน แขนยาวขายาว ชมพูดำเล็ก พื้นขาว Dreamy L</v>
          </cell>
          <cell r="E9119">
            <v>0</v>
          </cell>
          <cell r="F9119">
            <v>950</v>
          </cell>
        </row>
        <row r="9120">
          <cell r="A9120" t="str">
            <v>SP0578-M</v>
          </cell>
          <cell r="B9120" t="str">
            <v>P578</v>
          </cell>
          <cell r="C9120" t="str">
            <v>ซาติน แขนยาวขายาว ชมพูดำเล็ก พื้นขาว Dreamy M</v>
          </cell>
          <cell r="E9120">
            <v>0</v>
          </cell>
          <cell r="F9120">
            <v>950</v>
          </cell>
        </row>
        <row r="9121">
          <cell r="A9121" t="str">
            <v>SP0578-S</v>
          </cell>
          <cell r="B9121" t="str">
            <v>P578</v>
          </cell>
          <cell r="C9121" t="str">
            <v>ซาติน แขนยาวขายาว ชมพูดำเล็ก พื้นขาว Dreamy S</v>
          </cell>
          <cell r="E9121">
            <v>0</v>
          </cell>
          <cell r="F9121">
            <v>990</v>
          </cell>
        </row>
        <row r="9122">
          <cell r="A9122" t="str">
            <v>SP0594-L</v>
          </cell>
          <cell r="B9122" t="str">
            <v>P594</v>
          </cell>
          <cell r="C9122" t="str">
            <v>ซาติน แขนยาวขายาว ปกหนาเหลือง พื้นม่วง L</v>
          </cell>
          <cell r="E9122">
            <v>0</v>
          </cell>
          <cell r="F9122">
            <v>990</v>
          </cell>
        </row>
        <row r="9123">
          <cell r="A9123" t="str">
            <v>SP0594-M</v>
          </cell>
          <cell r="B9123" t="str">
            <v>P594</v>
          </cell>
          <cell r="C9123" t="str">
            <v>ซาติน แขนยาวขายาว ปกหนาเหลือง พื้นม่วง M</v>
          </cell>
          <cell r="E9123">
            <v>0</v>
          </cell>
          <cell r="F9123">
            <v>990</v>
          </cell>
        </row>
        <row r="9124">
          <cell r="A9124" t="str">
            <v>SP0595-L</v>
          </cell>
          <cell r="B9124" t="str">
            <v>JP595</v>
          </cell>
          <cell r="C9124" t="str">
            <v>ซาติน แขนยาวขายาว ปกหนาดำ พื้นครีม L ตัวโชว์</v>
          </cell>
          <cell r="E9124">
            <v>0</v>
          </cell>
          <cell r="F9124">
            <v>950</v>
          </cell>
        </row>
        <row r="9125">
          <cell r="A9125" t="str">
            <v>SP0595-M</v>
          </cell>
          <cell r="B9125" t="str">
            <v>JP595</v>
          </cell>
          <cell r="C9125" t="str">
            <v>ซาติน แขนยาวขายาว ปกหนาดำ พื้นครีม M ตัวโชว์</v>
          </cell>
          <cell r="E9125">
            <v>0</v>
          </cell>
          <cell r="F9125">
            <v>950</v>
          </cell>
        </row>
        <row r="9126">
          <cell r="A9126" t="str">
            <v>SP0596-L</v>
          </cell>
          <cell r="B9126" t="str">
            <v>P596</v>
          </cell>
          <cell r="C9126" t="str">
            <v>ซาติน แขนยาวขายาว ลูกไม้ ฉลุ พื้นดำ L (กปก)</v>
          </cell>
          <cell r="E9126">
            <v>0</v>
          </cell>
          <cell r="F9126">
            <v>990</v>
          </cell>
        </row>
        <row r="9127">
          <cell r="A9127" t="str">
            <v>SP0596-M</v>
          </cell>
          <cell r="B9127" t="str">
            <v>P596</v>
          </cell>
          <cell r="C9127" t="str">
            <v>ซาติน แขนยาวขายาว ลูกไม้ ฉลุ พื้นดำ M (กปก)</v>
          </cell>
          <cell r="E9127">
            <v>0</v>
          </cell>
          <cell r="F9127">
            <v>990</v>
          </cell>
        </row>
        <row r="9128">
          <cell r="A9128" t="str">
            <v>SP0597-L</v>
          </cell>
          <cell r="B9128" t="str">
            <v>P597</v>
          </cell>
          <cell r="C9128" t="str">
            <v>ซาติน แขนยาวขายาว ลูกไม้ ฉลุ พื้นม่วง L (กปก)</v>
          </cell>
          <cell r="E9128">
            <v>0</v>
          </cell>
          <cell r="F9128">
            <v>950</v>
          </cell>
        </row>
        <row r="9129">
          <cell r="A9129" t="str">
            <v>SP0597-M</v>
          </cell>
          <cell r="B9129" t="str">
            <v>P597</v>
          </cell>
          <cell r="C9129" t="str">
            <v>ซาติน แขนยาวขายาว ลูกไม้ ฉลุ พื้นม่วง M</v>
          </cell>
          <cell r="E9129">
            <v>0</v>
          </cell>
          <cell r="F9129">
            <v>950</v>
          </cell>
        </row>
        <row r="9130">
          <cell r="A9130" t="str">
            <v>SP0598-L</v>
          </cell>
          <cell r="B9130" t="str">
            <v>P598</v>
          </cell>
          <cell r="C9130" t="str">
            <v>ซาติน แขนยาวขายาว ลูกไม้ ฉลุ พื้นขาว L</v>
          </cell>
          <cell r="E9130">
            <v>0</v>
          </cell>
          <cell r="F9130">
            <v>950</v>
          </cell>
        </row>
        <row r="9131">
          <cell r="A9131" t="str">
            <v>SP0598-M</v>
          </cell>
          <cell r="B9131" t="str">
            <v>P598</v>
          </cell>
          <cell r="C9131" t="str">
            <v>ซาติน แขนยาวขายาว ลูกไม้ ฉลุ พื้นขาว M</v>
          </cell>
          <cell r="E9131">
            <v>0</v>
          </cell>
          <cell r="F9131">
            <v>950</v>
          </cell>
        </row>
        <row r="9132">
          <cell r="A9132" t="str">
            <v>SP0599-L</v>
          </cell>
          <cell r="B9132" t="str">
            <v>JP599</v>
          </cell>
          <cell r="C9132" t="str">
            <v>ซาติน แขนยาวขายาว ลูกไม้ ฉลุ พื้นครีม L (กปก) ตัวโชว์</v>
          </cell>
          <cell r="E9132">
            <v>0</v>
          </cell>
          <cell r="F9132">
            <v>950</v>
          </cell>
        </row>
        <row r="9133">
          <cell r="A9133" t="str">
            <v>SP0599-M</v>
          </cell>
          <cell r="B9133" t="str">
            <v>P599</v>
          </cell>
          <cell r="C9133" t="str">
            <v>ซาติน แขนยาวขายาว ลูกไม้ ฉลุ พื้นครีม M</v>
          </cell>
          <cell r="E9133">
            <v>0</v>
          </cell>
          <cell r="F9133">
            <v>950</v>
          </cell>
        </row>
        <row r="9134">
          <cell r="A9134" t="str">
            <v>SP0638-L</v>
          </cell>
          <cell r="B9134" t="str">
            <v>JP638</v>
          </cell>
          <cell r="C9134" t="str">
            <v>ซาติน แขนยาวขายาว เรนโบว์ L ตัวโชว์</v>
          </cell>
          <cell r="E9134">
            <v>0</v>
          </cell>
          <cell r="F9134">
            <v>990</v>
          </cell>
        </row>
        <row r="9135">
          <cell r="A9135" t="str">
            <v>SP0638-M</v>
          </cell>
          <cell r="B9135" t="str">
            <v>P638</v>
          </cell>
          <cell r="C9135" t="str">
            <v>ซาติน แขนยาวขายาว เรนโบว์ M</v>
          </cell>
          <cell r="E9135">
            <v>0</v>
          </cell>
          <cell r="F9135">
            <v>950</v>
          </cell>
        </row>
        <row r="9136">
          <cell r="A9136" t="str">
            <v>SP0656-L</v>
          </cell>
          <cell r="B9136" t="str">
            <v>P656</v>
          </cell>
          <cell r="C9136" t="str">
            <v>ซาติน แขนยาวขายาว ผีเสื้อสีน้ำ พื้นขาวฟ้า L</v>
          </cell>
          <cell r="E9136">
            <v>0</v>
          </cell>
          <cell r="F9136">
            <v>790</v>
          </cell>
        </row>
        <row r="9137">
          <cell r="A9137" t="str">
            <v>SP0656-M</v>
          </cell>
          <cell r="B9137" t="str">
            <v>P656</v>
          </cell>
          <cell r="C9137" t="str">
            <v>ซาติน แขนยาวขายาว ผีเสื้อสีน้ำ พื้นขาวฟ้า M</v>
          </cell>
          <cell r="E9137">
            <v>0</v>
          </cell>
          <cell r="F9137">
            <v>950</v>
          </cell>
        </row>
        <row r="9138">
          <cell r="A9138" t="str">
            <v>SP0656-XL</v>
          </cell>
          <cell r="B9138" t="str">
            <v>P656</v>
          </cell>
          <cell r="C9138" t="str">
            <v>ซาติน แขนยาวขายาว ผีเสื้อสีน้ำ พื้นขาวฟ้า XL</v>
          </cell>
          <cell r="E9138">
            <v>0</v>
          </cell>
          <cell r="F9138">
            <v>950</v>
          </cell>
        </row>
        <row r="9139">
          <cell r="A9139" t="str">
            <v>SP0657-L</v>
          </cell>
          <cell r="B9139" t="str">
            <v>P657</v>
          </cell>
          <cell r="C9139" t="str">
            <v>ซาติน แขนยาวขายาว พื้นดำ ดอกไม้ชมพู เขาวงกต L</v>
          </cell>
          <cell r="E9139">
            <v>0</v>
          </cell>
          <cell r="F9139">
            <v>950</v>
          </cell>
        </row>
        <row r="9140">
          <cell r="A9140" t="str">
            <v>SP0657-M</v>
          </cell>
          <cell r="B9140" t="str">
            <v>P657</v>
          </cell>
          <cell r="C9140" t="str">
            <v>ซาติน แขนยาวขายาว พื้นดำ ดอกไม้ชมพู เขาวงกต M</v>
          </cell>
          <cell r="E9140">
            <v>0</v>
          </cell>
          <cell r="F9140">
            <v>950</v>
          </cell>
        </row>
        <row r="9141">
          <cell r="A9141" t="str">
            <v>SP0657-XL</v>
          </cell>
          <cell r="B9141" t="str">
            <v>P657</v>
          </cell>
          <cell r="C9141" t="str">
            <v>ซาติน แขนยาวขายาว พื้นดำ ดอกไม้ชมพู เขาวงกต XL</v>
          </cell>
          <cell r="E9141">
            <v>0</v>
          </cell>
          <cell r="F9141">
            <v>950</v>
          </cell>
        </row>
        <row r="9142">
          <cell r="A9142" t="str">
            <v>SP0658-L</v>
          </cell>
          <cell r="B9142" t="str">
            <v>P658</v>
          </cell>
          <cell r="C9142" t="str">
            <v>ซาติน แขนยาวขายาว แอปเปิ้ล พื้นชมพู L</v>
          </cell>
          <cell r="E9142">
            <v>0</v>
          </cell>
          <cell r="F9142">
            <v>950</v>
          </cell>
        </row>
        <row r="9143">
          <cell r="A9143" t="str">
            <v>SP0658-M</v>
          </cell>
          <cell r="B9143" t="str">
            <v>P658</v>
          </cell>
          <cell r="C9143" t="str">
            <v>ซาติน แขนยาวขายาว แอปเปิ้ล พื้นชมพู M</v>
          </cell>
          <cell r="E9143">
            <v>0</v>
          </cell>
          <cell r="F9143">
            <v>990</v>
          </cell>
        </row>
        <row r="9144">
          <cell r="A9144" t="str">
            <v>SP0658-XL</v>
          </cell>
          <cell r="B9144" t="str">
            <v>P658</v>
          </cell>
          <cell r="C9144" t="str">
            <v>ซาติน แขนยาวขายาว แอปเปิ้ล พื้นชมพู XL</v>
          </cell>
          <cell r="E9144">
            <v>0</v>
          </cell>
          <cell r="F9144">
            <v>950</v>
          </cell>
        </row>
        <row r="9145">
          <cell r="A9145" t="str">
            <v>SP0659-L</v>
          </cell>
          <cell r="B9145" t="str">
            <v>P659</v>
          </cell>
          <cell r="C9145" t="str">
            <v>ซาติน แขนยาวขายาว ดอกไม้ โมโนโทน L</v>
          </cell>
          <cell r="E9145">
            <v>0</v>
          </cell>
          <cell r="F9145">
            <v>950</v>
          </cell>
        </row>
        <row r="9146">
          <cell r="A9146" t="str">
            <v>SP0659-M</v>
          </cell>
          <cell r="B9146" t="str">
            <v>P659</v>
          </cell>
          <cell r="C9146" t="str">
            <v>ซาติน แขนยาวขายาว ดอกไม้ โมโนโทน M</v>
          </cell>
          <cell r="E9146">
            <v>0</v>
          </cell>
          <cell r="F9146">
            <v>950</v>
          </cell>
        </row>
        <row r="9147">
          <cell r="A9147" t="str">
            <v>SP0659-XL</v>
          </cell>
          <cell r="B9147" t="str">
            <v>P659</v>
          </cell>
          <cell r="C9147" t="str">
            <v>ซาติน แขนยาวขายาว ดอกไม้ โมโนโทน XL</v>
          </cell>
          <cell r="E9147">
            <v>0</v>
          </cell>
          <cell r="F9147">
            <v>950</v>
          </cell>
        </row>
        <row r="9148">
          <cell r="A9148" t="str">
            <v>SP0673-L</v>
          </cell>
          <cell r="B9148" t="str">
            <v>P673</v>
          </cell>
          <cell r="C9148" t="str">
            <v>ซาติน แขนยาวขายาว พื้นเขียว ใบไม้เหลือง L</v>
          </cell>
          <cell r="E9148">
            <v>0</v>
          </cell>
          <cell r="F9148">
            <v>950</v>
          </cell>
        </row>
        <row r="9149">
          <cell r="A9149" t="str">
            <v>SP0673-M</v>
          </cell>
          <cell r="B9149" t="str">
            <v>P673</v>
          </cell>
          <cell r="C9149" t="str">
            <v>ซาติน แขนยาวขายาว พื้นเขียว ใบไม้เหลือง M</v>
          </cell>
          <cell r="E9149">
            <v>0</v>
          </cell>
          <cell r="F9149">
            <v>950</v>
          </cell>
        </row>
        <row r="9150">
          <cell r="A9150" t="str">
            <v>SP0673-XL</v>
          </cell>
          <cell r="B9150" t="str">
            <v>P673</v>
          </cell>
          <cell r="C9150" t="str">
            <v>ซาติน แขนยาวขายาว พื้นเขียว ใบไม้เหลือง XL</v>
          </cell>
          <cell r="E9150">
            <v>0</v>
          </cell>
          <cell r="F9150">
            <v>950</v>
          </cell>
        </row>
        <row r="9151">
          <cell r="A9151" t="str">
            <v>SP0686-F</v>
          </cell>
          <cell r="B9151" t="str">
            <v>P686</v>
          </cell>
          <cell r="C9151" t="str">
            <v>ซาติน แขนยาวขายาว Cartoon Party กางเกงแดง F</v>
          </cell>
          <cell r="E9151">
            <v>0</v>
          </cell>
          <cell r="F9151">
            <v>950</v>
          </cell>
        </row>
        <row r="9152">
          <cell r="A9152" t="str">
            <v>SP0688-F</v>
          </cell>
          <cell r="B9152" t="str">
            <v>P688</v>
          </cell>
          <cell r="C9152" t="str">
            <v>ซิลค์แจ็คการ์ด แขนยาวขายาว Pink Magic F</v>
          </cell>
          <cell r="E9152">
            <v>0</v>
          </cell>
          <cell r="F9152">
            <v>950</v>
          </cell>
        </row>
        <row r="9153">
          <cell r="A9153" t="str">
            <v>SP0689-L</v>
          </cell>
          <cell r="B9153" t="str">
            <v>P689</v>
          </cell>
          <cell r="C9153" t="str">
            <v>ซิลค์แจ็คการ์ด แขนยาวขายาว ดอกไม้ พลับ พื้นครีม L</v>
          </cell>
          <cell r="E9153">
            <v>0</v>
          </cell>
          <cell r="F9153">
            <v>950</v>
          </cell>
        </row>
        <row r="9154">
          <cell r="A9154" t="str">
            <v>SP0689-M</v>
          </cell>
          <cell r="B9154" t="str">
            <v>P689</v>
          </cell>
          <cell r="C9154" t="str">
            <v>ซิลค์แจ็คการ์ด แขนยาวขายาว ดอกไม้ พลับ พื้นครีม M</v>
          </cell>
          <cell r="E9154">
            <v>0</v>
          </cell>
          <cell r="F9154">
            <v>950</v>
          </cell>
        </row>
        <row r="9155">
          <cell r="A9155" t="str">
            <v>SP0690-M</v>
          </cell>
          <cell r="B9155" t="str">
            <v>P690</v>
          </cell>
          <cell r="C9155" t="str">
            <v>ซาติน แขนยาวขายาว กระต่าย ทักซิโด M</v>
          </cell>
          <cell r="E9155">
            <v>0</v>
          </cell>
          <cell r="F9155">
            <v>950</v>
          </cell>
        </row>
        <row r="9156">
          <cell r="A9156" t="str">
            <v>SP0691-L</v>
          </cell>
          <cell r="B9156" t="str">
            <v>P691</v>
          </cell>
          <cell r="C9156" t="str">
            <v>ซิลค์แจ็คการ์ด แขนยาวขายาว Unicorn ขอบแดง L</v>
          </cell>
          <cell r="E9156">
            <v>0</v>
          </cell>
          <cell r="F9156">
            <v>950</v>
          </cell>
        </row>
        <row r="9157">
          <cell r="A9157" t="str">
            <v>SP0691-M</v>
          </cell>
          <cell r="B9157" t="str">
            <v>P691</v>
          </cell>
          <cell r="C9157" t="str">
            <v>ซิลค์แจ็คการ์ด แขนยาวขายาว Unicorn ขอบแดง M</v>
          </cell>
          <cell r="E9157">
            <v>0</v>
          </cell>
          <cell r="F9157">
            <v>950</v>
          </cell>
        </row>
        <row r="9158">
          <cell r="A9158" t="str">
            <v>SP0692-F</v>
          </cell>
          <cell r="B9158" t="str">
            <v>P692</v>
          </cell>
          <cell r="C9158" t="str">
            <v>ซิลค์แจ็คการ์ด แขนยาวขายาว Japanese Style พื้นชมพู F</v>
          </cell>
          <cell r="E9158">
            <v>0</v>
          </cell>
          <cell r="F9158">
            <v>950</v>
          </cell>
        </row>
        <row r="9159">
          <cell r="A9159" t="str">
            <v>SP0693-F</v>
          </cell>
          <cell r="B9159" t="str">
            <v>P693</v>
          </cell>
          <cell r="C9159" t="str">
            <v>ซาติน แขนยาวขายาว Brown Bear ตาราง F</v>
          </cell>
          <cell r="E9159">
            <v>0</v>
          </cell>
          <cell r="F9159">
            <v>950</v>
          </cell>
        </row>
        <row r="9160">
          <cell r="A9160" t="str">
            <v>SP0696-F</v>
          </cell>
          <cell r="B9160" t="str">
            <v>P696</v>
          </cell>
          <cell r="C9160" t="str">
            <v>ซิลค์แจ็คการ์ด แขนยาวขายาว เย็บปัก อิโมจิ F</v>
          </cell>
          <cell r="E9160">
            <v>0</v>
          </cell>
          <cell r="F9160">
            <v>950</v>
          </cell>
        </row>
        <row r="9161">
          <cell r="A9161" t="str">
            <v>SP0706-XL</v>
          </cell>
          <cell r="B9161" t="str">
            <v>P706</v>
          </cell>
          <cell r="C9161" t="str">
            <v>ซาติน แขนยาวขายาว พื้นฟ้า เส้นขาว น้ำตาล XL</v>
          </cell>
          <cell r="E9161">
            <v>0</v>
          </cell>
          <cell r="F9161">
            <v>950</v>
          </cell>
        </row>
        <row r="9162">
          <cell r="A9162" t="str">
            <v>SP0707-F</v>
          </cell>
          <cell r="B9162" t="str">
            <v>P707</v>
          </cell>
          <cell r="C9162" t="str">
            <v>ซิลค์แจ็คการ์ด แขนยาวขายาว Heaven Garden F</v>
          </cell>
          <cell r="E9162">
            <v>0</v>
          </cell>
          <cell r="F9162">
            <v>950</v>
          </cell>
        </row>
        <row r="9163">
          <cell r="A9163" t="str">
            <v>SP0710-F</v>
          </cell>
          <cell r="B9163" t="str">
            <v>P710</v>
          </cell>
          <cell r="C9163" t="str">
            <v>ซาติน แขนยาวขายาว ลายไพ่ Cute F</v>
          </cell>
          <cell r="E9163">
            <v>0</v>
          </cell>
          <cell r="F9163">
            <v>950</v>
          </cell>
        </row>
        <row r="9164">
          <cell r="A9164" t="str">
            <v>SP0711-F</v>
          </cell>
          <cell r="B9164" t="str">
            <v>P711</v>
          </cell>
          <cell r="C9164" t="str">
            <v>ซิลค์แจ็คการ์ด แขนยาวขายาว ใบไม้เขียว พื้นชมพู F</v>
          </cell>
          <cell r="E9164">
            <v>0</v>
          </cell>
          <cell r="F9164">
            <v>950</v>
          </cell>
        </row>
        <row r="9165">
          <cell r="A9165" t="str">
            <v>SP0712-L</v>
          </cell>
          <cell r="B9165" t="str">
            <v>P712</v>
          </cell>
          <cell r="C9165" t="str">
            <v>ซาติน แขนยาวขายาว ลายคลื่น ใบไม้ Lavender L</v>
          </cell>
          <cell r="E9165">
            <v>0</v>
          </cell>
          <cell r="F9165">
            <v>950</v>
          </cell>
        </row>
        <row r="9166">
          <cell r="A9166" t="str">
            <v>SP0712-M</v>
          </cell>
          <cell r="B9166" t="str">
            <v>P712</v>
          </cell>
          <cell r="C9166" t="str">
            <v>ซาติน แขนยาวขายาว ลายคลื่น ใบไม้ Lavender M</v>
          </cell>
          <cell r="E9166">
            <v>0</v>
          </cell>
          <cell r="F9166">
            <v>950</v>
          </cell>
        </row>
        <row r="9167">
          <cell r="A9167" t="str">
            <v>SP0712-XL</v>
          </cell>
          <cell r="B9167" t="str">
            <v>P712</v>
          </cell>
          <cell r="C9167" t="str">
            <v>ซาติน แขนยาวขายาว ลายคลื่น ใบไม้ Lavender XL</v>
          </cell>
          <cell r="E9167">
            <v>0</v>
          </cell>
          <cell r="F9167">
            <v>950</v>
          </cell>
        </row>
        <row r="9168">
          <cell r="A9168" t="str">
            <v>SP0713-F</v>
          </cell>
          <cell r="B9168" t="str">
            <v>P713</v>
          </cell>
          <cell r="C9168" t="str">
            <v>ซิลค์แจ็คการ์ด แขนยาวขายาว กุหลาบ พื้นชมพู F</v>
          </cell>
          <cell r="E9168">
            <v>0</v>
          </cell>
          <cell r="F9168">
            <v>950</v>
          </cell>
        </row>
        <row r="9169">
          <cell r="A9169" t="str">
            <v>SP0714-F</v>
          </cell>
          <cell r="B9169" t="str">
            <v>P714</v>
          </cell>
          <cell r="C9169" t="str">
            <v>ซิลค์แจ็คการ์ด แขนยาวขายาว ดอกมะลิ ปกน้ำตาล F</v>
          </cell>
          <cell r="E9169">
            <v>0</v>
          </cell>
          <cell r="F9169">
            <v>950</v>
          </cell>
        </row>
        <row r="9170">
          <cell r="A9170" t="str">
            <v>SP0715-F</v>
          </cell>
          <cell r="B9170" t="str">
            <v>P715</v>
          </cell>
          <cell r="C9170" t="str">
            <v>ซิลค์แจ็คการ์ด แขนยาวขายาว ดอกไม้ชมพู ขอบชมพู F</v>
          </cell>
          <cell r="E9170">
            <v>0</v>
          </cell>
          <cell r="F9170">
            <v>950</v>
          </cell>
        </row>
        <row r="9171">
          <cell r="A9171" t="str">
            <v>SP0726-L</v>
          </cell>
          <cell r="B9171" t="str">
            <v>JP726</v>
          </cell>
          <cell r="C9171" t="str">
            <v>ซาติน แขนยาวขายาว พื้นม่วงล้วน ขอบขาว  L ตัวโชว์</v>
          </cell>
          <cell r="E9171">
            <v>0</v>
          </cell>
          <cell r="F9171">
            <v>950</v>
          </cell>
        </row>
        <row r="9172">
          <cell r="A9172" t="str">
            <v>SP0726-M</v>
          </cell>
          <cell r="B9172" t="str">
            <v>P726</v>
          </cell>
          <cell r="C9172" t="str">
            <v>ซาติน แขนยาวขายาว พื้นม่วงล้วน ขอบขาว  M</v>
          </cell>
          <cell r="E9172">
            <v>0</v>
          </cell>
          <cell r="F9172">
            <v>990</v>
          </cell>
        </row>
        <row r="9173">
          <cell r="A9173" t="str">
            <v>SP0726-S</v>
          </cell>
          <cell r="B9173" t="str">
            <v>JP726</v>
          </cell>
          <cell r="C9173" t="str">
            <v>ซาติน แขนยาวขายาว พื้นม่วงล้วน ขอบขาว  S ตัวโชว์</v>
          </cell>
          <cell r="E9173">
            <v>0</v>
          </cell>
          <cell r="F9173">
            <v>990</v>
          </cell>
        </row>
        <row r="9174">
          <cell r="A9174" t="str">
            <v>SP0727-L</v>
          </cell>
          <cell r="B9174" t="str">
            <v>P727</v>
          </cell>
          <cell r="C9174" t="str">
            <v>ซาติน แขนยาวขายาว พื้นชมพูล้วน ขอบขาว  L</v>
          </cell>
          <cell r="E9174">
            <v>0</v>
          </cell>
          <cell r="F9174">
            <v>990</v>
          </cell>
        </row>
        <row r="9175">
          <cell r="A9175" t="str">
            <v>SP0727-M</v>
          </cell>
          <cell r="B9175" t="str">
            <v>P727</v>
          </cell>
          <cell r="C9175" t="str">
            <v>ซาติน แขนยาวขายาว พื้นชมพูล้วน ขอบขาว  M</v>
          </cell>
          <cell r="E9175">
            <v>0</v>
          </cell>
          <cell r="F9175">
            <v>990</v>
          </cell>
        </row>
        <row r="9176">
          <cell r="A9176" t="str">
            <v>SP0727-S</v>
          </cell>
          <cell r="B9176" t="str">
            <v>P727</v>
          </cell>
          <cell r="C9176" t="str">
            <v>ซาติน แขนยาวขายาว พื้นชมพูล้วน ขอบขาว  S</v>
          </cell>
          <cell r="E9176">
            <v>0</v>
          </cell>
          <cell r="F9176">
            <v>990</v>
          </cell>
        </row>
        <row r="9177">
          <cell r="A9177" t="str">
            <v>SP0728-L</v>
          </cell>
          <cell r="B9177" t="str">
            <v>P728</v>
          </cell>
          <cell r="C9177" t="str">
            <v>ซาติน แขนยาวขายาว พื้นขาว ลายจุด กระเป๋าลูกไม้ Couple L (กปก)</v>
          </cell>
          <cell r="E9177">
            <v>0</v>
          </cell>
          <cell r="F9177">
            <v>950</v>
          </cell>
        </row>
        <row r="9178">
          <cell r="A9178" t="str">
            <v>SP0728-M</v>
          </cell>
          <cell r="B9178" t="str">
            <v>JP728</v>
          </cell>
          <cell r="C9178" t="str">
            <v>ซาติน แขนยาวขายาว พื้นขาว ลายจุด กระเป๋าลูกไม้ Couple M (กปก) ตัวโชว์</v>
          </cell>
          <cell r="E9178">
            <v>0</v>
          </cell>
          <cell r="F9178">
            <v>990</v>
          </cell>
        </row>
        <row r="9179">
          <cell r="A9179" t="str">
            <v>SP0729-L</v>
          </cell>
          <cell r="B9179" t="str">
            <v>P729</v>
          </cell>
          <cell r="C9179" t="str">
            <v>ซาติน แขนยาวขายาว พื้นชมพู ลายจุด กระเป๋าลูกไม้ Couple L (กปก)</v>
          </cell>
          <cell r="E9179">
            <v>0</v>
          </cell>
          <cell r="F9179">
            <v>950</v>
          </cell>
        </row>
        <row r="9180">
          <cell r="A9180" t="str">
            <v>SP0729-M</v>
          </cell>
          <cell r="B9180" t="str">
            <v>P729</v>
          </cell>
          <cell r="C9180" t="str">
            <v>ซาติน แขนยาวขายาว พื้นชมพู ลายจุด กระเป๋าลูกไม้ Couple M (กปก)</v>
          </cell>
          <cell r="E9180">
            <v>0</v>
          </cell>
          <cell r="F9180">
            <v>950</v>
          </cell>
        </row>
        <row r="9181">
          <cell r="A9181" t="str">
            <v>SP0730-L</v>
          </cell>
          <cell r="B9181" t="str">
            <v>P730</v>
          </cell>
          <cell r="C9181" t="str">
            <v>ซาติน แขนยาวขายาว พื้นครีม ดอกไม้หลาก ขอบชมพูนู้ด L</v>
          </cell>
          <cell r="E9181">
            <v>0</v>
          </cell>
          <cell r="F9181">
            <v>950</v>
          </cell>
        </row>
        <row r="9182">
          <cell r="A9182" t="str">
            <v>SP0730-M</v>
          </cell>
          <cell r="B9182" t="str">
            <v>P730</v>
          </cell>
          <cell r="C9182" t="str">
            <v>ซาติน แขนยาวขายาว พื้นครีม ดอกไม้หลาก ขอบชมพูนู้ด M</v>
          </cell>
          <cell r="E9182">
            <v>0</v>
          </cell>
          <cell r="F9182">
            <v>950</v>
          </cell>
        </row>
        <row r="9183">
          <cell r="A9183" t="str">
            <v>SP0731-F</v>
          </cell>
          <cell r="B9183" t="str">
            <v>JP731</v>
          </cell>
          <cell r="C9183" t="str">
            <v>ซาติน แขนยาวขายาว Pastel Dessert  F ตัวโชว์</v>
          </cell>
          <cell r="E9183">
            <v>0</v>
          </cell>
          <cell r="F9183">
            <v>950</v>
          </cell>
        </row>
        <row r="9184">
          <cell r="A9184" t="str">
            <v>SP0732-F</v>
          </cell>
          <cell r="B9184" t="str">
            <v>JP732</v>
          </cell>
          <cell r="C9184" t="str">
            <v>ซาติน แขนยาวขายาว กระรอก พาสเทล Rose F ตัวโชว์</v>
          </cell>
          <cell r="E9184">
            <v>0</v>
          </cell>
          <cell r="F9184">
            <v>950</v>
          </cell>
        </row>
        <row r="9185">
          <cell r="A9185" t="str">
            <v>SP0733-F</v>
          </cell>
          <cell r="B9185" t="str">
            <v>P733</v>
          </cell>
          <cell r="C9185" t="str">
            <v>ซิลค์แจ็คการ์ด แขนยาวขายาว ดอกลิลลี่ พื้นชมพู F</v>
          </cell>
          <cell r="E9185">
            <v>0</v>
          </cell>
          <cell r="F9185">
            <v>950</v>
          </cell>
        </row>
        <row r="9186">
          <cell r="A9186" t="str">
            <v>SP0734-F</v>
          </cell>
          <cell r="B9186" t="str">
            <v>P734</v>
          </cell>
          <cell r="C9186" t="str">
            <v>ซิลค์แจ็คการ์ด แขนยาวขายาว White Rose ระบายชมพู F</v>
          </cell>
          <cell r="E9186">
            <v>0</v>
          </cell>
          <cell r="F9186">
            <v>950</v>
          </cell>
        </row>
        <row r="9187">
          <cell r="A9187" t="str">
            <v>SP0735-F</v>
          </cell>
          <cell r="B9187" t="str">
            <v>P735</v>
          </cell>
          <cell r="C9187" t="str">
            <v>ซิลค์แจ็คการ์ด แขนยาวขายาว ดอกไม้คราม ปกเขียว F</v>
          </cell>
          <cell r="E9187">
            <v>0</v>
          </cell>
          <cell r="F9187">
            <v>950</v>
          </cell>
        </row>
        <row r="9188">
          <cell r="A9188" t="str">
            <v>SP0736-F</v>
          </cell>
          <cell r="B9188" t="str">
            <v>P736</v>
          </cell>
          <cell r="C9188" t="str">
            <v>ซิลค์แจ็คการ์ด แขนยาวขายาว น้องแมวโบว์เหลือง F</v>
          </cell>
          <cell r="E9188">
            <v>0</v>
          </cell>
          <cell r="F9188">
            <v>950</v>
          </cell>
        </row>
        <row r="9189">
          <cell r="A9189" t="str">
            <v>SP0737-F</v>
          </cell>
          <cell r="B9189" t="str">
            <v>P737</v>
          </cell>
          <cell r="C9189" t="str">
            <v>ซิลค์แจ็คการ์ด แขนยาวขายาว ดอกไม้ Colorful พื้นเขียวอ่อน F</v>
          </cell>
          <cell r="E9189">
            <v>0</v>
          </cell>
          <cell r="F9189">
            <v>950</v>
          </cell>
        </row>
        <row r="9190">
          <cell r="A9190" t="str">
            <v>SP0738-L</v>
          </cell>
          <cell r="B9190" t="str">
            <v>P738</v>
          </cell>
          <cell r="C9190" t="str">
            <v>ซาติน แขนยาวขายาว ดอกลิลลี่ พื้นชมพู L</v>
          </cell>
          <cell r="E9190">
            <v>0</v>
          </cell>
          <cell r="F9190">
            <v>950</v>
          </cell>
        </row>
        <row r="9191">
          <cell r="A9191" t="str">
            <v>SP0738-M</v>
          </cell>
          <cell r="B9191" t="str">
            <v>P738</v>
          </cell>
          <cell r="C9191" t="str">
            <v>ซาติน แขนยาวขายาว ดอกลิลลี่ พื้นชมพู M</v>
          </cell>
          <cell r="E9191">
            <v>0</v>
          </cell>
          <cell r="F9191">
            <v>950</v>
          </cell>
        </row>
        <row r="9192">
          <cell r="A9192" t="str">
            <v>SP0738-XL</v>
          </cell>
          <cell r="B9192" t="str">
            <v>P738</v>
          </cell>
          <cell r="C9192" t="str">
            <v>ซาติน แขนยาวขายาว ดอกลิลลี่ พื้นชมพู XL</v>
          </cell>
          <cell r="E9192">
            <v>0</v>
          </cell>
          <cell r="F9192">
            <v>950</v>
          </cell>
        </row>
        <row r="9193">
          <cell r="A9193" t="str">
            <v>SP0739-L</v>
          </cell>
          <cell r="B9193" t="str">
            <v>P739</v>
          </cell>
          <cell r="C9193" t="str">
            <v>ซาติน แขนยาวขายาว Tiger Flower พื้นชมพู L</v>
          </cell>
          <cell r="E9193">
            <v>0</v>
          </cell>
          <cell r="F9193">
            <v>990</v>
          </cell>
        </row>
        <row r="9194">
          <cell r="A9194" t="str">
            <v>SP0739-M</v>
          </cell>
          <cell r="B9194" t="str">
            <v>P739</v>
          </cell>
          <cell r="C9194" t="str">
            <v>ซาติน แขนยาวขายาว Tiger Flower พื้นชมพู M</v>
          </cell>
          <cell r="E9194">
            <v>0</v>
          </cell>
          <cell r="F9194">
            <v>990</v>
          </cell>
        </row>
        <row r="9195">
          <cell r="A9195" t="str">
            <v>SP0739-XL</v>
          </cell>
          <cell r="B9195" t="str">
            <v>JP739</v>
          </cell>
          <cell r="C9195" t="str">
            <v>ซาติน แขนยาวขายาว Tiger Flower พื้นชมพู XL ตัวโชว์</v>
          </cell>
          <cell r="E9195">
            <v>0</v>
          </cell>
          <cell r="F9195">
            <v>950</v>
          </cell>
        </row>
        <row r="9196">
          <cell r="A9196" t="str">
            <v>SP0741-F</v>
          </cell>
          <cell r="B9196" t="str">
            <v>P741</v>
          </cell>
          <cell r="C9196" t="str">
            <v>ซิลค์แจ็คการ์ด แขนยาวขายาว Brown Lotus พื้นขาว F</v>
          </cell>
          <cell r="E9196">
            <v>0</v>
          </cell>
          <cell r="F9196">
            <v>950</v>
          </cell>
        </row>
        <row r="9197">
          <cell r="A9197" t="str">
            <v>SP0742-L</v>
          </cell>
          <cell r="B9197" t="str">
            <v>P742</v>
          </cell>
          <cell r="C9197" t="str">
            <v>ซิลค์แจ็คการ์ด แขนยาวขายาว คิวปิด พื้นฟ้า L</v>
          </cell>
          <cell r="E9197">
            <v>0</v>
          </cell>
          <cell r="F9197">
            <v>990</v>
          </cell>
        </row>
        <row r="9198">
          <cell r="A9198" t="str">
            <v>SP0742-M</v>
          </cell>
          <cell r="B9198" t="str">
            <v>P742</v>
          </cell>
          <cell r="C9198" t="str">
            <v>ซิลค์แจ็คการ์ด แขนยาวขายาว คิวปิด พื้นฟ้า M</v>
          </cell>
          <cell r="E9198">
            <v>0</v>
          </cell>
          <cell r="F9198">
            <v>990</v>
          </cell>
        </row>
        <row r="9199">
          <cell r="A9199" t="str">
            <v>SP0742-XL</v>
          </cell>
          <cell r="B9199" t="str">
            <v>BP742</v>
          </cell>
          <cell r="C9199" t="str">
            <v>ซิลค์แจ็คการ์ด แขนยาวขายาว คิวปิด พื้นฟ้า XL</v>
          </cell>
          <cell r="E9199">
            <v>0</v>
          </cell>
          <cell r="F9199">
            <v>990</v>
          </cell>
        </row>
        <row r="9200">
          <cell r="A9200" t="str">
            <v>SP0744-L</v>
          </cell>
          <cell r="B9200" t="str">
            <v>BP744</v>
          </cell>
          <cell r="C9200" t="str">
            <v>ซาติน แขนยาวขายาว Black Flower tropical พื้นครีม L</v>
          </cell>
          <cell r="E9200">
            <v>0</v>
          </cell>
          <cell r="F9200">
            <v>990</v>
          </cell>
        </row>
        <row r="9201">
          <cell r="A9201" t="str">
            <v>SP0744-M</v>
          </cell>
          <cell r="B9201" t="str">
            <v>P744</v>
          </cell>
          <cell r="C9201" t="str">
            <v>ซาติน แขนยาวขายาว Black Flower tropical พื้นครีม M</v>
          </cell>
          <cell r="E9201">
            <v>0</v>
          </cell>
          <cell r="F9201">
            <v>950</v>
          </cell>
        </row>
        <row r="9202">
          <cell r="A9202" t="str">
            <v>SP0747-L</v>
          </cell>
          <cell r="B9202" t="str">
            <v>P747</v>
          </cell>
          <cell r="C9202" t="str">
            <v>ซาติน แขนยาวขายาว KAWS Bear ขอบดำ (กปก) L</v>
          </cell>
          <cell r="E9202">
            <v>0</v>
          </cell>
          <cell r="F9202">
            <v>990</v>
          </cell>
        </row>
        <row r="9203">
          <cell r="A9203" t="str">
            <v>SP0747-M</v>
          </cell>
          <cell r="B9203" t="str">
            <v>P747</v>
          </cell>
          <cell r="C9203" t="str">
            <v>ซาติน แขนยาวขายาว KAWS Bear ขอบดำ (กปก) M</v>
          </cell>
          <cell r="E9203">
            <v>0</v>
          </cell>
          <cell r="F9203">
            <v>990</v>
          </cell>
        </row>
        <row r="9204">
          <cell r="A9204" t="str">
            <v>SP0748-L</v>
          </cell>
          <cell r="B9204" t="str">
            <v>P748</v>
          </cell>
          <cell r="C9204" t="str">
            <v>ซาติน แขนยาวขายาว KAWS Bear ขอบฟ้า (กปก) L</v>
          </cell>
          <cell r="E9204">
            <v>0</v>
          </cell>
          <cell r="F9204">
            <v>950</v>
          </cell>
        </row>
        <row r="9205">
          <cell r="A9205" t="str">
            <v>SP0748-M</v>
          </cell>
          <cell r="B9205" t="str">
            <v>JP748</v>
          </cell>
          <cell r="C9205" t="str">
            <v>ซาติน แขนยาวขายาว KAWS Bear ขอบฟ้า (กปก) M ตัวโชว์</v>
          </cell>
          <cell r="E9205">
            <v>0</v>
          </cell>
          <cell r="F9205">
            <v>950</v>
          </cell>
        </row>
        <row r="9206">
          <cell r="A9206" t="str">
            <v>SP0749-L</v>
          </cell>
          <cell r="B9206" t="str">
            <v>P749</v>
          </cell>
          <cell r="C9206" t="str">
            <v>ซาติน แขนยาวขายาว ดอกไม้เล็ก เขียวชมพู พื้นครีม L</v>
          </cell>
          <cell r="E9206">
            <v>0</v>
          </cell>
          <cell r="F9206">
            <v>990</v>
          </cell>
        </row>
        <row r="9207">
          <cell r="A9207" t="str">
            <v>SP0749-M</v>
          </cell>
          <cell r="B9207" t="str">
            <v>P749</v>
          </cell>
          <cell r="C9207" t="str">
            <v>ซาติน แขนยาวขายาว ดอกไม้เล็ก เขียวชมพู พื้นครีม M</v>
          </cell>
          <cell r="E9207">
            <v>0</v>
          </cell>
          <cell r="F9207">
            <v>990</v>
          </cell>
        </row>
        <row r="9208">
          <cell r="A9208" t="str">
            <v>SP0750-L</v>
          </cell>
          <cell r="B9208" t="str">
            <v>P750</v>
          </cell>
          <cell r="C9208" t="str">
            <v>ซาติน แขนยาวขายาว โยคะแบร์ พื้นส้ม L</v>
          </cell>
          <cell r="E9208">
            <v>0</v>
          </cell>
          <cell r="F9208">
            <v>990</v>
          </cell>
        </row>
        <row r="9209">
          <cell r="A9209" t="str">
            <v>SP0750-M</v>
          </cell>
          <cell r="B9209" t="str">
            <v>P750</v>
          </cell>
          <cell r="C9209" t="str">
            <v>ซาติน แขนยาวขายาว โยคะแบร์ พื้นส้ม M</v>
          </cell>
          <cell r="E9209">
            <v>0</v>
          </cell>
          <cell r="F9209">
            <v>990</v>
          </cell>
        </row>
        <row r="9210">
          <cell r="A9210" t="str">
            <v>SP0752-F</v>
          </cell>
          <cell r="B9210" t="str">
            <v>P752</v>
          </cell>
          <cell r="C9210" t="str">
            <v>ซิลค์แจ็คการ์ด แขนยาวขายาว เชือก ส้ม ฟ้า F</v>
          </cell>
          <cell r="E9210">
            <v>0</v>
          </cell>
          <cell r="F9210">
            <v>950</v>
          </cell>
        </row>
        <row r="9211">
          <cell r="A9211" t="str">
            <v>SP0753-F</v>
          </cell>
          <cell r="B9211" t="str">
            <v>JP753</v>
          </cell>
          <cell r="C9211" t="str">
            <v>ซิลค์แจ็คการ์ด แขนยาวขายาว โซ่ ตาราง พื้นครีม ขอบแดง F ตัวโชว์</v>
          </cell>
          <cell r="E9211">
            <v>0</v>
          </cell>
          <cell r="F9211">
            <v>950</v>
          </cell>
        </row>
        <row r="9212">
          <cell r="A9212" t="str">
            <v>SP0754-F</v>
          </cell>
          <cell r="B9212" t="str">
            <v>P754</v>
          </cell>
          <cell r="C9212" t="str">
            <v>ซาติน แขนยาวขายาว Puzzle F</v>
          </cell>
          <cell r="E9212">
            <v>0</v>
          </cell>
          <cell r="F9212">
            <v>950</v>
          </cell>
        </row>
        <row r="9213">
          <cell r="A9213" t="str">
            <v>SP0755-F</v>
          </cell>
          <cell r="B9213" t="str">
            <v>P755</v>
          </cell>
          <cell r="C9213" t="str">
            <v>ซิลค์แจ็คการ์ด แขนยาวขายาว เสือ พืนชมพู ปกส้มฟ้า F</v>
          </cell>
          <cell r="E9213">
            <v>0</v>
          </cell>
          <cell r="F9213">
            <v>990</v>
          </cell>
        </row>
        <row r="9214">
          <cell r="A9214" t="str">
            <v>SP0756-L</v>
          </cell>
          <cell r="B9214" t="str">
            <v>P756</v>
          </cell>
          <cell r="C9214" t="str">
            <v>ซาติน แขนยาวขายาว โยคะแบร์ พื้นครีม L</v>
          </cell>
          <cell r="E9214">
            <v>0</v>
          </cell>
          <cell r="F9214">
            <v>990</v>
          </cell>
        </row>
        <row r="9215">
          <cell r="A9215" t="str">
            <v>SP0756-M</v>
          </cell>
          <cell r="B9215" t="str">
            <v>P756</v>
          </cell>
          <cell r="C9215" t="str">
            <v>ซาติน แขนยาวขายาว โยคะแบร์ พื้นครีม M</v>
          </cell>
          <cell r="E9215">
            <v>0</v>
          </cell>
          <cell r="F9215">
            <v>990</v>
          </cell>
        </row>
        <row r="9216">
          <cell r="A9216" t="str">
            <v>SP0757-L</v>
          </cell>
          <cell r="B9216" t="str">
            <v>P757</v>
          </cell>
          <cell r="C9216" t="str">
            <v>ซาติน แขนยาวขายาว Baby Bear พื้นครีม หัวใจฟ้า L</v>
          </cell>
          <cell r="E9216">
            <v>0</v>
          </cell>
          <cell r="F9216">
            <v>950</v>
          </cell>
        </row>
        <row r="9217">
          <cell r="A9217" t="str">
            <v>SP0757-M</v>
          </cell>
          <cell r="B9217" t="str">
            <v>JP757</v>
          </cell>
          <cell r="C9217" t="str">
            <v>ซาติน แขนยาวขายาว Baby Bear พื้นครีม หัวใจฟ้า M ตัวโชว์</v>
          </cell>
          <cell r="E9217">
            <v>0</v>
          </cell>
          <cell r="F9217">
            <v>950</v>
          </cell>
        </row>
        <row r="9218">
          <cell r="A9218" t="str">
            <v>SP0758-F</v>
          </cell>
          <cell r="B9218" t="str">
            <v>P758</v>
          </cell>
          <cell r="C9218" t="str">
            <v>ซิลค์แจ็คการ์ด แขนยาวขายาว แมวมารี ชมพู F</v>
          </cell>
          <cell r="E9218">
            <v>0</v>
          </cell>
          <cell r="F9218">
            <v>950</v>
          </cell>
        </row>
        <row r="9219">
          <cell r="A9219" t="str">
            <v>SP0759-F</v>
          </cell>
          <cell r="B9219" t="str">
            <v>JP759</v>
          </cell>
          <cell r="C9219" t="str">
            <v>ซิลค์แจ็คการ์ด แขนยาวขายาว น้อนหมีชมพูจุด F ตัวโชว์</v>
          </cell>
          <cell r="E9219">
            <v>0</v>
          </cell>
          <cell r="F9219">
            <v>950</v>
          </cell>
        </row>
        <row r="9220">
          <cell r="A9220" t="str">
            <v>SP0760-F</v>
          </cell>
          <cell r="B9220" t="str">
            <v>P760</v>
          </cell>
          <cell r="C9220" t="str">
            <v>ซิลค์แจ็คการ์ด แขนยาวขายาว มิ๊กกี้ ปกชมพู F</v>
          </cell>
          <cell r="E9220">
            <v>0</v>
          </cell>
          <cell r="F9220">
            <v>950</v>
          </cell>
        </row>
        <row r="9221">
          <cell r="A9221" t="str">
            <v>SP0763-L</v>
          </cell>
          <cell r="B9221" t="str">
            <v>JP763</v>
          </cell>
          <cell r="C9221" t="str">
            <v>ซาติน แขนยาวขายาว ก้อนเมฆ ลายพราง พื้นฟ้า L ตัวโชว์</v>
          </cell>
          <cell r="E9221">
            <v>0</v>
          </cell>
          <cell r="F9221">
            <v>950</v>
          </cell>
        </row>
        <row r="9222">
          <cell r="A9222" t="str">
            <v>SP0763-M</v>
          </cell>
          <cell r="B9222" t="str">
            <v>P763</v>
          </cell>
          <cell r="C9222" t="str">
            <v>ซาติน แขนยาวขายาว ก้อนเมฆ ลายพราง พื้นฟ้า M</v>
          </cell>
          <cell r="E9222">
            <v>0</v>
          </cell>
          <cell r="F9222">
            <v>990</v>
          </cell>
        </row>
        <row r="9223">
          <cell r="A9223" t="str">
            <v>SP0764-L</v>
          </cell>
          <cell r="B9223" t="str">
            <v>P764</v>
          </cell>
          <cell r="C9223" t="str">
            <v>ซาติน แขนยาวขายาว ก้อนเมฆ ลายพราง พื้นเหลือง L</v>
          </cell>
          <cell r="E9223">
            <v>0</v>
          </cell>
          <cell r="F9223">
            <v>990</v>
          </cell>
        </row>
        <row r="9224">
          <cell r="A9224" t="str">
            <v>SP0764-M</v>
          </cell>
          <cell r="B9224" t="str">
            <v>P764</v>
          </cell>
          <cell r="C9224" t="str">
            <v>ซาติน แขนยาวขายาว ก้อนเมฆ ลายพราง พื้นเหลือง M</v>
          </cell>
          <cell r="E9224">
            <v>0</v>
          </cell>
          <cell r="F9224">
            <v>990</v>
          </cell>
        </row>
        <row r="9225">
          <cell r="A9225" t="str">
            <v>SP0770-L</v>
          </cell>
          <cell r="B9225" t="str">
            <v>P770</v>
          </cell>
          <cell r="C9225" t="str">
            <v>ซาติน แขนยาวขายาว พื้นเขียว หมีมุก (กปก) L</v>
          </cell>
          <cell r="E9225">
            <v>0</v>
          </cell>
          <cell r="F9225">
            <v>990</v>
          </cell>
        </row>
        <row r="9226">
          <cell r="A9226" t="str">
            <v>SP0770-M</v>
          </cell>
          <cell r="B9226" t="str">
            <v>P770</v>
          </cell>
          <cell r="C9226" t="str">
            <v>ซาติน แขนยาวขายาว พื้นเขียว หมีมุก (กปก) M</v>
          </cell>
          <cell r="E9226">
            <v>0</v>
          </cell>
          <cell r="F9226">
            <v>990</v>
          </cell>
        </row>
        <row r="9227">
          <cell r="A9227" t="str">
            <v>SP0771-L</v>
          </cell>
          <cell r="B9227" t="str">
            <v>P771</v>
          </cell>
          <cell r="C9227" t="str">
            <v>ซาติน แขนยาวขายาว ตาราง หัวใจ เขียว (กปก) L</v>
          </cell>
          <cell r="E9227">
            <v>0</v>
          </cell>
          <cell r="F9227">
            <v>950</v>
          </cell>
        </row>
        <row r="9228">
          <cell r="A9228" t="str">
            <v>SP0771-M</v>
          </cell>
          <cell r="B9228" t="str">
            <v>JP771</v>
          </cell>
          <cell r="C9228" t="str">
            <v>ซาติน แขนยาวขายาว ตาราง หัวใจ เขียว (กปก) M ตัวโชว์</v>
          </cell>
          <cell r="E9228">
            <v>0</v>
          </cell>
          <cell r="F9228">
            <v>950</v>
          </cell>
        </row>
        <row r="9229">
          <cell r="A9229" t="str">
            <v>SP0773-F</v>
          </cell>
          <cell r="B9229" t="str">
            <v>JP773</v>
          </cell>
          <cell r="C9229" t="str">
            <v>ซิลค์แจ็คการ์ด แขนยาวขายาว ชิโนริ เบลท์ F ตัวโชว์</v>
          </cell>
          <cell r="E9229">
            <v>0</v>
          </cell>
          <cell r="F9229">
            <v>950</v>
          </cell>
        </row>
        <row r="9230">
          <cell r="A9230" t="str">
            <v>SP0774-F</v>
          </cell>
          <cell r="B9230" t="str">
            <v>JP774</v>
          </cell>
          <cell r="C9230" t="str">
            <v>ซิลค์แจ็คการ์ด แขนยาวขายาว ดอกบัวม่วง F ตัวโชว์</v>
          </cell>
          <cell r="E9230">
            <v>0</v>
          </cell>
          <cell r="F9230">
            <v>950</v>
          </cell>
        </row>
        <row r="9231">
          <cell r="A9231" t="str">
            <v>SP0775-F</v>
          </cell>
          <cell r="B9231" t="str">
            <v>JP775</v>
          </cell>
          <cell r="C9231" t="str">
            <v>ซิลค์แจ็คการ์ด แขนยาวขายาว อลิซ พื้นครีม F ตัวโชว์</v>
          </cell>
          <cell r="E9231">
            <v>0</v>
          </cell>
          <cell r="F9231">
            <v>950</v>
          </cell>
        </row>
        <row r="9232">
          <cell r="A9232" t="str">
            <v>SP0777-L</v>
          </cell>
          <cell r="B9232" t="str">
            <v>JP777</v>
          </cell>
          <cell r="C9232" t="str">
            <v>ซาติน แขนยาวขายาว ตาราง ชมพู กระเป๋า V L ตัวโชว์</v>
          </cell>
          <cell r="E9232">
            <v>0</v>
          </cell>
          <cell r="F9232">
            <v>950</v>
          </cell>
        </row>
        <row r="9233">
          <cell r="A9233" t="str">
            <v>SP0777-M</v>
          </cell>
          <cell r="B9233" t="str">
            <v>JP777</v>
          </cell>
          <cell r="C9233" t="str">
            <v>ซาติน แขนยาวขายาว ตาราง ชมพู กระเป๋า V M ตัวโชว์</v>
          </cell>
          <cell r="E9233">
            <v>0</v>
          </cell>
          <cell r="F9233">
            <v>950</v>
          </cell>
        </row>
        <row r="9234">
          <cell r="A9234" t="str">
            <v>SP0778-L</v>
          </cell>
          <cell r="B9234" t="str">
            <v>P778</v>
          </cell>
          <cell r="C9234" t="str">
            <v>ซาติน แขนยาวขายาว พื้นชมพู กระเป๋าสนูปปี้ คอระบาย L</v>
          </cell>
          <cell r="E9234">
            <v>0</v>
          </cell>
          <cell r="F9234">
            <v>950</v>
          </cell>
        </row>
        <row r="9235">
          <cell r="A9235" t="str">
            <v>SP0778-M</v>
          </cell>
          <cell r="B9235" t="str">
            <v>JP778</v>
          </cell>
          <cell r="C9235" t="str">
            <v>ซาติน แขนยาวขายาว พื้นชมพู กระเป๋าสนูปปี้ คอระบาย M ตัวโชว์</v>
          </cell>
          <cell r="E9235">
            <v>0</v>
          </cell>
          <cell r="F9235">
            <v>990</v>
          </cell>
        </row>
        <row r="9236">
          <cell r="A9236" t="str">
            <v>SP0778-XL</v>
          </cell>
          <cell r="B9236" t="str">
            <v>JP778</v>
          </cell>
          <cell r="C9236" t="str">
            <v>ซาติน แขนยาวขายาว พื้นชมพู กระเป๋าสนูปปี้ คอระบาย XL ตัวโชว์</v>
          </cell>
          <cell r="E9236">
            <v>0</v>
          </cell>
          <cell r="F9236">
            <v>950</v>
          </cell>
        </row>
        <row r="9237">
          <cell r="A9237" t="str">
            <v>SP0779-L</v>
          </cell>
          <cell r="B9237" t="str">
            <v>JP779</v>
          </cell>
          <cell r="C9237" t="str">
            <v>ซาติน แขนยาวขายาว พื้นดำ ขอบชมพู L ตัวโชว์</v>
          </cell>
          <cell r="E9237">
            <v>0</v>
          </cell>
          <cell r="F9237">
            <v>950</v>
          </cell>
        </row>
        <row r="9238">
          <cell r="A9238" t="str">
            <v>SP0779-M</v>
          </cell>
          <cell r="B9238" t="str">
            <v>BP779</v>
          </cell>
          <cell r="C9238" t="str">
            <v>ซาติน แขนยาวขายาว พื้นดำ ขอบชมพู M</v>
          </cell>
          <cell r="E9238">
            <v>0</v>
          </cell>
          <cell r="F9238">
            <v>990</v>
          </cell>
        </row>
        <row r="9239">
          <cell r="A9239" t="str">
            <v>SP0779-XL</v>
          </cell>
          <cell r="B9239" t="str">
            <v>JP779</v>
          </cell>
          <cell r="C9239" t="str">
            <v>ซาติน แขนยาวขายาว พื้นดำ ขอบชมพู XL</v>
          </cell>
          <cell r="E9239">
            <v>0</v>
          </cell>
          <cell r="F9239">
            <v>950</v>
          </cell>
        </row>
        <row r="9240">
          <cell r="A9240" t="str">
            <v>SP0782-L</v>
          </cell>
          <cell r="B9240" t="str">
            <v>JP782</v>
          </cell>
          <cell r="C9240" t="str">
            <v>ซาติน แขนยาวขายาว Wild Animal พื้นเขียว L ตัวโชว์</v>
          </cell>
          <cell r="E9240">
            <v>0</v>
          </cell>
          <cell r="F9240">
            <v>950</v>
          </cell>
        </row>
        <row r="9241">
          <cell r="A9241" t="str">
            <v>SP0782-M</v>
          </cell>
          <cell r="B9241" t="str">
            <v>JP782</v>
          </cell>
          <cell r="C9241" t="str">
            <v>ซาติน แขนยาวขายาว Wild Animal พื้นเขียว M ตัวโชว์</v>
          </cell>
          <cell r="E9241">
            <v>0</v>
          </cell>
          <cell r="F9241">
            <v>950</v>
          </cell>
        </row>
        <row r="9242">
          <cell r="A9242" t="str">
            <v>SP0782-XL</v>
          </cell>
          <cell r="B9242" t="str">
            <v>JP782</v>
          </cell>
          <cell r="C9242" t="str">
            <v>ซาติน แขนยาวขายาว Wild Animal พื้นเขียว XL ตัวโชว์</v>
          </cell>
          <cell r="E9242">
            <v>0</v>
          </cell>
          <cell r="F9242">
            <v>950</v>
          </cell>
        </row>
        <row r="9243">
          <cell r="A9243" t="str">
            <v>SP0785-F</v>
          </cell>
          <cell r="B9243" t="str">
            <v>JP785</v>
          </cell>
          <cell r="C9243" t="str">
            <v>ซิลค์แจ็คการ์ด แขนยาวขายาว ลายหัวใจ พื้นขาว ปกเขียว F ตัวโชว์</v>
          </cell>
          <cell r="E9243">
            <v>0</v>
          </cell>
          <cell r="F9243">
            <v>950</v>
          </cell>
        </row>
        <row r="9244">
          <cell r="A9244" t="str">
            <v>SP0786-L</v>
          </cell>
          <cell r="B9244" t="str">
            <v>P786</v>
          </cell>
          <cell r="C9244" t="str">
            <v>ซาติน แขนยาวขายาว พื้นแดง ลายดอกไม้ฟ้า L</v>
          </cell>
          <cell r="E9244">
            <v>0</v>
          </cell>
          <cell r="F9244">
            <v>990</v>
          </cell>
        </row>
        <row r="9245">
          <cell r="A9245" t="str">
            <v>SP0786-M</v>
          </cell>
          <cell r="B9245" t="str">
            <v>P786</v>
          </cell>
          <cell r="C9245" t="str">
            <v>ซาติน แขนยาวขายาว พื้นแดง ลายดอกไม้ฟ้า M</v>
          </cell>
          <cell r="E9245">
            <v>0</v>
          </cell>
          <cell r="F9245">
            <v>990</v>
          </cell>
        </row>
        <row r="9246">
          <cell r="A9246" t="str">
            <v>SP0786-XL</v>
          </cell>
          <cell r="B9246" t="str">
            <v>P786</v>
          </cell>
          <cell r="C9246" t="str">
            <v>ซาติน แขนยาวขายาว พื้นแดง ลายดอกไม้ฟ้า XL</v>
          </cell>
          <cell r="E9246">
            <v>0</v>
          </cell>
          <cell r="F9246">
            <v>990</v>
          </cell>
        </row>
        <row r="9247">
          <cell r="A9247" t="str">
            <v>SP0788-L</v>
          </cell>
          <cell r="B9247" t="str">
            <v>P788</v>
          </cell>
          <cell r="C9247" t="str">
            <v>ซาติน แขนยาวขายาว ดอกกุหลาบ ปกชมพู L</v>
          </cell>
          <cell r="E9247">
            <v>0</v>
          </cell>
          <cell r="F9247">
            <v>950</v>
          </cell>
        </row>
        <row r="9248">
          <cell r="A9248" t="str">
            <v>SP0788-M</v>
          </cell>
          <cell r="B9248" t="str">
            <v>JP788</v>
          </cell>
          <cell r="C9248" t="str">
            <v>ซาติน แขนยาวขายาว ดอกกุหลาบ ปกชมพู M ตัวโชว์</v>
          </cell>
          <cell r="E9248">
            <v>0</v>
          </cell>
          <cell r="F9248">
            <v>950</v>
          </cell>
        </row>
        <row r="9249">
          <cell r="A9249" t="str">
            <v>SP0788-XL</v>
          </cell>
          <cell r="B9249" t="str">
            <v>P788</v>
          </cell>
          <cell r="C9249" t="str">
            <v>ซาติน แขนยาวขายาว ดอกกุหลาบ ปกชมพู XL</v>
          </cell>
          <cell r="E9249">
            <v>0</v>
          </cell>
          <cell r="F9249">
            <v>950</v>
          </cell>
        </row>
        <row r="9250">
          <cell r="A9250" t="str">
            <v>SP0791-L</v>
          </cell>
          <cell r="B9250" t="str">
            <v>P791</v>
          </cell>
          <cell r="C9250" t="str">
            <v>ซาติน แขนยาวขายาว COCKTAIL PEACH L</v>
          </cell>
          <cell r="E9250">
            <v>0</v>
          </cell>
          <cell r="F9250">
            <v>990</v>
          </cell>
        </row>
        <row r="9251">
          <cell r="A9251" t="str">
            <v>SP0791-M</v>
          </cell>
          <cell r="B9251" t="str">
            <v>P791</v>
          </cell>
          <cell r="C9251" t="str">
            <v>ซาติน แขนยาวขายาว COCKTAIL PEACH M</v>
          </cell>
          <cell r="E9251">
            <v>0</v>
          </cell>
          <cell r="F9251">
            <v>950</v>
          </cell>
        </row>
        <row r="9252">
          <cell r="A9252" t="str">
            <v>SP0791-XL</v>
          </cell>
          <cell r="B9252" t="str">
            <v>P791</v>
          </cell>
          <cell r="C9252" t="str">
            <v>ซาติน แขนยาวขายาว COCKTAIL PEACH XL</v>
          </cell>
          <cell r="E9252">
            <v>0</v>
          </cell>
          <cell r="F9252">
            <v>990</v>
          </cell>
        </row>
        <row r="9253">
          <cell r="A9253" t="str">
            <v>SP0792-2XL</v>
          </cell>
          <cell r="B9253" t="str">
            <v>P792</v>
          </cell>
          <cell r="C9253" t="str">
            <v>ซาติน แขนยาวขายาว ป่าหิมพาน ปกตาราง 2XL</v>
          </cell>
          <cell r="E9253">
            <v>0</v>
          </cell>
          <cell r="F9253">
            <v>1090</v>
          </cell>
        </row>
        <row r="9254">
          <cell r="A9254" t="str">
            <v>SP0792-L</v>
          </cell>
          <cell r="B9254" t="str">
            <v>P792</v>
          </cell>
          <cell r="C9254" t="str">
            <v>ซาติน แขนยาวขายาว ป่าหิมพาน ปกตาราง L</v>
          </cell>
          <cell r="E9254">
            <v>0</v>
          </cell>
          <cell r="F9254">
            <v>1090</v>
          </cell>
        </row>
        <row r="9255">
          <cell r="A9255" t="str">
            <v>SP0792-M</v>
          </cell>
          <cell r="B9255" t="str">
            <v>P792</v>
          </cell>
          <cell r="C9255" t="str">
            <v>ซาติน แขนยาวขายาว ป่าหิมพาน ปกตาราง M</v>
          </cell>
          <cell r="E9255">
            <v>0</v>
          </cell>
          <cell r="F9255">
            <v>1090</v>
          </cell>
        </row>
        <row r="9256">
          <cell r="A9256" t="str">
            <v>SP0792-XL</v>
          </cell>
          <cell r="B9256" t="str">
            <v>P792</v>
          </cell>
          <cell r="C9256" t="str">
            <v>ซาติน แขนยาวขายาว ป่าหิมพาน ปกตาราง XL</v>
          </cell>
          <cell r="E9256">
            <v>0</v>
          </cell>
          <cell r="F9256">
            <v>1090</v>
          </cell>
        </row>
        <row r="9257">
          <cell r="A9257" t="str">
            <v>SP0793-L</v>
          </cell>
          <cell r="B9257" t="str">
            <v>JP793</v>
          </cell>
          <cell r="C9257" t="str">
            <v>ซาติน แขนยาวขายาว บอนไซ ปกเขียว L</v>
          </cell>
          <cell r="E9257">
            <v>0</v>
          </cell>
          <cell r="F9257">
            <v>950</v>
          </cell>
        </row>
        <row r="9258">
          <cell r="A9258" t="str">
            <v>SP0793-M</v>
          </cell>
          <cell r="B9258" t="str">
            <v>JP793</v>
          </cell>
          <cell r="C9258" t="str">
            <v>ซาติน แขนยาวขายาว บอนไซ ปกเขียว M</v>
          </cell>
          <cell r="E9258">
            <v>0</v>
          </cell>
          <cell r="F9258">
            <v>950</v>
          </cell>
        </row>
        <row r="9259">
          <cell r="A9259" t="str">
            <v>SP0794-F</v>
          </cell>
          <cell r="B9259" t="str">
            <v>JP794</v>
          </cell>
          <cell r="C9259" t="str">
            <v>ซิลค์แจ็คการ์ด แขนยาวขายาว โกดั๊ก เหลือง F ตัวโชว์</v>
          </cell>
          <cell r="E9259">
            <v>0</v>
          </cell>
          <cell r="F9259">
            <v>950</v>
          </cell>
        </row>
        <row r="9260">
          <cell r="A9260" t="str">
            <v>SP0795-F</v>
          </cell>
          <cell r="B9260" t="str">
            <v>P795</v>
          </cell>
          <cell r="C9260" t="str">
            <v>ซิลค์แจ็คการ์ด แขนยาวขายาว โพล่าแบร์ ปกชมพู F</v>
          </cell>
          <cell r="E9260">
            <v>0</v>
          </cell>
          <cell r="F9260">
            <v>990</v>
          </cell>
        </row>
        <row r="9261">
          <cell r="A9261" t="str">
            <v>SP0796-F</v>
          </cell>
          <cell r="B9261" t="str">
            <v>JP796</v>
          </cell>
          <cell r="C9261" t="str">
            <v>ซิลค์แจ็คการ์ด แขนยาวขายาว เดซี่ พื้นชมพู F ตัวโชว์</v>
          </cell>
          <cell r="E9261">
            <v>0</v>
          </cell>
          <cell r="F9261">
            <v>950</v>
          </cell>
        </row>
        <row r="9262">
          <cell r="A9262" t="str">
            <v>SP0797-2XL</v>
          </cell>
          <cell r="B9262" t="str">
            <v>P797</v>
          </cell>
          <cell r="C9262" t="str">
            <v>ซาติน แขนยาวขายาว Green Village (กปก) 2XL</v>
          </cell>
          <cell r="E9262">
            <v>0</v>
          </cell>
          <cell r="F9262">
            <v>990</v>
          </cell>
        </row>
        <row r="9263">
          <cell r="A9263" t="str">
            <v>SP0797-3XL</v>
          </cell>
          <cell r="B9263" t="str">
            <v>P797</v>
          </cell>
          <cell r="C9263" t="str">
            <v>ซาติน แขนยาวขายาว Green Village (กปก) 3XL</v>
          </cell>
          <cell r="E9263">
            <v>0</v>
          </cell>
          <cell r="F9263">
            <v>990</v>
          </cell>
        </row>
        <row r="9264">
          <cell r="A9264" t="str">
            <v>SP0797-L</v>
          </cell>
          <cell r="B9264" t="str">
            <v>P797</v>
          </cell>
          <cell r="C9264" t="str">
            <v>ซาติน แขนยาวขายาว Green Village (กปก) L</v>
          </cell>
          <cell r="E9264">
            <v>0</v>
          </cell>
          <cell r="F9264">
            <v>990</v>
          </cell>
        </row>
        <row r="9265">
          <cell r="A9265" t="str">
            <v>SP0797-M</v>
          </cell>
          <cell r="B9265" t="str">
            <v>P797</v>
          </cell>
          <cell r="C9265" t="str">
            <v>ซาติน แขนยาวขายาว Green Village (กปก) M</v>
          </cell>
          <cell r="E9265">
            <v>0</v>
          </cell>
          <cell r="F9265">
            <v>990</v>
          </cell>
        </row>
        <row r="9266">
          <cell r="A9266" t="str">
            <v>SP0797-XL</v>
          </cell>
          <cell r="B9266" t="str">
            <v>P797</v>
          </cell>
          <cell r="C9266" t="str">
            <v>ซาติน แขนยาวขายาว Green Village (กปก) XL</v>
          </cell>
          <cell r="E9266">
            <v>0</v>
          </cell>
          <cell r="F9266">
            <v>990</v>
          </cell>
        </row>
        <row r="9267">
          <cell r="A9267" t="str">
            <v>SP0798-2XL</v>
          </cell>
          <cell r="B9267" t="str">
            <v>P798</v>
          </cell>
          <cell r="C9267" t="str">
            <v>ซาติน แขนยาวขายาว Red Village (กปก) 2XL</v>
          </cell>
          <cell r="E9267">
            <v>0</v>
          </cell>
          <cell r="F9267">
            <v>990</v>
          </cell>
        </row>
        <row r="9268">
          <cell r="A9268" t="str">
            <v>SP0798-3XL</v>
          </cell>
          <cell r="B9268" t="str">
            <v>P798</v>
          </cell>
          <cell r="C9268" t="str">
            <v>ซาติน แขนยาวขายาว Red Village (กปก) 3XL</v>
          </cell>
          <cell r="E9268">
            <v>0</v>
          </cell>
          <cell r="F9268">
            <v>990</v>
          </cell>
        </row>
        <row r="9269">
          <cell r="A9269" t="str">
            <v>SP0798-L</v>
          </cell>
          <cell r="B9269" t="str">
            <v>P798</v>
          </cell>
          <cell r="C9269" t="str">
            <v>ซาติน แขนยาวขายาว Red Village (กปก) L</v>
          </cell>
          <cell r="E9269">
            <v>0</v>
          </cell>
          <cell r="F9269">
            <v>990</v>
          </cell>
        </row>
        <row r="9270">
          <cell r="A9270" t="str">
            <v>SP0798-M</v>
          </cell>
          <cell r="B9270" t="str">
            <v>P798</v>
          </cell>
          <cell r="C9270" t="str">
            <v>ซาติน แขนยาวขายาว Red Village (กปก) M</v>
          </cell>
          <cell r="E9270">
            <v>0</v>
          </cell>
          <cell r="F9270">
            <v>990</v>
          </cell>
        </row>
        <row r="9271">
          <cell r="A9271" t="str">
            <v>SP0798-XL</v>
          </cell>
          <cell r="B9271" t="str">
            <v>P798</v>
          </cell>
          <cell r="C9271" t="str">
            <v>ซาติน แขนยาวขายาว Red Village (กปก) XL</v>
          </cell>
          <cell r="E9271">
            <v>0</v>
          </cell>
          <cell r="F9271">
            <v>990</v>
          </cell>
        </row>
        <row r="9272">
          <cell r="A9272" t="str">
            <v>SP0799-L</v>
          </cell>
          <cell r="B9272" t="str">
            <v>P799</v>
          </cell>
          <cell r="C9272" t="str">
            <v>ซาติน แขนยาวขายาว พื้นดำคราม ขอบครีม L</v>
          </cell>
          <cell r="E9272">
            <v>0</v>
          </cell>
          <cell r="F9272">
            <v>950</v>
          </cell>
        </row>
        <row r="9273">
          <cell r="A9273" t="str">
            <v>SP0799-M</v>
          </cell>
          <cell r="B9273" t="str">
            <v>P799</v>
          </cell>
          <cell r="C9273" t="str">
            <v>ซาติน แขนยาวขายาว พื้นดำคราม ขอบครีม M</v>
          </cell>
          <cell r="E9273">
            <v>0</v>
          </cell>
          <cell r="F9273">
            <v>950</v>
          </cell>
        </row>
        <row r="9274">
          <cell r="A9274" t="str">
            <v>SP0799-XL</v>
          </cell>
          <cell r="B9274" t="str">
            <v>P799</v>
          </cell>
          <cell r="C9274" t="str">
            <v>ซาติน แขนยาวขายาว พื้นดำคราม ขอบครีม XL</v>
          </cell>
          <cell r="E9274">
            <v>0</v>
          </cell>
          <cell r="F9274">
            <v>950</v>
          </cell>
        </row>
        <row r="9275">
          <cell r="A9275" t="str">
            <v>SP0801-L</v>
          </cell>
          <cell r="B9275" t="str">
            <v>P801</v>
          </cell>
          <cell r="C9275" t="str">
            <v>ซาติน แขนยาวขายาว พื้นฟ้าคราม สีครีม L</v>
          </cell>
          <cell r="E9275">
            <v>0</v>
          </cell>
          <cell r="F9275">
            <v>990</v>
          </cell>
        </row>
        <row r="9276">
          <cell r="A9276" t="str">
            <v>SP0801-M</v>
          </cell>
          <cell r="B9276" t="str">
            <v>P801</v>
          </cell>
          <cell r="C9276" t="str">
            <v>ซาติน แขนยาวขายาว พื้นฟ้าคราม สีครีม M</v>
          </cell>
          <cell r="E9276">
            <v>0</v>
          </cell>
          <cell r="F9276">
            <v>990</v>
          </cell>
        </row>
        <row r="9277">
          <cell r="A9277" t="str">
            <v>SP0801-XL</v>
          </cell>
          <cell r="B9277" t="str">
            <v>P801</v>
          </cell>
          <cell r="C9277" t="str">
            <v>ซาติน แขนยาวขายาว พื้นฟ้าคราม สีครีม XL</v>
          </cell>
          <cell r="E9277">
            <v>0</v>
          </cell>
          <cell r="F9277">
            <v>990</v>
          </cell>
        </row>
        <row r="9278">
          <cell r="A9278" t="str">
            <v>SP0804-L</v>
          </cell>
          <cell r="B9278" t="str">
            <v>P804</v>
          </cell>
          <cell r="C9278" t="str">
            <v>ซาติน แขนยาวขายาว พื้นชมพูคราม สีครีม L</v>
          </cell>
          <cell r="E9278">
            <v>0</v>
          </cell>
          <cell r="F9278">
            <v>990</v>
          </cell>
        </row>
        <row r="9279">
          <cell r="A9279" t="str">
            <v>SP0804-M</v>
          </cell>
          <cell r="B9279" t="str">
            <v>JP804</v>
          </cell>
          <cell r="C9279" t="str">
            <v>ซาติน แขนยาวขายาว พื้นชมพูคราม สีครีม M ตัวโชว์</v>
          </cell>
          <cell r="E9279">
            <v>0</v>
          </cell>
          <cell r="F9279">
            <v>990</v>
          </cell>
        </row>
        <row r="9280">
          <cell r="A9280" t="str">
            <v>SP0804-XL</v>
          </cell>
          <cell r="B9280" t="str">
            <v>P804</v>
          </cell>
          <cell r="C9280" t="str">
            <v>ซาติน แขนยาวขายาว พื้นชมพูคราม สีครีม XL</v>
          </cell>
          <cell r="E9280">
            <v>0</v>
          </cell>
          <cell r="F9280">
            <v>990</v>
          </cell>
        </row>
        <row r="9281">
          <cell r="A9281" t="str">
            <v>SP0805-L</v>
          </cell>
          <cell r="B9281" t="str">
            <v>P805</v>
          </cell>
          <cell r="C9281" t="str">
            <v>ซาติน แขนยาวขายาว Royal Zebra ปกดำ L</v>
          </cell>
          <cell r="E9281">
            <v>0</v>
          </cell>
          <cell r="F9281">
            <v>990</v>
          </cell>
        </row>
        <row r="9282">
          <cell r="A9282" t="str">
            <v>SP0805-M</v>
          </cell>
          <cell r="B9282" t="str">
            <v>P805</v>
          </cell>
          <cell r="C9282" t="str">
            <v>ซาติน แขนยาวขายาว Royal Zebra ปกดำ M ตัวโชว์</v>
          </cell>
          <cell r="E9282">
            <v>0</v>
          </cell>
          <cell r="F9282">
            <v>650</v>
          </cell>
        </row>
        <row r="9283">
          <cell r="A9283" t="str">
            <v>SP0805-XL</v>
          </cell>
          <cell r="B9283" t="str">
            <v>P805</v>
          </cell>
          <cell r="C9283" t="str">
            <v>ซาติน แขนยาวขายาว Royal Zebra ปกดำ XL</v>
          </cell>
          <cell r="E9283">
            <v>0</v>
          </cell>
          <cell r="F9283">
            <v>990</v>
          </cell>
        </row>
        <row r="9284">
          <cell r="A9284" t="str">
            <v>SP0809-F</v>
          </cell>
          <cell r="B9284" t="str">
            <v>JP809</v>
          </cell>
          <cell r="C9284" t="str">
            <v>ซิลค์แจ็คการ์ด แขนยาวขายาว ดอกไม้ชมพู พื้นฟ้า F ตัวโชว์</v>
          </cell>
          <cell r="E9284">
            <v>0</v>
          </cell>
          <cell r="F9284">
            <v>950</v>
          </cell>
        </row>
        <row r="9285">
          <cell r="A9285" t="str">
            <v>SP0810-F</v>
          </cell>
          <cell r="B9285" t="str">
            <v>JP810</v>
          </cell>
          <cell r="C9285" t="str">
            <v>ซิลค์แจ็คการ์ด แขนยาวขายาว เป็ด พื้นครีม F ตัวโชว์</v>
          </cell>
          <cell r="E9285">
            <v>0</v>
          </cell>
          <cell r="F9285">
            <v>950</v>
          </cell>
        </row>
        <row r="9286">
          <cell r="A9286" t="str">
            <v>SP0811-F</v>
          </cell>
          <cell r="B9286" t="str">
            <v>JP811</v>
          </cell>
          <cell r="C9286" t="str">
            <v>ซิลค์แจ็คการ์ด แขนยาวขายาว ดาว พาสเทล F ตัวโชว์</v>
          </cell>
          <cell r="E9286">
            <v>0</v>
          </cell>
          <cell r="F9286">
            <v>950</v>
          </cell>
        </row>
        <row r="9287">
          <cell r="A9287" t="str">
            <v>SP0812-F</v>
          </cell>
          <cell r="B9287" t="str">
            <v>P812</v>
          </cell>
          <cell r="C9287" t="str">
            <v>ซิลค์แจ็คการ์ด แขนยาวขายาว ปกชมพู จุดหลากสี F</v>
          </cell>
          <cell r="E9287">
            <v>0</v>
          </cell>
          <cell r="F9287">
            <v>990</v>
          </cell>
        </row>
        <row r="9288">
          <cell r="A9288" t="str">
            <v>SP0813-L</v>
          </cell>
          <cell r="B9288" t="str">
            <v>QP813</v>
          </cell>
          <cell r="C9288" t="str">
            <v>ซาติน แขนยาวขายาว ดอกโสน พื้นฟ้า L QC</v>
          </cell>
          <cell r="E9288">
            <v>0</v>
          </cell>
          <cell r="F9288">
            <v>990</v>
          </cell>
        </row>
        <row r="9289">
          <cell r="A9289" t="str">
            <v>SP0813-M</v>
          </cell>
          <cell r="B9289" t="str">
            <v>P813</v>
          </cell>
          <cell r="C9289" t="str">
            <v>ซาติน แขนยาวขายาว ดอกโสน พื้นฟ้า M</v>
          </cell>
          <cell r="E9289">
            <v>0</v>
          </cell>
          <cell r="F9289">
            <v>990</v>
          </cell>
        </row>
        <row r="9290">
          <cell r="A9290" t="str">
            <v>SP0813-S</v>
          </cell>
          <cell r="B9290" t="str">
            <v>P813</v>
          </cell>
          <cell r="C9290" t="str">
            <v>ซาติน แขนยาวขายาว ดอกโสน พื้นฟ้า S</v>
          </cell>
          <cell r="E9290">
            <v>0</v>
          </cell>
          <cell r="F9290">
            <v>990</v>
          </cell>
        </row>
        <row r="9291">
          <cell r="A9291" t="str">
            <v>SP0813-XL</v>
          </cell>
          <cell r="B9291" t="str">
            <v>P813</v>
          </cell>
          <cell r="C9291" t="str">
            <v>ซาติน แขนยาวขายาว ดอกโสน พื้นฟ้า XL</v>
          </cell>
          <cell r="E9291">
            <v>0</v>
          </cell>
          <cell r="F9291">
            <v>990</v>
          </cell>
        </row>
        <row r="9292">
          <cell r="A9292" t="str">
            <v>SP0814-L</v>
          </cell>
          <cell r="B9292" t="str">
            <v>P814</v>
          </cell>
          <cell r="C9292" t="str">
            <v>ซาติน แขนยาวขายาว ทานตะวันม่วง L</v>
          </cell>
          <cell r="E9292">
            <v>0</v>
          </cell>
          <cell r="F9292">
            <v>990</v>
          </cell>
        </row>
        <row r="9293">
          <cell r="A9293" t="str">
            <v>SP0814-M</v>
          </cell>
          <cell r="B9293" t="str">
            <v>P814</v>
          </cell>
          <cell r="C9293" t="str">
            <v>ซาติน แขนยาวขายาว ทานตะวันม่วง M</v>
          </cell>
          <cell r="E9293">
            <v>0</v>
          </cell>
          <cell r="F9293">
            <v>990</v>
          </cell>
        </row>
        <row r="9294">
          <cell r="A9294" t="str">
            <v>SP0814-S</v>
          </cell>
          <cell r="B9294" t="str">
            <v>P814</v>
          </cell>
          <cell r="C9294" t="str">
            <v>ซาติน แขนยาวขายาว ทานตะวันม่วง S</v>
          </cell>
          <cell r="E9294">
            <v>0</v>
          </cell>
          <cell r="F9294">
            <v>990</v>
          </cell>
        </row>
        <row r="9295">
          <cell r="A9295" t="str">
            <v>SP0814-XL</v>
          </cell>
          <cell r="B9295" t="str">
            <v>P814</v>
          </cell>
          <cell r="C9295" t="str">
            <v>ซาติน แขนยาวขายาว ทานตะวันม่วง XL</v>
          </cell>
          <cell r="E9295">
            <v>0</v>
          </cell>
          <cell r="F9295">
            <v>990</v>
          </cell>
        </row>
        <row r="9296">
          <cell r="A9296" t="str">
            <v>SP0815-L</v>
          </cell>
          <cell r="B9296" t="str">
            <v>P815</v>
          </cell>
          <cell r="C9296" t="str">
            <v>ซาติน แขนยาวขายาว ลายเมฆ ฟ้าเหลือง L</v>
          </cell>
          <cell r="E9296">
            <v>0</v>
          </cell>
          <cell r="F9296">
            <v>950</v>
          </cell>
        </row>
        <row r="9297">
          <cell r="A9297" t="str">
            <v>SP0815-M</v>
          </cell>
          <cell r="B9297" t="str">
            <v>ป5</v>
          </cell>
          <cell r="C9297" t="str">
            <v>ซาติน แขนยาวขายาว ลายเมฆ ฟ้าเหลือง M</v>
          </cell>
          <cell r="E9297">
            <v>0</v>
          </cell>
          <cell r="F9297">
            <v>950</v>
          </cell>
        </row>
        <row r="9298">
          <cell r="A9298" t="str">
            <v>SP0815-XL</v>
          </cell>
          <cell r="B9298" t="str">
            <v>P815</v>
          </cell>
          <cell r="C9298" t="str">
            <v>ซาติน แขนยาวขายาว ลายเมฆ ฟ้าเหลือง XL</v>
          </cell>
          <cell r="E9298">
            <v>0</v>
          </cell>
          <cell r="F9298">
            <v>950</v>
          </cell>
        </row>
        <row r="9299">
          <cell r="A9299" t="str">
            <v>SP0816-L</v>
          </cell>
          <cell r="B9299" t="str">
            <v>P816</v>
          </cell>
          <cell r="C9299" t="str">
            <v>ซาติน แขนยาวขายาว ใบไม้เขียว ขอบเหลือง พื้นขาว L</v>
          </cell>
          <cell r="E9299">
            <v>0</v>
          </cell>
          <cell r="F9299">
            <v>990</v>
          </cell>
        </row>
        <row r="9300">
          <cell r="A9300" t="str">
            <v>SP0816-M</v>
          </cell>
          <cell r="B9300" t="str">
            <v>P816</v>
          </cell>
          <cell r="C9300" t="str">
            <v>ซาติน แขนยาวขายาว ใบไม้เขียว ขอบเหลือง พื้นขาว M</v>
          </cell>
          <cell r="E9300">
            <v>0</v>
          </cell>
          <cell r="F9300">
            <v>990</v>
          </cell>
        </row>
        <row r="9301">
          <cell r="A9301" t="str">
            <v>SP0816-S</v>
          </cell>
          <cell r="B9301" t="str">
            <v>P816</v>
          </cell>
          <cell r="C9301" t="str">
            <v>ซาติน แขนยาวขายาว ใบไม้เขียว ขอบเหลือง พื้นขาว S</v>
          </cell>
          <cell r="E9301">
            <v>0</v>
          </cell>
          <cell r="F9301">
            <v>990</v>
          </cell>
        </row>
        <row r="9302">
          <cell r="A9302" t="str">
            <v>SP0816-XL</v>
          </cell>
          <cell r="B9302" t="str">
            <v>P816</v>
          </cell>
          <cell r="C9302" t="str">
            <v>ซาติน แขนยาวขายาว ใบไม้เขียว ขอบเหลือง พื้นขาว XL</v>
          </cell>
          <cell r="E9302">
            <v>0</v>
          </cell>
          <cell r="F9302">
            <v>990</v>
          </cell>
        </row>
        <row r="9303">
          <cell r="A9303" t="str">
            <v>SP0817-L</v>
          </cell>
          <cell r="B9303" t="str">
            <v>P817</v>
          </cell>
          <cell r="C9303" t="str">
            <v>ซาติน แขนยาวขายาว ดอกไม้ ขาวดำ พื้นเขียว L</v>
          </cell>
          <cell r="E9303">
            <v>0</v>
          </cell>
          <cell r="F9303">
            <v>990</v>
          </cell>
        </row>
        <row r="9304">
          <cell r="A9304" t="str">
            <v>SP0817-M</v>
          </cell>
          <cell r="B9304" t="str">
            <v>P817</v>
          </cell>
          <cell r="C9304" t="str">
            <v>ซาติน แขนยาวขายาว ดอกไม้ ขาวดำ พื้นเขียว M</v>
          </cell>
          <cell r="E9304">
            <v>0</v>
          </cell>
          <cell r="F9304">
            <v>990</v>
          </cell>
        </row>
        <row r="9305">
          <cell r="A9305" t="str">
            <v>SP0817-S</v>
          </cell>
          <cell r="B9305" t="str">
            <v>P817</v>
          </cell>
          <cell r="C9305" t="str">
            <v>ซาติน แขนยาวขายาว ดอกไม้ ขาวดำ พื้นเขียว S</v>
          </cell>
          <cell r="E9305">
            <v>0</v>
          </cell>
          <cell r="F9305">
            <v>990</v>
          </cell>
        </row>
        <row r="9306">
          <cell r="A9306" t="str">
            <v>SP0817-XL</v>
          </cell>
          <cell r="B9306" t="str">
            <v>P817</v>
          </cell>
          <cell r="C9306" t="str">
            <v>ซาติน แขนยาวขายาว ดอกไม้ ขาวดำ พื้นเขียว XL</v>
          </cell>
          <cell r="E9306">
            <v>0</v>
          </cell>
          <cell r="F9306">
            <v>990</v>
          </cell>
        </row>
        <row r="9307">
          <cell r="A9307" t="str">
            <v>SP0821-L</v>
          </cell>
          <cell r="B9307" t="str">
            <v>P821</v>
          </cell>
          <cell r="C9307" t="str">
            <v>ซาติน แขนยาวขายาว Golden Maze พื้นแดง L</v>
          </cell>
          <cell r="E9307">
            <v>0</v>
          </cell>
          <cell r="F9307">
            <v>950</v>
          </cell>
        </row>
        <row r="9308">
          <cell r="A9308" t="str">
            <v>SP0821-M</v>
          </cell>
          <cell r="B9308" t="str">
            <v>P821</v>
          </cell>
          <cell r="C9308" t="str">
            <v>ซาติน แขนยาวขายาว Golden Maze พื้นแดง M</v>
          </cell>
          <cell r="E9308">
            <v>0</v>
          </cell>
          <cell r="F9308">
            <v>950</v>
          </cell>
        </row>
        <row r="9309">
          <cell r="A9309" t="str">
            <v>SP0821-XL</v>
          </cell>
          <cell r="B9309" t="str">
            <v>P821</v>
          </cell>
          <cell r="C9309" t="str">
            <v>ซาติน แขนยาวขายาว Golden Maze พื้นแดง XL</v>
          </cell>
          <cell r="E9309">
            <v>0</v>
          </cell>
          <cell r="F9309">
            <v>950</v>
          </cell>
        </row>
        <row r="9310">
          <cell r="A9310" t="str">
            <v>SP0822-L</v>
          </cell>
          <cell r="B9310" t="str">
            <v>P822</v>
          </cell>
          <cell r="C9310" t="str">
            <v>ซาติน แขนยาวขายาว Purple Cat L</v>
          </cell>
          <cell r="E9310">
            <v>0</v>
          </cell>
          <cell r="F9310">
            <v>950</v>
          </cell>
        </row>
        <row r="9311">
          <cell r="A9311" t="str">
            <v>SP0822-M</v>
          </cell>
          <cell r="B9311" t="str">
            <v>P822</v>
          </cell>
          <cell r="C9311" t="str">
            <v>ซาติน แขนยาวขายาว Purple Cat M</v>
          </cell>
          <cell r="E9311">
            <v>0</v>
          </cell>
          <cell r="F9311">
            <v>950</v>
          </cell>
        </row>
        <row r="9312">
          <cell r="A9312" t="str">
            <v>SP0822-XL</v>
          </cell>
          <cell r="B9312" t="str">
            <v>P822</v>
          </cell>
          <cell r="C9312" t="str">
            <v>ซาติน แขนยาวขายาว Purple Cat XL</v>
          </cell>
          <cell r="E9312">
            <v>0</v>
          </cell>
          <cell r="F9312">
            <v>950</v>
          </cell>
        </row>
        <row r="9313">
          <cell r="A9313" t="str">
            <v>SP0823-L</v>
          </cell>
          <cell r="B9313" t="str">
            <v>P823</v>
          </cell>
          <cell r="C9313" t="str">
            <v>ซาติน แขนยาวขายาว Pinky Cat L</v>
          </cell>
          <cell r="E9313">
            <v>0</v>
          </cell>
          <cell r="F9313">
            <v>950</v>
          </cell>
        </row>
        <row r="9314">
          <cell r="A9314" t="str">
            <v>SP0823-M</v>
          </cell>
          <cell r="B9314" t="str">
            <v>P823</v>
          </cell>
          <cell r="C9314" t="str">
            <v>ซาติน แขนยาวขายาว Pinky Cat M</v>
          </cell>
          <cell r="E9314">
            <v>0</v>
          </cell>
          <cell r="F9314">
            <v>950</v>
          </cell>
        </row>
        <row r="9315">
          <cell r="A9315" t="str">
            <v>SP0823-XL</v>
          </cell>
          <cell r="B9315" t="str">
            <v>P823</v>
          </cell>
          <cell r="C9315" t="str">
            <v>ซาติน แขนยาวขายาว Pinky Cat XL</v>
          </cell>
          <cell r="E9315">
            <v>0</v>
          </cell>
          <cell r="F9315">
            <v>950</v>
          </cell>
        </row>
        <row r="9316">
          <cell r="A9316" t="str">
            <v>SP0824-L</v>
          </cell>
          <cell r="B9316" t="str">
            <v>P824</v>
          </cell>
          <cell r="C9316" t="str">
            <v>ซาติน แขนยาวขายาว Golden Maze พื้นดำ L</v>
          </cell>
          <cell r="E9316">
            <v>0</v>
          </cell>
          <cell r="F9316">
            <v>950</v>
          </cell>
        </row>
        <row r="9317">
          <cell r="A9317" t="str">
            <v>SP0824-M</v>
          </cell>
          <cell r="B9317" t="str">
            <v>P824</v>
          </cell>
          <cell r="C9317" t="str">
            <v>ซาติน แขนยาวขายาว Golden Maze พื้นดำ M</v>
          </cell>
          <cell r="E9317">
            <v>0</v>
          </cell>
          <cell r="F9317">
            <v>950</v>
          </cell>
        </row>
        <row r="9318">
          <cell r="A9318" t="str">
            <v>SP0824-XL</v>
          </cell>
          <cell r="B9318" t="str">
            <v>P824</v>
          </cell>
          <cell r="C9318" t="str">
            <v>ซาติน แขนยาวขายาว Golden Maze พื้นดำ XL</v>
          </cell>
          <cell r="E9318">
            <v>0</v>
          </cell>
          <cell r="F9318">
            <v>950</v>
          </cell>
        </row>
        <row r="9319">
          <cell r="A9319" t="str">
            <v>SP0825-2XL</v>
          </cell>
          <cell r="B9319" t="str">
            <v>P825</v>
          </cell>
          <cell r="C9319" t="str">
            <v>ซาติน แขนยาวขายาว เสือ ดำครีม 2XL</v>
          </cell>
          <cell r="E9319">
            <v>0</v>
          </cell>
          <cell r="F9319">
            <v>950</v>
          </cell>
        </row>
        <row r="9320">
          <cell r="A9320" t="str">
            <v>SP0825-L</v>
          </cell>
          <cell r="B9320" t="str">
            <v>P825</v>
          </cell>
          <cell r="C9320" t="str">
            <v>ซาติน แขนยาวขายาว เสือ ดำครีม L</v>
          </cell>
          <cell r="E9320">
            <v>0</v>
          </cell>
          <cell r="F9320">
            <v>950</v>
          </cell>
        </row>
        <row r="9321">
          <cell r="A9321" t="str">
            <v>SP0825-M</v>
          </cell>
          <cell r="B9321" t="str">
            <v>P825</v>
          </cell>
          <cell r="C9321" t="str">
            <v>ซาติน แขนยาวขายาว เสือ ดำครีม M</v>
          </cell>
          <cell r="E9321">
            <v>0</v>
          </cell>
          <cell r="F9321">
            <v>950</v>
          </cell>
        </row>
        <row r="9322">
          <cell r="A9322" t="str">
            <v>SP0825-XL</v>
          </cell>
          <cell r="B9322" t="str">
            <v>P825</v>
          </cell>
          <cell r="C9322" t="str">
            <v>ซาติน แขนยาวขายาว เสือ ดำครีม XL</v>
          </cell>
          <cell r="E9322">
            <v>0</v>
          </cell>
          <cell r="F9322">
            <v>950</v>
          </cell>
        </row>
        <row r="9323">
          <cell r="A9323" t="str">
            <v>SP0829-L</v>
          </cell>
          <cell r="B9323" t="str">
            <v>P829</v>
          </cell>
          <cell r="C9323" t="str">
            <v>ซาติน แขนยาวขายาว เมฆ ขาวดำ L</v>
          </cell>
          <cell r="E9323">
            <v>0</v>
          </cell>
          <cell r="F9323">
            <v>990</v>
          </cell>
        </row>
        <row r="9324">
          <cell r="A9324" t="str">
            <v>SP0829-M</v>
          </cell>
          <cell r="B9324" t="str">
            <v>P829</v>
          </cell>
          <cell r="C9324" t="str">
            <v>ซาติน แขนยาวขายาว เมฆ ขาวดำ M</v>
          </cell>
          <cell r="E9324">
            <v>0</v>
          </cell>
          <cell r="F9324">
            <v>990</v>
          </cell>
        </row>
        <row r="9325">
          <cell r="A9325" t="str">
            <v>SP0829-XL</v>
          </cell>
          <cell r="B9325" t="str">
            <v>QP829</v>
          </cell>
          <cell r="C9325" t="str">
            <v>ซาติน แขนยาวขายาว เมฆ ขาวดำ XL QC</v>
          </cell>
          <cell r="E9325">
            <v>0</v>
          </cell>
          <cell r="F9325">
            <v>990</v>
          </cell>
        </row>
        <row r="9326">
          <cell r="A9326" t="str">
            <v>SP0830-L</v>
          </cell>
          <cell r="B9326" t="str">
            <v>P830</v>
          </cell>
          <cell r="C9326" t="str">
            <v>ซาติน แขนยาวขายาว Snow Pastel L</v>
          </cell>
          <cell r="E9326">
            <v>0</v>
          </cell>
          <cell r="F9326">
            <v>990</v>
          </cell>
        </row>
        <row r="9327">
          <cell r="A9327" t="str">
            <v>SP0830-M</v>
          </cell>
          <cell r="B9327" t="str">
            <v>P830</v>
          </cell>
          <cell r="C9327" t="str">
            <v>ซาติน แขนยาวขายาว Snow Pastel M</v>
          </cell>
          <cell r="E9327">
            <v>0</v>
          </cell>
          <cell r="F9327">
            <v>990</v>
          </cell>
        </row>
        <row r="9328">
          <cell r="A9328" t="str">
            <v>SP0831-L</v>
          </cell>
          <cell r="B9328" t="str">
            <v>P831</v>
          </cell>
          <cell r="C9328" t="str">
            <v>ซาติน แขนยาวขายาว Little Clound พื้นฟ้า (กปก) L</v>
          </cell>
          <cell r="E9328">
            <v>0</v>
          </cell>
          <cell r="F9328">
            <v>990</v>
          </cell>
        </row>
        <row r="9329">
          <cell r="A9329" t="str">
            <v>SP0831-M</v>
          </cell>
          <cell r="B9329" t="str">
            <v>P831</v>
          </cell>
          <cell r="C9329" t="str">
            <v>ซาติน แขนยาวขายาว Little Clound พื้นฟ้า (กปก) M</v>
          </cell>
          <cell r="E9329">
            <v>0</v>
          </cell>
          <cell r="F9329">
            <v>990</v>
          </cell>
        </row>
        <row r="9330">
          <cell r="A9330" t="str">
            <v>SP0832-L</v>
          </cell>
          <cell r="B9330" t="str">
            <v>P832</v>
          </cell>
          <cell r="C9330" t="str">
            <v>ซาติน แขนยาวขายาว พื้นกรม ปกกลม L</v>
          </cell>
          <cell r="E9330">
            <v>0</v>
          </cell>
          <cell r="F9330">
            <v>990</v>
          </cell>
        </row>
        <row r="9331">
          <cell r="A9331" t="str">
            <v>SP0832-M</v>
          </cell>
          <cell r="B9331" t="str">
            <v>P832</v>
          </cell>
          <cell r="C9331" t="str">
            <v>ซาติน แขนยาวขายาว พื้นกรม ปกกลม M</v>
          </cell>
          <cell r="E9331">
            <v>0</v>
          </cell>
          <cell r="F9331">
            <v>990</v>
          </cell>
        </row>
        <row r="9332">
          <cell r="A9332" t="str">
            <v>SP0833-L</v>
          </cell>
          <cell r="B9332" t="str">
            <v>P833</v>
          </cell>
          <cell r="C9332" t="str">
            <v>ซาติน แขนยาวขายาว พื้นครีม ปกกลม L</v>
          </cell>
          <cell r="E9332">
            <v>0</v>
          </cell>
          <cell r="F9332">
            <v>990</v>
          </cell>
        </row>
        <row r="9333">
          <cell r="A9333" t="str">
            <v>SP0833-M</v>
          </cell>
          <cell r="B9333" t="str">
            <v>P833</v>
          </cell>
          <cell r="C9333" t="str">
            <v>ซาติน แขนยาวขายาว พื้นครีม ปกกลม M</v>
          </cell>
          <cell r="E9333">
            <v>0</v>
          </cell>
          <cell r="F9333">
            <v>990</v>
          </cell>
        </row>
        <row r="9334">
          <cell r="A9334" t="str">
            <v>SP0834-L</v>
          </cell>
          <cell r="B9334" t="str">
            <v>P834</v>
          </cell>
          <cell r="C9334" t="str">
            <v>ซาติน แขนยาวขายาว พื้นขาว ปกกลม L</v>
          </cell>
          <cell r="E9334">
            <v>0</v>
          </cell>
          <cell r="F9334">
            <v>990</v>
          </cell>
        </row>
        <row r="9335">
          <cell r="A9335" t="str">
            <v>SP0834-M</v>
          </cell>
          <cell r="B9335" t="str">
            <v>BP834</v>
          </cell>
          <cell r="C9335" t="str">
            <v>ซาติน แขนยาวขายาว พื้นขาว ปกกลม M</v>
          </cell>
          <cell r="E9335">
            <v>0</v>
          </cell>
          <cell r="F9335">
            <v>990</v>
          </cell>
        </row>
        <row r="9336">
          <cell r="A9336" t="str">
            <v>SP0835-L</v>
          </cell>
          <cell r="B9336" t="str">
            <v>P835</v>
          </cell>
          <cell r="C9336" t="str">
            <v>ซาติน แขนยาวขายาว พื้นแดง ปกกลม L</v>
          </cell>
          <cell r="E9336">
            <v>0</v>
          </cell>
          <cell r="F9336">
            <v>990</v>
          </cell>
        </row>
        <row r="9337">
          <cell r="A9337" t="str">
            <v>SP0835-M</v>
          </cell>
          <cell r="B9337" t="str">
            <v>P835</v>
          </cell>
          <cell r="C9337" t="str">
            <v>ซาติน แขนยาวขายาว พื้นแดง ปกกลม M</v>
          </cell>
          <cell r="E9337">
            <v>0</v>
          </cell>
          <cell r="F9337">
            <v>990</v>
          </cell>
        </row>
        <row r="9338">
          <cell r="A9338" t="str">
            <v>SP0839-L</v>
          </cell>
          <cell r="B9338" t="str">
            <v>P839</v>
          </cell>
          <cell r="C9338" t="str">
            <v>ซิลค์แจ็คการ์ด แขนยาวขายาว ดอกไม้น้อย สีชมพู พื้นวนิลา L</v>
          </cell>
          <cell r="E9338">
            <v>0</v>
          </cell>
          <cell r="F9338">
            <v>950</v>
          </cell>
        </row>
        <row r="9339">
          <cell r="A9339" t="str">
            <v>SP0839-M</v>
          </cell>
          <cell r="B9339" t="str">
            <v>P839</v>
          </cell>
          <cell r="C9339" t="str">
            <v>ซิลค์แจ็คการ์ด แขนยาวขายาว ดอกไม้น้อย สีชมพู พื้นวนิลา M</v>
          </cell>
          <cell r="E9339">
            <v>0</v>
          </cell>
          <cell r="F9339">
            <v>950</v>
          </cell>
        </row>
        <row r="9340">
          <cell r="A9340" t="str">
            <v>SP0839-XL</v>
          </cell>
          <cell r="B9340" t="str">
            <v>P839</v>
          </cell>
          <cell r="C9340" t="str">
            <v>ซิลค์แจ็คการ์ด แขนยาวขายาว ดอกไม้น้อย สีชมพู พื้นวนิลา XL</v>
          </cell>
          <cell r="E9340">
            <v>0</v>
          </cell>
          <cell r="F9340">
            <v>950</v>
          </cell>
        </row>
        <row r="9341">
          <cell r="A9341" t="str">
            <v>SP0840-L</v>
          </cell>
          <cell r="B9341" t="str">
            <v>P840</v>
          </cell>
          <cell r="C9341" t="str">
            <v>ซาติน แขนยาวขายาว Gray Lotus พื้นชมพู L</v>
          </cell>
          <cell r="E9341">
            <v>0</v>
          </cell>
          <cell r="F9341">
            <v>950</v>
          </cell>
        </row>
        <row r="9342">
          <cell r="A9342" t="str">
            <v>SP0840-M</v>
          </cell>
          <cell r="B9342" t="str">
            <v>P840</v>
          </cell>
          <cell r="C9342" t="str">
            <v>ซาติน แขนยาวขายาว Gray Lotus พื้นชมพู M</v>
          </cell>
          <cell r="E9342">
            <v>0</v>
          </cell>
          <cell r="F9342">
            <v>950</v>
          </cell>
        </row>
        <row r="9343">
          <cell r="A9343" t="str">
            <v>SP0840-XL</v>
          </cell>
          <cell r="B9343" t="str">
            <v>P840</v>
          </cell>
          <cell r="C9343" t="str">
            <v>ซาติน แขนยาวขายาว Gray Lotus พื้นชมพู XL</v>
          </cell>
          <cell r="E9343">
            <v>0</v>
          </cell>
          <cell r="F9343">
            <v>950</v>
          </cell>
        </row>
        <row r="9344">
          <cell r="A9344" t="str">
            <v>SP0841-2XL</v>
          </cell>
          <cell r="B9344" t="str">
            <v>P841</v>
          </cell>
          <cell r="C9344" t="str">
            <v>ซาติน แขนยาวขายาว Green Forest 2XL</v>
          </cell>
          <cell r="E9344">
            <v>0</v>
          </cell>
          <cell r="F9344">
            <v>990</v>
          </cell>
        </row>
        <row r="9345">
          <cell r="A9345" t="str">
            <v>SP0841-3XL</v>
          </cell>
          <cell r="B9345" t="str">
            <v>P841</v>
          </cell>
          <cell r="C9345" t="str">
            <v>ซาติน แขนยาวขายาว Green Forest 3XL</v>
          </cell>
          <cell r="E9345">
            <v>0</v>
          </cell>
          <cell r="F9345">
            <v>990</v>
          </cell>
        </row>
        <row r="9346">
          <cell r="A9346" t="str">
            <v>SP0841-L</v>
          </cell>
          <cell r="B9346" t="str">
            <v>P841</v>
          </cell>
          <cell r="C9346" t="str">
            <v>ซาติน แขนยาวขายาว Green Forest L</v>
          </cell>
          <cell r="E9346">
            <v>0</v>
          </cell>
          <cell r="F9346">
            <v>990</v>
          </cell>
        </row>
        <row r="9347">
          <cell r="A9347" t="str">
            <v>SP0841-M</v>
          </cell>
          <cell r="B9347" t="str">
            <v>P841</v>
          </cell>
          <cell r="C9347" t="str">
            <v>ซาติน แขนยาวขายาว Green Forest M</v>
          </cell>
          <cell r="E9347">
            <v>0</v>
          </cell>
          <cell r="F9347">
            <v>990</v>
          </cell>
        </row>
        <row r="9348">
          <cell r="A9348" t="str">
            <v>SP0841-XL</v>
          </cell>
          <cell r="B9348" t="str">
            <v>P841</v>
          </cell>
          <cell r="C9348" t="str">
            <v>ซาติน แขนยาวขายาว Green Forest XL</v>
          </cell>
          <cell r="E9348">
            <v>0</v>
          </cell>
          <cell r="F9348">
            <v>990</v>
          </cell>
        </row>
        <row r="9349">
          <cell r="A9349" t="str">
            <v>SP0842-F</v>
          </cell>
          <cell r="B9349" t="str">
            <v>P842</v>
          </cell>
          <cell r="C9349" t="str">
            <v>ซิลค์แจ็คการ์ด แขนยาวขายาว หมีน้อยหมวกแดง F</v>
          </cell>
          <cell r="E9349">
            <v>0</v>
          </cell>
          <cell r="F9349">
            <v>950</v>
          </cell>
        </row>
        <row r="9350">
          <cell r="A9350" t="str">
            <v>SP0843-F</v>
          </cell>
          <cell r="B9350" t="str">
            <v>P843</v>
          </cell>
          <cell r="C9350" t="str">
            <v>ซิลค์แจ็คการ์ด แขนยาวขายาว Haring Doodle Art F</v>
          </cell>
          <cell r="E9350">
            <v>0</v>
          </cell>
          <cell r="F9350">
            <v>950</v>
          </cell>
        </row>
        <row r="9351">
          <cell r="A9351" t="str">
            <v>SP0846-L</v>
          </cell>
          <cell r="B9351" t="str">
            <v>BP846</v>
          </cell>
          <cell r="C9351" t="str">
            <v>ซาติน แขนยาวขายาว ภาพหญ้าแห้ง L</v>
          </cell>
          <cell r="E9351">
            <v>0</v>
          </cell>
          <cell r="F9351">
            <v>990</v>
          </cell>
        </row>
        <row r="9352">
          <cell r="A9352" t="str">
            <v>SP0846-M</v>
          </cell>
          <cell r="B9352" t="str">
            <v>BP846</v>
          </cell>
          <cell r="C9352" t="str">
            <v>ซาติน แขนยาวขายาว ภาพหญ้าแห้ง M</v>
          </cell>
          <cell r="E9352">
            <v>0</v>
          </cell>
          <cell r="F9352">
            <v>990</v>
          </cell>
        </row>
        <row r="9353">
          <cell r="A9353" t="str">
            <v>SP0846-XL</v>
          </cell>
          <cell r="B9353" t="str">
            <v>P846</v>
          </cell>
          <cell r="C9353" t="str">
            <v>ซาติน แขนยาวขายาว ภาพหญ้าแห้ง XL</v>
          </cell>
          <cell r="E9353">
            <v>0</v>
          </cell>
          <cell r="F9353">
            <v>990</v>
          </cell>
        </row>
        <row r="9354">
          <cell r="A9354" t="str">
            <v>SP0847-L</v>
          </cell>
          <cell r="B9354" t="str">
            <v>P847</v>
          </cell>
          <cell r="C9354" t="str">
            <v>ซาติน แขนยาวขายาว ดอกมะลิ พื้นฟ้าม่วง L</v>
          </cell>
          <cell r="E9354">
            <v>0</v>
          </cell>
          <cell r="F9354">
            <v>990</v>
          </cell>
        </row>
        <row r="9355">
          <cell r="A9355" t="str">
            <v>SP0847-M</v>
          </cell>
          <cell r="B9355" t="str">
            <v>P847</v>
          </cell>
          <cell r="C9355" t="str">
            <v>ซาติน แขนยาวขายาว ดอกมะลิ พื้นฟ้าม่วง M</v>
          </cell>
          <cell r="E9355">
            <v>0</v>
          </cell>
          <cell r="F9355">
            <v>990</v>
          </cell>
        </row>
        <row r="9356">
          <cell r="A9356" t="str">
            <v>SP0847-S</v>
          </cell>
          <cell r="B9356" t="str">
            <v>P847</v>
          </cell>
          <cell r="C9356" t="str">
            <v>ซาติน แขนยาวขายาว ดอกมะลิ พื้นฟ้าม่วง S</v>
          </cell>
          <cell r="E9356">
            <v>0</v>
          </cell>
          <cell r="F9356">
            <v>990</v>
          </cell>
        </row>
        <row r="9357">
          <cell r="A9357" t="str">
            <v>SP0847-XL</v>
          </cell>
          <cell r="B9357" t="str">
            <v>P847</v>
          </cell>
          <cell r="C9357" t="str">
            <v>ซาติน แขนยาวขายาว ดอกมะลิ พื้นฟ้าม่วง XL</v>
          </cell>
          <cell r="E9357">
            <v>0</v>
          </cell>
          <cell r="F9357">
            <v>990</v>
          </cell>
        </row>
        <row r="9358">
          <cell r="A9358" t="str">
            <v>SP0848-L</v>
          </cell>
          <cell r="B9358" t="str">
            <v>P848</v>
          </cell>
          <cell r="C9358" t="str">
            <v>ซาติน แขนยาวขายาว Blue Rome L</v>
          </cell>
          <cell r="E9358">
            <v>0</v>
          </cell>
          <cell r="F9358">
            <v>990</v>
          </cell>
        </row>
        <row r="9359">
          <cell r="A9359" t="str">
            <v>SP0848-M</v>
          </cell>
          <cell r="B9359" t="str">
            <v>P848</v>
          </cell>
          <cell r="C9359" t="str">
            <v>ซาติน แขนยาวขายาว Blue Rome M</v>
          </cell>
          <cell r="E9359">
            <v>0</v>
          </cell>
          <cell r="F9359">
            <v>990</v>
          </cell>
        </row>
        <row r="9360">
          <cell r="A9360" t="str">
            <v>SP0848-XL</v>
          </cell>
          <cell r="B9360" t="str">
            <v>P848</v>
          </cell>
          <cell r="C9360" t="str">
            <v>ซาติน แขนยาวขายาว Blue Rome XL</v>
          </cell>
          <cell r="E9360">
            <v>0</v>
          </cell>
          <cell r="F9360">
            <v>990</v>
          </cell>
        </row>
        <row r="9361">
          <cell r="A9361" t="str">
            <v>SP0849-2XL</v>
          </cell>
          <cell r="B9361" t="str">
            <v>P849</v>
          </cell>
          <cell r="C9361" t="str">
            <v>ซาติน แขนยาวขายาว Green to tones 2XL</v>
          </cell>
          <cell r="E9361">
            <v>0</v>
          </cell>
          <cell r="F9361">
            <v>990</v>
          </cell>
        </row>
        <row r="9362">
          <cell r="A9362" t="str">
            <v>SP0849-L</v>
          </cell>
          <cell r="B9362" t="str">
            <v>P849</v>
          </cell>
          <cell r="C9362" t="str">
            <v>ซาติน แขนยาวขายาว Green to tones L</v>
          </cell>
          <cell r="E9362">
            <v>0</v>
          </cell>
          <cell r="F9362">
            <v>990</v>
          </cell>
        </row>
        <row r="9363">
          <cell r="A9363" t="str">
            <v>SP0849-M</v>
          </cell>
          <cell r="B9363" t="str">
            <v>P849</v>
          </cell>
          <cell r="C9363" t="str">
            <v>ซาติน แขนยาวขายาว Green to tones M</v>
          </cell>
          <cell r="E9363">
            <v>0</v>
          </cell>
          <cell r="F9363">
            <v>990</v>
          </cell>
        </row>
        <row r="9364">
          <cell r="A9364" t="str">
            <v>SP0849-XL</v>
          </cell>
          <cell r="B9364" t="str">
            <v>P849</v>
          </cell>
          <cell r="C9364" t="str">
            <v>ซาติน แขนยาวขายาว Green to tones XL</v>
          </cell>
          <cell r="E9364">
            <v>0</v>
          </cell>
          <cell r="F9364">
            <v>990</v>
          </cell>
        </row>
        <row r="9365">
          <cell r="A9365" t="str">
            <v>SP0850-L</v>
          </cell>
          <cell r="B9365" t="str">
            <v>P850</v>
          </cell>
          <cell r="C9365" t="str">
            <v>ซาติน แขนยาวขายาว Rainy Season L</v>
          </cell>
          <cell r="E9365">
            <v>0</v>
          </cell>
          <cell r="F9365">
            <v>990</v>
          </cell>
        </row>
        <row r="9366">
          <cell r="A9366" t="str">
            <v>SP0850-M</v>
          </cell>
          <cell r="B9366" t="str">
            <v>P850</v>
          </cell>
          <cell r="C9366" t="str">
            <v>ซาติน แขนยาวขายาว Rainy Season M</v>
          </cell>
          <cell r="E9366">
            <v>0</v>
          </cell>
          <cell r="F9366">
            <v>990</v>
          </cell>
        </row>
        <row r="9367">
          <cell r="A9367" t="str">
            <v>SP0850-XL</v>
          </cell>
          <cell r="B9367" t="str">
            <v>P850</v>
          </cell>
          <cell r="C9367" t="str">
            <v>ซาติน แขนยาวขายาว Rainy Season XL</v>
          </cell>
          <cell r="E9367">
            <v>0</v>
          </cell>
          <cell r="F9367">
            <v>990</v>
          </cell>
        </row>
        <row r="9368">
          <cell r="A9368" t="str">
            <v>SP0851-L</v>
          </cell>
          <cell r="B9368" t="str">
            <v>P851</v>
          </cell>
          <cell r="C9368" t="str">
            <v>ซาติน แขนยาวขายาว Dry Season L</v>
          </cell>
          <cell r="E9368">
            <v>0</v>
          </cell>
          <cell r="F9368">
            <v>990</v>
          </cell>
        </row>
        <row r="9369">
          <cell r="A9369" t="str">
            <v>SP0851-M</v>
          </cell>
          <cell r="B9369" t="str">
            <v>P851</v>
          </cell>
          <cell r="C9369" t="str">
            <v>ซาติน แขนยาวขายาว Dry Season M</v>
          </cell>
          <cell r="E9369">
            <v>0</v>
          </cell>
          <cell r="F9369">
            <v>990</v>
          </cell>
        </row>
        <row r="9370">
          <cell r="A9370" t="str">
            <v>SP0851-S</v>
          </cell>
          <cell r="B9370" t="str">
            <v>P851</v>
          </cell>
          <cell r="C9370" t="str">
            <v>ซาติน แขนยาวขายาว Dry Season S</v>
          </cell>
          <cell r="E9370">
            <v>0</v>
          </cell>
          <cell r="F9370">
            <v>990</v>
          </cell>
        </row>
        <row r="9371">
          <cell r="A9371" t="str">
            <v>SP0851-XL</v>
          </cell>
          <cell r="B9371" t="str">
            <v>JP851</v>
          </cell>
          <cell r="C9371" t="str">
            <v>ซาติน แขนยาวขายาว Dry Season XL ตัวโชว์</v>
          </cell>
          <cell r="E9371">
            <v>0</v>
          </cell>
          <cell r="F9371">
            <v>990</v>
          </cell>
        </row>
        <row r="9372">
          <cell r="A9372" t="str">
            <v>SP0854-2XL</v>
          </cell>
          <cell r="B9372" t="str">
            <v>P854</v>
          </cell>
          <cell r="C9372" t="str">
            <v>ซาติน แขนยาวขายาว Women พื้นชมพู 2XL</v>
          </cell>
          <cell r="E9372">
            <v>0</v>
          </cell>
          <cell r="F9372">
            <v>990</v>
          </cell>
        </row>
        <row r="9373">
          <cell r="A9373" t="str">
            <v>SP0854-L</v>
          </cell>
          <cell r="B9373" t="str">
            <v>P854</v>
          </cell>
          <cell r="C9373" t="str">
            <v>ซาติน แขนยาวขายาว Women พื้นชมพู L</v>
          </cell>
          <cell r="E9373">
            <v>0</v>
          </cell>
          <cell r="F9373">
            <v>990</v>
          </cell>
        </row>
        <row r="9374">
          <cell r="A9374" t="str">
            <v>SP0854-M</v>
          </cell>
          <cell r="B9374" t="str">
            <v>P854</v>
          </cell>
          <cell r="C9374" t="str">
            <v>ซาติน แขนยาวขายาว Women พื้นชมพู M</v>
          </cell>
          <cell r="E9374">
            <v>0</v>
          </cell>
          <cell r="F9374">
            <v>990</v>
          </cell>
        </row>
        <row r="9375">
          <cell r="A9375" t="str">
            <v>SP0854-XL</v>
          </cell>
          <cell r="B9375" t="str">
            <v>P854</v>
          </cell>
          <cell r="C9375" t="str">
            <v>ซาติน แขนยาวขายาว Women พื้นชมพู XL</v>
          </cell>
          <cell r="E9375">
            <v>0</v>
          </cell>
          <cell r="F9375">
            <v>990</v>
          </cell>
        </row>
        <row r="9376">
          <cell r="A9376" t="str">
            <v>SP0855-2XL</v>
          </cell>
          <cell r="B9376" t="str">
            <v>P855</v>
          </cell>
          <cell r="C9376" t="str">
            <v>ซาติน แขนยาวขายาว ซากุระ พื้นชมพู 2XL</v>
          </cell>
          <cell r="E9376">
            <v>0</v>
          </cell>
          <cell r="F9376">
            <v>990</v>
          </cell>
        </row>
        <row r="9377">
          <cell r="A9377" t="str">
            <v>SP0855-L</v>
          </cell>
          <cell r="B9377" t="str">
            <v>P855</v>
          </cell>
          <cell r="C9377" t="str">
            <v>ซาติน แขนยาวขายาว ซากุระ พื้นชมพู L</v>
          </cell>
          <cell r="E9377">
            <v>0</v>
          </cell>
          <cell r="F9377">
            <v>990</v>
          </cell>
        </row>
        <row r="9378">
          <cell r="A9378" t="str">
            <v>SP0855-M</v>
          </cell>
          <cell r="B9378" t="str">
            <v>QP855</v>
          </cell>
          <cell r="C9378" t="str">
            <v>ซาติน แขนยาวขายาว ซากุระ พื้นชมพู M QC</v>
          </cell>
          <cell r="E9378">
            <v>0</v>
          </cell>
          <cell r="F9378">
            <v>990</v>
          </cell>
        </row>
        <row r="9379">
          <cell r="A9379" t="str">
            <v>SP0855-XL</v>
          </cell>
          <cell r="B9379" t="str">
            <v>P855</v>
          </cell>
          <cell r="C9379" t="str">
            <v>ซาติน แขนยาวขายาว ซากุระ พื้นชมพู XL</v>
          </cell>
          <cell r="E9379">
            <v>0</v>
          </cell>
          <cell r="F9379">
            <v>990</v>
          </cell>
        </row>
        <row r="9380">
          <cell r="A9380" t="str">
            <v>SP0858-L</v>
          </cell>
          <cell r="B9380" t="str">
            <v>P858</v>
          </cell>
          <cell r="C9380" t="str">
            <v>ซาติน แขนยาวขายาว Neightbor Garden L</v>
          </cell>
          <cell r="E9380">
            <v>0</v>
          </cell>
          <cell r="F9380">
            <v>990</v>
          </cell>
        </row>
        <row r="9381">
          <cell r="A9381" t="str">
            <v>SP0858-M</v>
          </cell>
          <cell r="B9381" t="str">
            <v>P858</v>
          </cell>
          <cell r="C9381" t="str">
            <v>ซาติน แขนยาวขายาว Neightbor Garden M</v>
          </cell>
          <cell r="E9381">
            <v>0</v>
          </cell>
          <cell r="F9381">
            <v>990</v>
          </cell>
        </row>
        <row r="9382">
          <cell r="A9382" t="str">
            <v>SP0858-XL</v>
          </cell>
          <cell r="B9382" t="str">
            <v>P858</v>
          </cell>
          <cell r="C9382" t="str">
            <v>ซาติน แขนยาวขายาว Neightbor Garden XL</v>
          </cell>
          <cell r="E9382">
            <v>0</v>
          </cell>
          <cell r="F9382">
            <v>990</v>
          </cell>
        </row>
        <row r="9383">
          <cell r="A9383" t="str">
            <v>SP0859-L</v>
          </cell>
          <cell r="B9383" t="str">
            <v>P859</v>
          </cell>
          <cell r="C9383" t="str">
            <v>ซาติน แขนยาวขายาว Forest Maya L</v>
          </cell>
          <cell r="E9383">
            <v>0</v>
          </cell>
          <cell r="F9383">
            <v>990</v>
          </cell>
        </row>
        <row r="9384">
          <cell r="A9384" t="str">
            <v>SP0859-M</v>
          </cell>
          <cell r="B9384" t="str">
            <v>P859</v>
          </cell>
          <cell r="C9384" t="str">
            <v>ซาติน แขนยาวขายาว Forest Maya M</v>
          </cell>
          <cell r="E9384">
            <v>0</v>
          </cell>
          <cell r="F9384">
            <v>990</v>
          </cell>
        </row>
        <row r="9385">
          <cell r="A9385" t="str">
            <v>SP0859-XL</v>
          </cell>
          <cell r="B9385" t="str">
            <v>P859</v>
          </cell>
          <cell r="C9385" t="str">
            <v>ซาติน แขนยาวขายาว Forest Maya XL</v>
          </cell>
          <cell r="E9385">
            <v>0</v>
          </cell>
          <cell r="F9385">
            <v>990</v>
          </cell>
        </row>
        <row r="9386">
          <cell r="A9386" t="str">
            <v>SP0860-L</v>
          </cell>
          <cell r="B9386" t="str">
            <v>P860</v>
          </cell>
          <cell r="C9386" t="str">
            <v>ซิลค์แจ็คการ์ด แขนยาวขายาว Artist Classic L</v>
          </cell>
          <cell r="E9386">
            <v>0</v>
          </cell>
          <cell r="F9386">
            <v>990</v>
          </cell>
        </row>
        <row r="9387">
          <cell r="A9387" t="str">
            <v>SP0860-M</v>
          </cell>
          <cell r="B9387" t="str">
            <v>P860</v>
          </cell>
          <cell r="C9387" t="str">
            <v>ซิลค์แจ็คการ์ด แขนยาวขายาว Artist Classic M</v>
          </cell>
          <cell r="E9387">
            <v>0</v>
          </cell>
          <cell r="F9387">
            <v>990</v>
          </cell>
        </row>
        <row r="9388">
          <cell r="A9388" t="str">
            <v>SP0860-XL</v>
          </cell>
          <cell r="B9388" t="str">
            <v>P860</v>
          </cell>
          <cell r="C9388" t="str">
            <v>ซิลค์แจ็คการ์ด แขนยาวขายาว Artist Classic XL</v>
          </cell>
          <cell r="E9388">
            <v>0</v>
          </cell>
          <cell r="F9388">
            <v>990</v>
          </cell>
        </row>
        <row r="9389">
          <cell r="A9389" t="str">
            <v>SP0861-L</v>
          </cell>
          <cell r="B9389" t="str">
            <v>P861</v>
          </cell>
          <cell r="C9389" t="str">
            <v>ซาติน แขนยาวขายาว Circle white and brown L</v>
          </cell>
          <cell r="E9389">
            <v>0</v>
          </cell>
          <cell r="F9389">
            <v>990</v>
          </cell>
        </row>
        <row r="9390">
          <cell r="A9390" t="str">
            <v>SP0861-M</v>
          </cell>
          <cell r="B9390" t="str">
            <v>P861</v>
          </cell>
          <cell r="C9390" t="str">
            <v>ซาติน แขนยาวขายาว Circle white and brown M</v>
          </cell>
          <cell r="E9390">
            <v>0</v>
          </cell>
          <cell r="F9390">
            <v>990</v>
          </cell>
        </row>
        <row r="9391">
          <cell r="A9391" t="str">
            <v>SP0861-S</v>
          </cell>
          <cell r="B9391" t="str">
            <v>P861</v>
          </cell>
          <cell r="C9391" t="str">
            <v>ซาติน แขนยาวขายาว Circle white and brown S</v>
          </cell>
          <cell r="E9391">
            <v>0</v>
          </cell>
          <cell r="F9391">
            <v>990</v>
          </cell>
        </row>
        <row r="9392">
          <cell r="A9392" t="str">
            <v>SP0861-XL</v>
          </cell>
          <cell r="B9392" t="str">
            <v>P861</v>
          </cell>
          <cell r="C9392" t="str">
            <v>ซาติน แขนยาวขายาว Circle white and brown XL</v>
          </cell>
          <cell r="E9392">
            <v>0</v>
          </cell>
          <cell r="F9392">
            <v>990</v>
          </cell>
        </row>
        <row r="9393">
          <cell r="A9393" t="str">
            <v>SP0863-L</v>
          </cell>
          <cell r="B9393" t="str">
            <v>P863</v>
          </cell>
          <cell r="C9393" t="str">
            <v>ซาติน แขนยาวขายาว ดอกไม้เหมันต์ L</v>
          </cell>
          <cell r="E9393">
            <v>0</v>
          </cell>
          <cell r="F9393">
            <v>990</v>
          </cell>
        </row>
        <row r="9394">
          <cell r="A9394" t="str">
            <v>SP0863-M</v>
          </cell>
          <cell r="B9394" t="str">
            <v>P863</v>
          </cell>
          <cell r="C9394" t="str">
            <v>ซาติน แขนยาวขายาว ดอกไม้เหมันต์ M</v>
          </cell>
          <cell r="E9394">
            <v>0</v>
          </cell>
          <cell r="F9394">
            <v>990</v>
          </cell>
        </row>
        <row r="9395">
          <cell r="A9395" t="str">
            <v>SP0863-S</v>
          </cell>
          <cell r="B9395" t="str">
            <v>P863</v>
          </cell>
          <cell r="C9395" t="str">
            <v>ซาติน แขนยาวขายาว ดอกไม้เหมันต์ S</v>
          </cell>
          <cell r="E9395">
            <v>0</v>
          </cell>
          <cell r="F9395">
            <v>990</v>
          </cell>
        </row>
        <row r="9396">
          <cell r="A9396" t="str">
            <v>SP0863-XL</v>
          </cell>
          <cell r="B9396" t="str">
            <v>P863</v>
          </cell>
          <cell r="C9396" t="str">
            <v>ซาติน แขนยาวขายาว ดอกไม้เหมันต์ XL</v>
          </cell>
          <cell r="E9396">
            <v>0</v>
          </cell>
          <cell r="F9396">
            <v>990</v>
          </cell>
        </row>
        <row r="9397">
          <cell r="A9397" t="str">
            <v>SP0865-2XL</v>
          </cell>
          <cell r="B9397" t="str">
            <v>P865</v>
          </cell>
          <cell r="C9397" t="str">
            <v>ซาติน แขนยาวขายาว Green Garden and Blue flowers 2XL</v>
          </cell>
          <cell r="E9397">
            <v>0</v>
          </cell>
          <cell r="F9397">
            <v>990</v>
          </cell>
        </row>
        <row r="9398">
          <cell r="A9398" t="str">
            <v>SP0865-L</v>
          </cell>
          <cell r="B9398" t="str">
            <v>P865</v>
          </cell>
          <cell r="C9398" t="str">
            <v>ซาติน  แขนยาวขายาว Green Garden and Blue flowers L</v>
          </cell>
          <cell r="E9398">
            <v>0</v>
          </cell>
          <cell r="F9398">
            <v>990</v>
          </cell>
        </row>
        <row r="9399">
          <cell r="A9399" t="str">
            <v>SP0865-M</v>
          </cell>
          <cell r="B9399" t="str">
            <v>P865</v>
          </cell>
          <cell r="C9399" t="str">
            <v>ซาติน  แขนยาวขายาว Green Garden and Blue flowers M</v>
          </cell>
          <cell r="E9399">
            <v>0</v>
          </cell>
          <cell r="F9399">
            <v>990</v>
          </cell>
        </row>
        <row r="9400">
          <cell r="A9400" t="str">
            <v>SP0865-XL</v>
          </cell>
          <cell r="B9400" t="str">
            <v>P865</v>
          </cell>
          <cell r="C9400" t="str">
            <v>ซาติน แขนยาวขายาว Green Garden and Blue flowers XL</v>
          </cell>
          <cell r="E9400">
            <v>0</v>
          </cell>
          <cell r="F9400">
            <v>990</v>
          </cell>
        </row>
        <row r="9401">
          <cell r="A9401" t="str">
            <v>SP0870-L</v>
          </cell>
          <cell r="B9401" t="str">
            <v>P870</v>
          </cell>
          <cell r="C9401" t="str">
            <v>ซาติน แขนยาวขายาว Sky And Pink Rose L</v>
          </cell>
          <cell r="E9401">
            <v>0</v>
          </cell>
          <cell r="F9401">
            <v>990</v>
          </cell>
        </row>
        <row r="9402">
          <cell r="A9402" t="str">
            <v>SP0870-M</v>
          </cell>
          <cell r="B9402" t="str">
            <v>P870</v>
          </cell>
          <cell r="C9402" t="str">
            <v>ซาติน แขนยาวขายาว Sky And Pink Rose M</v>
          </cell>
          <cell r="E9402">
            <v>0</v>
          </cell>
          <cell r="F9402">
            <v>990</v>
          </cell>
        </row>
        <row r="9403">
          <cell r="A9403" t="str">
            <v>SP0870-XL</v>
          </cell>
          <cell r="B9403" t="str">
            <v>P870</v>
          </cell>
          <cell r="C9403" t="str">
            <v>ซาติน แขนยาวขายาว Sky And Pink Rose XL</v>
          </cell>
          <cell r="E9403">
            <v>0</v>
          </cell>
          <cell r="F9403">
            <v>990</v>
          </cell>
        </row>
        <row r="9404">
          <cell r="A9404" t="str">
            <v>SP0871-L</v>
          </cell>
          <cell r="B9404" t="str">
            <v>P871</v>
          </cell>
          <cell r="C9404" t="str">
            <v>ซาติน แขนยาวขายาว ฮัมมิ่งเบิร์ด พื้นเขียว L</v>
          </cell>
          <cell r="E9404">
            <v>0</v>
          </cell>
          <cell r="F9404">
            <v>990</v>
          </cell>
        </row>
        <row r="9405">
          <cell r="A9405" t="str">
            <v>SP0871-M</v>
          </cell>
          <cell r="B9405" t="str">
            <v>P871</v>
          </cell>
          <cell r="C9405" t="str">
            <v>ซาติน แขนยาวขายาว ฮัมมิ่งเบิร์ด พื้นเขียว M</v>
          </cell>
          <cell r="E9405">
            <v>0</v>
          </cell>
          <cell r="F9405">
            <v>990</v>
          </cell>
        </row>
        <row r="9406">
          <cell r="A9406" t="str">
            <v>SP0871-XL</v>
          </cell>
          <cell r="B9406" t="str">
            <v>P871</v>
          </cell>
          <cell r="C9406" t="str">
            <v>ซาติน แขนยาวขายาว ฮัมมิ่งเบิร์ด พื้นเขียว XL</v>
          </cell>
          <cell r="E9406">
            <v>0</v>
          </cell>
          <cell r="F9406">
            <v>990</v>
          </cell>
        </row>
        <row r="9407">
          <cell r="A9407" t="str">
            <v>SP0872-F</v>
          </cell>
          <cell r="B9407" t="str">
            <v>BP872</v>
          </cell>
          <cell r="C9407" t="str">
            <v>ซาติน แขนยาวขายาว ดอกกล้วยไม้ ขอบแดง F</v>
          </cell>
          <cell r="E9407">
            <v>0</v>
          </cell>
          <cell r="F9407">
            <v>950</v>
          </cell>
        </row>
        <row r="9408">
          <cell r="A9408" t="str">
            <v>SP0873-F</v>
          </cell>
          <cell r="B9408" t="str">
            <v>P873</v>
          </cell>
          <cell r="C9408" t="str">
            <v>ซิลค์แจ็คการ์ด แขนยาวขายาว Mini Pink Heart F</v>
          </cell>
          <cell r="E9408">
            <v>0</v>
          </cell>
          <cell r="F9408">
            <v>950</v>
          </cell>
        </row>
        <row r="9409">
          <cell r="A9409" t="str">
            <v>SP0874-F</v>
          </cell>
          <cell r="B9409" t="str">
            <v>JP874</v>
          </cell>
          <cell r="C9409" t="str">
            <v>ซิลค์แจ็คการ์ด แขนยาวขายาว พื้นขาว กระต่าย ปกฟ้า เหลือง F ตัวโชว์</v>
          </cell>
          <cell r="E9409">
            <v>0</v>
          </cell>
          <cell r="F9409">
            <v>950</v>
          </cell>
        </row>
        <row r="9410">
          <cell r="A9410" t="str">
            <v>SP0875-F</v>
          </cell>
          <cell r="B9410" t="str">
            <v>P875</v>
          </cell>
          <cell r="C9410" t="str">
            <v>ซิลค์แจ็คการ์ด แขนยาวขายาว เอลฟ์ปกเขียว F</v>
          </cell>
          <cell r="E9410">
            <v>0</v>
          </cell>
          <cell r="F9410">
            <v>750</v>
          </cell>
        </row>
        <row r="9411">
          <cell r="A9411" t="str">
            <v>SP0876-F</v>
          </cell>
          <cell r="B9411" t="str">
            <v>P876</v>
          </cell>
          <cell r="C9411" t="str">
            <v>ซิลค์แจ็คการ์ด แขนยาวขายาว ยีราฟ ข้าวหลามตัดฟ้า F</v>
          </cell>
          <cell r="E9411">
            <v>0</v>
          </cell>
          <cell r="F9411">
            <v>990</v>
          </cell>
        </row>
        <row r="9412">
          <cell r="A9412" t="str">
            <v>SP0877-F</v>
          </cell>
          <cell r="B9412" t="str">
            <v>P877</v>
          </cell>
          <cell r="C9412" t="str">
            <v>ซิลค์แจ็คการ์ด แขนยาวขายาว Window and Flowers F</v>
          </cell>
          <cell r="E9412">
            <v>0</v>
          </cell>
          <cell r="F9412">
            <v>990</v>
          </cell>
        </row>
        <row r="9413">
          <cell r="A9413" t="str">
            <v>SP0878-2XL</v>
          </cell>
          <cell r="B9413" t="str">
            <v>P878</v>
          </cell>
          <cell r="C9413" t="str">
            <v>ซาติน แขนยาวขายาว Romance Flowers 2XL</v>
          </cell>
          <cell r="E9413">
            <v>0</v>
          </cell>
          <cell r="F9413">
            <v>990</v>
          </cell>
        </row>
        <row r="9414">
          <cell r="A9414" t="str">
            <v>SP0878-L</v>
          </cell>
          <cell r="B9414" t="str">
            <v>P878</v>
          </cell>
          <cell r="C9414" t="str">
            <v>ซาติน แขนยาวขายาว Romance Flowers L</v>
          </cell>
          <cell r="E9414">
            <v>0</v>
          </cell>
          <cell r="F9414">
            <v>990</v>
          </cell>
        </row>
        <row r="9415">
          <cell r="A9415" t="str">
            <v>SP0878-M</v>
          </cell>
          <cell r="B9415" t="str">
            <v>P878</v>
          </cell>
          <cell r="C9415" t="str">
            <v>ซาติน แขนยาวขายาว Romance Flowers M</v>
          </cell>
          <cell r="E9415">
            <v>0</v>
          </cell>
          <cell r="F9415">
            <v>990</v>
          </cell>
        </row>
        <row r="9416">
          <cell r="A9416" t="str">
            <v>SP0878-XL</v>
          </cell>
          <cell r="B9416" t="str">
            <v>P878</v>
          </cell>
          <cell r="C9416" t="str">
            <v>ซาติน แขนยาวขายาว Romance Flowers XL</v>
          </cell>
          <cell r="E9416">
            <v>0</v>
          </cell>
          <cell r="F9416">
            <v>990</v>
          </cell>
        </row>
        <row r="9417">
          <cell r="A9417" t="str">
            <v>SP0879-L</v>
          </cell>
          <cell r="B9417" t="str">
            <v>P879</v>
          </cell>
          <cell r="C9417" t="str">
            <v>ซาติน แขนยาวขายาว ดอกกาสะลองคำ L</v>
          </cell>
          <cell r="E9417">
            <v>0</v>
          </cell>
          <cell r="F9417">
            <v>990</v>
          </cell>
        </row>
        <row r="9418">
          <cell r="A9418" t="str">
            <v>SP0879-M</v>
          </cell>
          <cell r="B9418" t="str">
            <v>P879</v>
          </cell>
          <cell r="C9418" t="str">
            <v>ซาติน แขนยาวขายาว ดอกกาสะลองคำ M</v>
          </cell>
          <cell r="E9418">
            <v>0</v>
          </cell>
          <cell r="F9418">
            <v>990</v>
          </cell>
        </row>
        <row r="9419">
          <cell r="A9419" t="str">
            <v>SP0879-XL</v>
          </cell>
          <cell r="B9419" t="str">
            <v>P879</v>
          </cell>
          <cell r="C9419" t="str">
            <v>ซาติน แขนยาวขายาว ดอกกาสะลองคำ XL</v>
          </cell>
          <cell r="E9419">
            <v>0</v>
          </cell>
          <cell r="F9419">
            <v>950</v>
          </cell>
        </row>
        <row r="9420">
          <cell r="A9420" t="str">
            <v>SP0885-2XL</v>
          </cell>
          <cell r="B9420" t="str">
            <v>P885</v>
          </cell>
          <cell r="C9420" t="str">
            <v>ซาติน แขนยาวขายาว สุนัขรวม พื้นชมพู 2XL</v>
          </cell>
          <cell r="E9420">
            <v>0</v>
          </cell>
          <cell r="F9420">
            <v>990</v>
          </cell>
        </row>
        <row r="9421">
          <cell r="A9421" t="str">
            <v>SP0885-3XL</v>
          </cell>
          <cell r="B9421" t="str">
            <v>P885</v>
          </cell>
          <cell r="C9421" t="str">
            <v>ซาติน แขนยาวขายาว สุนัขรวม พื้นชมพู 3XL</v>
          </cell>
          <cell r="E9421">
            <v>0</v>
          </cell>
          <cell r="F9421">
            <v>990</v>
          </cell>
        </row>
        <row r="9422">
          <cell r="A9422" t="str">
            <v>SP0885-L</v>
          </cell>
          <cell r="B9422" t="str">
            <v>P885</v>
          </cell>
          <cell r="C9422" t="str">
            <v>ซาติน แขนยาวขายาว สุนัขรวม พื้นชมพู L</v>
          </cell>
          <cell r="E9422">
            <v>0</v>
          </cell>
          <cell r="F9422">
            <v>990</v>
          </cell>
        </row>
        <row r="9423">
          <cell r="A9423" t="str">
            <v>SP0885-M</v>
          </cell>
          <cell r="B9423" t="str">
            <v>P885</v>
          </cell>
          <cell r="C9423" t="str">
            <v>ซาติน แขนยาวขายาว สุนัขรวม พื้นชมพู M</v>
          </cell>
          <cell r="E9423">
            <v>0</v>
          </cell>
          <cell r="F9423">
            <v>990</v>
          </cell>
        </row>
        <row r="9424">
          <cell r="A9424" t="str">
            <v>SP0885-XL</v>
          </cell>
          <cell r="B9424" t="str">
            <v>P885</v>
          </cell>
          <cell r="C9424" t="str">
            <v>ซาติน แขนยาวขายาว สุนัขรวม พื้นชมพู XL</v>
          </cell>
          <cell r="E9424">
            <v>0</v>
          </cell>
          <cell r="F9424">
            <v>990</v>
          </cell>
        </row>
        <row r="9425">
          <cell r="A9425" t="str">
            <v>SP0886-2XL</v>
          </cell>
          <cell r="B9425" t="str">
            <v>P886</v>
          </cell>
          <cell r="C9425" t="str">
            <v>ซาติน แขนยาวขายาว แพนกวินรวม พื้นเขียว 2XL</v>
          </cell>
          <cell r="E9425">
            <v>0</v>
          </cell>
          <cell r="F9425">
            <v>990</v>
          </cell>
        </row>
        <row r="9426">
          <cell r="A9426" t="str">
            <v>SP0886-L</v>
          </cell>
          <cell r="B9426" t="str">
            <v>P886</v>
          </cell>
          <cell r="C9426" t="str">
            <v>ซาติน แขนยาวขายาว แพนกวินรวม พื้นเขียว L</v>
          </cell>
          <cell r="E9426">
            <v>0</v>
          </cell>
          <cell r="F9426">
            <v>990</v>
          </cell>
        </row>
        <row r="9427">
          <cell r="A9427" t="str">
            <v>SP0886-M</v>
          </cell>
          <cell r="B9427" t="str">
            <v>P886</v>
          </cell>
          <cell r="C9427" t="str">
            <v>ซาติน แขนยาวขายาว แพนกวินรวม พื้นเขียว M</v>
          </cell>
          <cell r="E9427">
            <v>0</v>
          </cell>
          <cell r="F9427">
            <v>990</v>
          </cell>
        </row>
        <row r="9428">
          <cell r="A9428" t="str">
            <v>SP0886-XL</v>
          </cell>
          <cell r="B9428" t="str">
            <v>P886</v>
          </cell>
          <cell r="C9428" t="str">
            <v>ซาติน แขนยาวขายาว แพนกวินรวม พื้นเขียว XL</v>
          </cell>
          <cell r="E9428">
            <v>0</v>
          </cell>
          <cell r="F9428">
            <v>990</v>
          </cell>
        </row>
        <row r="9429">
          <cell r="A9429" t="str">
            <v>SP0887-2XL</v>
          </cell>
          <cell r="B9429" t="str">
            <v>P887</v>
          </cell>
          <cell r="C9429" t="str">
            <v>ซาติน แขนยาวขายาว แมวรวม พื้นเขียวขี้ม้า 2XL</v>
          </cell>
          <cell r="E9429">
            <v>0</v>
          </cell>
          <cell r="F9429">
            <v>990</v>
          </cell>
        </row>
        <row r="9430">
          <cell r="A9430" t="str">
            <v>SP0887-3XL</v>
          </cell>
          <cell r="B9430" t="str">
            <v>P887</v>
          </cell>
          <cell r="C9430" t="str">
            <v>ซาติน แขนยาวขายาว แมวรวม พื้นเขียวขี้ม้า 3XL</v>
          </cell>
          <cell r="E9430">
            <v>0</v>
          </cell>
          <cell r="F9430">
            <v>990</v>
          </cell>
        </row>
        <row r="9431">
          <cell r="A9431" t="str">
            <v>SP0887-L</v>
          </cell>
          <cell r="B9431" t="str">
            <v>P887</v>
          </cell>
          <cell r="C9431" t="str">
            <v>ซาติน แขนยาวขายาว แมวรวม พื้นเขียวขี้ม้า L</v>
          </cell>
          <cell r="E9431">
            <v>0</v>
          </cell>
          <cell r="F9431">
            <v>990</v>
          </cell>
        </row>
        <row r="9432">
          <cell r="A9432" t="str">
            <v>SP0887-M</v>
          </cell>
          <cell r="B9432" t="str">
            <v>P887</v>
          </cell>
          <cell r="C9432" t="str">
            <v>ซาติน แขนยาวขายาว แมวรวม พื้นเขียวขี้ม้า M</v>
          </cell>
          <cell r="E9432">
            <v>0</v>
          </cell>
          <cell r="F9432">
            <v>990</v>
          </cell>
        </row>
        <row r="9433">
          <cell r="A9433" t="str">
            <v>SP0887-XL</v>
          </cell>
          <cell r="B9433" t="str">
            <v>P887</v>
          </cell>
          <cell r="C9433" t="str">
            <v>ซาติน แขนยาวขายาว แมวรวม พื้นเขียวขี้ม้า XL</v>
          </cell>
          <cell r="E9433">
            <v>0</v>
          </cell>
          <cell r="F9433">
            <v>990</v>
          </cell>
        </row>
        <row r="9434">
          <cell r="A9434" t="str">
            <v>SP0888-2XL</v>
          </cell>
          <cell r="B9434" t="str">
            <v>P888</v>
          </cell>
          <cell r="C9434" t="str">
            <v>ซาติน แขนยาวขายาว ผักรวม พื้นชมพู 2XL</v>
          </cell>
          <cell r="E9434">
            <v>0</v>
          </cell>
          <cell r="F9434">
            <v>990</v>
          </cell>
        </row>
        <row r="9435">
          <cell r="A9435" t="str">
            <v>SP0888-L</v>
          </cell>
          <cell r="B9435" t="str">
            <v>P888</v>
          </cell>
          <cell r="C9435" t="str">
            <v>ซาติน แขนยาวขายาว ผักรวม พื้นชมพู L</v>
          </cell>
          <cell r="E9435">
            <v>0</v>
          </cell>
          <cell r="F9435">
            <v>990</v>
          </cell>
        </row>
        <row r="9436">
          <cell r="A9436" t="str">
            <v>SP0888-M</v>
          </cell>
          <cell r="B9436" t="str">
            <v>P888</v>
          </cell>
          <cell r="C9436" t="str">
            <v>ซาติน แขนยาวขายาว ผักรวม พื้นชมพู M</v>
          </cell>
          <cell r="E9436">
            <v>0</v>
          </cell>
          <cell r="F9436">
            <v>990</v>
          </cell>
        </row>
        <row r="9437">
          <cell r="A9437" t="str">
            <v>SP0888-XL</v>
          </cell>
          <cell r="B9437" t="str">
            <v>P888</v>
          </cell>
          <cell r="C9437" t="str">
            <v>ซาติน แขนยาวขายาว ผักรวม พื้นชมพู XL</v>
          </cell>
          <cell r="E9437">
            <v>0</v>
          </cell>
          <cell r="F9437">
            <v>990</v>
          </cell>
        </row>
        <row r="9438">
          <cell r="A9438" t="str">
            <v>SP0889-2XL</v>
          </cell>
          <cell r="B9438" t="str">
            <v>P889</v>
          </cell>
          <cell r="C9438" t="str">
            <v>ซาติน แขนยาวขายาว แมวรวม พื้นฟ้า 2XL</v>
          </cell>
          <cell r="E9438">
            <v>0</v>
          </cell>
          <cell r="F9438">
            <v>990</v>
          </cell>
        </row>
        <row r="9439">
          <cell r="A9439" t="str">
            <v>SP0889-L</v>
          </cell>
          <cell r="B9439" t="str">
            <v>P889</v>
          </cell>
          <cell r="C9439" t="str">
            <v>ซาติน แขนยาวขายาว แมวรวม พื้นฟ้า L</v>
          </cell>
          <cell r="E9439">
            <v>0</v>
          </cell>
          <cell r="F9439">
            <v>990</v>
          </cell>
        </row>
        <row r="9440">
          <cell r="A9440" t="str">
            <v>SP0889-M</v>
          </cell>
          <cell r="B9440" t="str">
            <v>P889</v>
          </cell>
          <cell r="C9440" t="str">
            <v>ซาติน แขนยาวขายาว แมวรวม พื้นฟ้า M</v>
          </cell>
          <cell r="E9440">
            <v>0</v>
          </cell>
          <cell r="F9440">
            <v>990</v>
          </cell>
        </row>
        <row r="9441">
          <cell r="A9441" t="str">
            <v>SP0889-XL</v>
          </cell>
          <cell r="B9441" t="str">
            <v>P889</v>
          </cell>
          <cell r="C9441" t="str">
            <v>ซาติน แขนยาวขายาว แมวรวม พื้นฟ้า XL</v>
          </cell>
          <cell r="E9441">
            <v>0</v>
          </cell>
          <cell r="F9441">
            <v>990</v>
          </cell>
        </row>
        <row r="9442">
          <cell r="A9442" t="str">
            <v>SP0893-F</v>
          </cell>
          <cell r="B9442" t="str">
            <v>P893</v>
          </cell>
          <cell r="C9442" t="str">
            <v>ซิลค์แจ็คการ์ด แขนยาวขายาว น้องหมึก ขอบชมพู F</v>
          </cell>
          <cell r="E9442">
            <v>0</v>
          </cell>
          <cell r="F9442">
            <v>990</v>
          </cell>
        </row>
        <row r="9443">
          <cell r="A9443" t="str">
            <v>SP0894-F</v>
          </cell>
          <cell r="B9443" t="str">
            <v>P894</v>
          </cell>
          <cell r="C9443" t="str">
            <v>ซิลค์แจ็คการ์ด แขนยาวขายาว เรนเดียร์ พื้นแดง F</v>
          </cell>
          <cell r="E9443">
            <v>0</v>
          </cell>
          <cell r="F9443">
            <v>990</v>
          </cell>
        </row>
        <row r="9444">
          <cell r="A9444" t="str">
            <v>SP0895-F</v>
          </cell>
          <cell r="B9444" t="str">
            <v>P895</v>
          </cell>
          <cell r="C9444" t="str">
            <v>ซิลค์แจ็คการ์ด แขนยาวขายาว Pinky Rose F</v>
          </cell>
          <cell r="E9444">
            <v>0</v>
          </cell>
          <cell r="F9444">
            <v>990</v>
          </cell>
        </row>
        <row r="9445">
          <cell r="A9445" t="str">
            <v>SP0896-F</v>
          </cell>
          <cell r="B9445" t="str">
            <v>P896</v>
          </cell>
          <cell r="C9445" t="str">
            <v>ซิลค์แจ็คการ์ด แขนยาวขายาว Star พื้นชมพู ขอบขาว F</v>
          </cell>
          <cell r="E9445">
            <v>0</v>
          </cell>
          <cell r="F9445">
            <v>990</v>
          </cell>
        </row>
        <row r="9446">
          <cell r="A9446" t="str">
            <v>SP0897-F</v>
          </cell>
          <cell r="B9446" t="str">
            <v>P897</v>
          </cell>
          <cell r="C9446" t="str">
            <v>ซิลค์แจ็คการ์ด แขนยาวขายาว น้องกระต่าย พื้นชมพู F</v>
          </cell>
          <cell r="E9446">
            <v>0</v>
          </cell>
          <cell r="F9446">
            <v>990</v>
          </cell>
        </row>
        <row r="9447">
          <cell r="A9447" t="str">
            <v>SP0898-F</v>
          </cell>
          <cell r="B9447" t="str">
            <v>P898</v>
          </cell>
          <cell r="C9447" t="str">
            <v>ซิลค์แจ็คการ์ด แขนยาวขายาว น้องกระต่ายและสตรอเบอร์รี่ พื้นเขียว F</v>
          </cell>
          <cell r="E9447">
            <v>0</v>
          </cell>
          <cell r="F9447">
            <v>990</v>
          </cell>
        </row>
        <row r="9448">
          <cell r="A9448" t="str">
            <v>SP0899-L</v>
          </cell>
          <cell r="B9448" t="str">
            <v>P899</v>
          </cell>
          <cell r="C9448" t="str">
            <v>ซาติน แขนยาวขายาว หัวใจม่วงขาว (กปก) L</v>
          </cell>
          <cell r="E9448">
            <v>0</v>
          </cell>
          <cell r="F9448">
            <v>990</v>
          </cell>
        </row>
        <row r="9449">
          <cell r="A9449" t="str">
            <v>SP0899-M</v>
          </cell>
          <cell r="B9449" t="str">
            <v>P899</v>
          </cell>
          <cell r="C9449" t="str">
            <v>ซาติน แขนยาวขายาว หัวใจม่วงขาว (กปก) M</v>
          </cell>
          <cell r="E9449">
            <v>0</v>
          </cell>
          <cell r="F9449">
            <v>990</v>
          </cell>
        </row>
        <row r="9450">
          <cell r="A9450" t="str">
            <v>SP0900-L</v>
          </cell>
          <cell r="B9450" t="str">
            <v>P900</v>
          </cell>
          <cell r="C9450" t="str">
            <v>ซาติน แขนยาวขายาว ลายทาง ขาว ดำ (กปก) L</v>
          </cell>
          <cell r="E9450">
            <v>0</v>
          </cell>
          <cell r="F9450">
            <v>990</v>
          </cell>
        </row>
        <row r="9451">
          <cell r="A9451" t="str">
            <v>SP0900-M</v>
          </cell>
          <cell r="B9451" t="str">
            <v>P900</v>
          </cell>
          <cell r="C9451" t="str">
            <v>ซาติน แขนยาวขายาว ลายทาง ขาว ดำ (กปก) M</v>
          </cell>
          <cell r="E9451">
            <v>0</v>
          </cell>
          <cell r="F9451">
            <v>990</v>
          </cell>
        </row>
        <row r="9452">
          <cell r="A9452" t="str">
            <v>SP0901-L</v>
          </cell>
          <cell r="B9452" t="str">
            <v>P901</v>
          </cell>
          <cell r="C9452" t="str">
            <v>ซาติน แขนยาวขายาว กระต่าย พื้นชมพู (กปก) L</v>
          </cell>
          <cell r="E9452">
            <v>0</v>
          </cell>
          <cell r="F9452">
            <v>990</v>
          </cell>
        </row>
        <row r="9453">
          <cell r="A9453" t="str">
            <v>SP0901-M</v>
          </cell>
          <cell r="B9453" t="str">
            <v>P901</v>
          </cell>
          <cell r="C9453" t="str">
            <v>ซาติน แขนยาวขายาว กระต่าย พื้นชมพู (กปก) M</v>
          </cell>
          <cell r="E9453">
            <v>0</v>
          </cell>
          <cell r="F9453">
            <v>990</v>
          </cell>
        </row>
        <row r="9454">
          <cell r="A9454" t="str">
            <v>SP0902-L</v>
          </cell>
          <cell r="B9454" t="str">
            <v>P902</v>
          </cell>
          <cell r="C9454" t="str">
            <v>ซาติน แขนยาวขายาว กระต่าย พื้นขาว (กปก) L</v>
          </cell>
          <cell r="E9454">
            <v>0</v>
          </cell>
          <cell r="F9454">
            <v>990</v>
          </cell>
        </row>
        <row r="9455">
          <cell r="A9455" t="str">
            <v>SP0902-M</v>
          </cell>
          <cell r="B9455" t="str">
            <v>P902</v>
          </cell>
          <cell r="C9455" t="str">
            <v>ซาติน แขนยาวขายาว กระต่าย พื้นขาว (กปก) M</v>
          </cell>
          <cell r="E9455">
            <v>0</v>
          </cell>
          <cell r="F9455">
            <v>990</v>
          </cell>
        </row>
        <row r="9456">
          <cell r="A9456" t="str">
            <v>SP0903-L</v>
          </cell>
          <cell r="B9456" t="str">
            <v>P903</v>
          </cell>
          <cell r="C9456" t="str">
            <v>ซาติน แขนยาวขายาว น้องหมี พื้นชมพู L</v>
          </cell>
          <cell r="E9456">
            <v>0</v>
          </cell>
          <cell r="F9456">
            <v>990</v>
          </cell>
        </row>
        <row r="9457">
          <cell r="A9457" t="str">
            <v>SP0903-M</v>
          </cell>
          <cell r="B9457" t="str">
            <v>P903</v>
          </cell>
          <cell r="C9457" t="str">
            <v>ซาติน แขนยาวขายาว น้องหมี พื้นชมพู M</v>
          </cell>
          <cell r="E9457">
            <v>0</v>
          </cell>
          <cell r="F9457">
            <v>990</v>
          </cell>
        </row>
        <row r="9458">
          <cell r="A9458" t="str">
            <v>SP0907-L</v>
          </cell>
          <cell r="B9458" t="str">
            <v>P907</v>
          </cell>
          <cell r="C9458" t="str">
            <v>ซาติน แขนยาวขายาว หุบเขา ปกน้ำตาล ขอบดำ L</v>
          </cell>
          <cell r="E9458">
            <v>0</v>
          </cell>
          <cell r="F9458">
            <v>990</v>
          </cell>
        </row>
        <row r="9459">
          <cell r="A9459" t="str">
            <v>SP0907-M</v>
          </cell>
          <cell r="B9459" t="str">
            <v>P907</v>
          </cell>
          <cell r="C9459" t="str">
            <v>ซาติน แขนยาวขายาว หุบเขา ปกน้ำตาล ขอบดำ M</v>
          </cell>
          <cell r="E9459">
            <v>0</v>
          </cell>
          <cell r="F9459">
            <v>990</v>
          </cell>
        </row>
        <row r="9460">
          <cell r="A9460" t="str">
            <v>SP0907-S</v>
          </cell>
          <cell r="B9460" t="str">
            <v>P907</v>
          </cell>
          <cell r="C9460" t="str">
            <v>ซาติน แขนยาวขายาว หุบเขา ปกน้ำตาล ขอบดำ S</v>
          </cell>
          <cell r="E9460">
            <v>0</v>
          </cell>
          <cell r="F9460">
            <v>990</v>
          </cell>
        </row>
        <row r="9461">
          <cell r="A9461" t="str">
            <v>SP0907-XL</v>
          </cell>
          <cell r="B9461" t="str">
            <v>P907</v>
          </cell>
          <cell r="C9461" t="str">
            <v>ซาติน แขนยาวขายาว หุบเขา ปกน้ำตาล ขอบดำ XL</v>
          </cell>
          <cell r="E9461">
            <v>0</v>
          </cell>
          <cell r="F9461">
            <v>990</v>
          </cell>
        </row>
        <row r="9462">
          <cell r="A9462" t="str">
            <v>SP0909-L</v>
          </cell>
          <cell r="B9462" t="str">
            <v>P909</v>
          </cell>
          <cell r="C9462" t="str">
            <v>ซาติน แขนยาวขายาว ลูกกวาด พื้นม่วง คอระบาย L</v>
          </cell>
          <cell r="E9462">
            <v>0</v>
          </cell>
          <cell r="F9462">
            <v>990</v>
          </cell>
        </row>
        <row r="9463">
          <cell r="A9463" t="str">
            <v>SP0909-M</v>
          </cell>
          <cell r="B9463" t="str">
            <v>P909</v>
          </cell>
          <cell r="C9463" t="str">
            <v>ซาติน แขนยาวขายาว ลูกกวาด พื้นม่วง คอระบาย M</v>
          </cell>
          <cell r="E9463">
            <v>0</v>
          </cell>
          <cell r="F9463">
            <v>990</v>
          </cell>
        </row>
        <row r="9464">
          <cell r="A9464" t="str">
            <v>SP0910-L</v>
          </cell>
          <cell r="B9464" t="str">
            <v>P910</v>
          </cell>
          <cell r="C9464" t="str">
            <v>ซาติน แขนยาวขายาว ลูกโป่ง พื้นชมพู คอระบาย L</v>
          </cell>
          <cell r="E9464">
            <v>0</v>
          </cell>
          <cell r="F9464">
            <v>990</v>
          </cell>
        </row>
        <row r="9465">
          <cell r="A9465" t="str">
            <v>SP0910-M</v>
          </cell>
          <cell r="B9465" t="str">
            <v>P910</v>
          </cell>
          <cell r="C9465" t="str">
            <v>ซาติน แขนยาวขายาว ลูกโป่ง พื้นชมพู คอระบาย M</v>
          </cell>
          <cell r="E9465">
            <v>0</v>
          </cell>
          <cell r="F9465">
            <v>990</v>
          </cell>
        </row>
        <row r="9466">
          <cell r="A9466" t="str">
            <v>SP0913-L</v>
          </cell>
          <cell r="B9466" t="str">
            <v>P913</v>
          </cell>
          <cell r="C9466" t="str">
            <v>ซาติน แขนยาวขายาว ตาราง หัวใจ เขียวขาว L (กปก)</v>
          </cell>
          <cell r="E9466">
            <v>0</v>
          </cell>
          <cell r="F9466">
            <v>990</v>
          </cell>
        </row>
        <row r="9467">
          <cell r="A9467" t="str">
            <v>SP0913-M</v>
          </cell>
          <cell r="B9467" t="str">
            <v>P913</v>
          </cell>
          <cell r="C9467" t="str">
            <v>ซาติน แขนยาวขายาว ตาราง หัวใจ เขียวขาว M (กปก)</v>
          </cell>
          <cell r="E9467">
            <v>0</v>
          </cell>
          <cell r="F9467">
            <v>990</v>
          </cell>
        </row>
        <row r="9468">
          <cell r="A9468" t="str">
            <v>SP0914-F</v>
          </cell>
          <cell r="B9468" t="str">
            <v>P914</v>
          </cell>
          <cell r="C9468" t="str">
            <v>ซิลค์แจ็คการ์ด แขนยาวขายาว Snow พื้นแดง ขอบขาว F</v>
          </cell>
          <cell r="E9468">
            <v>0</v>
          </cell>
          <cell r="F9468">
            <v>990</v>
          </cell>
        </row>
        <row r="9469">
          <cell r="A9469" t="str">
            <v>SP0915-F</v>
          </cell>
          <cell r="B9469" t="str">
            <v>P915</v>
          </cell>
          <cell r="C9469" t="str">
            <v>ซิลค์แจ็คการ์ด แขนยาวขายาว Christmas ขอบขาว F</v>
          </cell>
          <cell r="E9469">
            <v>0</v>
          </cell>
          <cell r="F9469">
            <v>990</v>
          </cell>
        </row>
        <row r="9470">
          <cell r="A9470" t="str">
            <v>SP0916-F</v>
          </cell>
          <cell r="B9470" t="str">
            <v>P916</v>
          </cell>
          <cell r="C9470" t="str">
            <v>ซิลค์แจ็คการ์ด แขนยาวขายาว ถุงมือ พื้นขาว ขอบเขียว F</v>
          </cell>
          <cell r="E9470">
            <v>0</v>
          </cell>
          <cell r="F9470">
            <v>990</v>
          </cell>
        </row>
        <row r="9471">
          <cell r="A9471" t="str">
            <v>SP0917-L</v>
          </cell>
          <cell r="B9471" t="str">
            <v>P917</v>
          </cell>
          <cell r="C9471" t="str">
            <v>ซาติน แขนยาวขายาว ทูโทนฟ้าชมพู L (กปก)</v>
          </cell>
          <cell r="E9471">
            <v>0</v>
          </cell>
          <cell r="F9471">
            <v>990</v>
          </cell>
        </row>
        <row r="9472">
          <cell r="A9472" t="str">
            <v>SP0917-M</v>
          </cell>
          <cell r="B9472" t="str">
            <v>P917</v>
          </cell>
          <cell r="C9472" t="str">
            <v>ซาติน แขนยาวขายาว ทูโทนฟ้าชมพู M (กปก)</v>
          </cell>
          <cell r="E9472">
            <v>0</v>
          </cell>
          <cell r="F9472">
            <v>990</v>
          </cell>
        </row>
        <row r="9473">
          <cell r="A9473" t="str">
            <v>SP0923-2XL</v>
          </cell>
          <cell r="B9473" t="str">
            <v>P923</v>
          </cell>
          <cell r="C9473" t="str">
            <v>ซาติน แขนยาวขายาว Jungle Cruise ดำ 2XL  (กปก)</v>
          </cell>
          <cell r="E9473">
            <v>0</v>
          </cell>
          <cell r="F9473">
            <v>990</v>
          </cell>
        </row>
        <row r="9474">
          <cell r="A9474" t="str">
            <v>SP0923-3XL</v>
          </cell>
          <cell r="B9474" t="str">
            <v>P923</v>
          </cell>
          <cell r="C9474" t="str">
            <v>ซาติน แขนยาวขายาว Jungle Cruise ดำ 3XL  (กปก)</v>
          </cell>
          <cell r="E9474">
            <v>0</v>
          </cell>
          <cell r="F9474">
            <v>990</v>
          </cell>
        </row>
        <row r="9475">
          <cell r="A9475" t="str">
            <v>SP0923-L</v>
          </cell>
          <cell r="B9475" t="str">
            <v>QP923</v>
          </cell>
          <cell r="C9475" t="str">
            <v>ซาติน แขนยาวขายาว Jungle Cruise ดำ L (กปก) QC</v>
          </cell>
          <cell r="E9475">
            <v>0</v>
          </cell>
          <cell r="F9475">
            <v>990</v>
          </cell>
        </row>
        <row r="9476">
          <cell r="A9476" t="str">
            <v>SP0923-M</v>
          </cell>
          <cell r="B9476" t="str">
            <v>P923</v>
          </cell>
          <cell r="C9476" t="str">
            <v>ซาติน แขนยาวขายาว Jungle Cruise ดำ M (กปก)</v>
          </cell>
          <cell r="E9476">
            <v>0</v>
          </cell>
          <cell r="F9476">
            <v>990</v>
          </cell>
        </row>
        <row r="9477">
          <cell r="A9477" t="str">
            <v>SP0923-XL</v>
          </cell>
          <cell r="B9477" t="str">
            <v>P923</v>
          </cell>
          <cell r="C9477" t="str">
            <v>ซาติน แขนยาวขายาว Jungle Cruise ดำ XL (กปก)</v>
          </cell>
          <cell r="E9477">
            <v>0</v>
          </cell>
          <cell r="F9477">
            <v>990</v>
          </cell>
        </row>
        <row r="9478">
          <cell r="A9478" t="str">
            <v>SP0924-2XL</v>
          </cell>
          <cell r="B9478" t="str">
            <v>P924</v>
          </cell>
          <cell r="C9478" t="str">
            <v>ซาติน แขนยาวขายาว Jungle Cruise ครีม 2XL  (กปก)</v>
          </cell>
          <cell r="E9478">
            <v>0</v>
          </cell>
          <cell r="F9478">
            <v>990</v>
          </cell>
        </row>
        <row r="9479">
          <cell r="A9479" t="str">
            <v>SP0924-3XL</v>
          </cell>
          <cell r="B9479" t="str">
            <v>P924</v>
          </cell>
          <cell r="C9479" t="str">
            <v>ซาติน แขนยาวขายาว Jungle Cruise ครีม 3XL  (กปก)</v>
          </cell>
          <cell r="E9479">
            <v>0</v>
          </cell>
          <cell r="F9479">
            <v>990</v>
          </cell>
        </row>
        <row r="9480">
          <cell r="A9480" t="str">
            <v>SP0924-L</v>
          </cell>
          <cell r="B9480" t="str">
            <v>P924</v>
          </cell>
          <cell r="C9480" t="str">
            <v>ซาติน แขนยาวขายาว Jungle Cruise ครีม L (กปก)</v>
          </cell>
          <cell r="E9480">
            <v>0</v>
          </cell>
          <cell r="F9480">
            <v>990</v>
          </cell>
        </row>
        <row r="9481">
          <cell r="A9481" t="str">
            <v>SP0924-M</v>
          </cell>
          <cell r="B9481" t="str">
            <v>P924</v>
          </cell>
          <cell r="C9481" t="str">
            <v>ซาติน แขนยาวขายาว Jungle Cruise ครีม M (กปก)</v>
          </cell>
          <cell r="E9481">
            <v>0</v>
          </cell>
          <cell r="F9481">
            <v>990</v>
          </cell>
        </row>
        <row r="9482">
          <cell r="A9482" t="str">
            <v>SP0924-XL</v>
          </cell>
          <cell r="B9482" t="str">
            <v>P924</v>
          </cell>
          <cell r="C9482" t="str">
            <v>ซาติน แขนยาวขายาว Jungle Cruise ครีม XL (กปก)</v>
          </cell>
          <cell r="E9482">
            <v>0</v>
          </cell>
          <cell r="F9482">
            <v>990</v>
          </cell>
        </row>
        <row r="9483">
          <cell r="A9483" t="str">
            <v>SP0930-2XL</v>
          </cell>
          <cell r="B9483" t="str">
            <v>P930</v>
          </cell>
          <cell r="C9483" t="str">
            <v>ซาติน แขนยาวขายาว pinky 2XL (กปก)</v>
          </cell>
          <cell r="E9483">
            <v>1</v>
          </cell>
          <cell r="F9483">
            <v>990</v>
          </cell>
        </row>
        <row r="9484">
          <cell r="A9484" t="str">
            <v>SP0930-L</v>
          </cell>
          <cell r="B9484" t="str">
            <v>P930</v>
          </cell>
          <cell r="C9484" t="str">
            <v>ซาติน แขนยาวขายาว pinky L (กปก)</v>
          </cell>
          <cell r="E9484">
            <v>0</v>
          </cell>
          <cell r="F9484">
            <v>990</v>
          </cell>
        </row>
        <row r="9485">
          <cell r="A9485" t="str">
            <v>SP0930-M</v>
          </cell>
          <cell r="B9485" t="str">
            <v>P930</v>
          </cell>
          <cell r="C9485" t="str">
            <v>ซาติน แขนยาวขายาว pinky M (กปก)</v>
          </cell>
          <cell r="E9485">
            <v>0</v>
          </cell>
          <cell r="F9485">
            <v>990</v>
          </cell>
        </row>
        <row r="9486">
          <cell r="A9486" t="str">
            <v>SP0930-XL</v>
          </cell>
          <cell r="B9486" t="str">
            <v>P930</v>
          </cell>
          <cell r="C9486" t="str">
            <v>ซาติน แขนยาวขายาว pinky XL (กปก)</v>
          </cell>
          <cell r="E9486">
            <v>0</v>
          </cell>
          <cell r="F9486">
            <v>990</v>
          </cell>
        </row>
        <row r="9487">
          <cell r="A9487" t="str">
            <v>SP0931-2XL</v>
          </cell>
          <cell r="B9487" t="str">
            <v>P931</v>
          </cell>
          <cell r="C9487" t="str">
            <v>ซาติน แขนยาวขายาว olivia 2XL (กปก)</v>
          </cell>
          <cell r="E9487">
            <v>0</v>
          </cell>
          <cell r="F9487">
            <v>990</v>
          </cell>
        </row>
        <row r="9488">
          <cell r="A9488" t="str">
            <v>SP0931-L</v>
          </cell>
          <cell r="B9488" t="str">
            <v>P931</v>
          </cell>
          <cell r="C9488" t="str">
            <v>ซาติน แขนยาวขายาว olivia L (กปก)</v>
          </cell>
          <cell r="E9488">
            <v>0</v>
          </cell>
          <cell r="F9488">
            <v>990</v>
          </cell>
        </row>
        <row r="9489">
          <cell r="A9489" t="str">
            <v>SP0931-M</v>
          </cell>
          <cell r="B9489" t="str">
            <v>P931</v>
          </cell>
          <cell r="C9489" t="str">
            <v>ซาติน แขนยาวขายาว olivia M (กปก)</v>
          </cell>
          <cell r="E9489">
            <v>0</v>
          </cell>
          <cell r="F9489">
            <v>990</v>
          </cell>
        </row>
        <row r="9490">
          <cell r="A9490" t="str">
            <v>SP0931-XL</v>
          </cell>
          <cell r="B9490" t="str">
            <v>QP931</v>
          </cell>
          <cell r="C9490" t="str">
            <v>ซาติน แขนยาวขายาว olivia XL (กปก) QC</v>
          </cell>
          <cell r="E9490">
            <v>0</v>
          </cell>
          <cell r="F9490">
            <v>990</v>
          </cell>
        </row>
        <row r="9491">
          <cell r="A9491" t="str">
            <v>SP0932-2XL</v>
          </cell>
          <cell r="B9491" t="str">
            <v>P932</v>
          </cell>
          <cell r="C9491" t="str">
            <v>ซาติน แขนยาวขายาว violet 2XL (กปก)</v>
          </cell>
          <cell r="E9491">
            <v>0</v>
          </cell>
          <cell r="F9491">
            <v>990</v>
          </cell>
        </row>
        <row r="9492">
          <cell r="A9492" t="str">
            <v>SP0932-L</v>
          </cell>
          <cell r="B9492" t="str">
            <v>P932</v>
          </cell>
          <cell r="C9492" t="str">
            <v>ซาติน แขนยาวขายาว violet L (กปก)</v>
          </cell>
          <cell r="E9492">
            <v>0</v>
          </cell>
          <cell r="F9492">
            <v>990</v>
          </cell>
        </row>
        <row r="9493">
          <cell r="A9493" t="str">
            <v>SP0932-M</v>
          </cell>
          <cell r="B9493" t="str">
            <v>P932</v>
          </cell>
          <cell r="C9493" t="str">
            <v>ซาติน แขนยาวขายาว violet M (กปก)</v>
          </cell>
          <cell r="E9493">
            <v>0</v>
          </cell>
          <cell r="F9493">
            <v>990</v>
          </cell>
        </row>
        <row r="9494">
          <cell r="A9494" t="str">
            <v>SP0932-XL</v>
          </cell>
          <cell r="B9494" t="str">
            <v>P932</v>
          </cell>
          <cell r="C9494" t="str">
            <v>ซาติน แขนยาวขายาว violet XL (กปก)</v>
          </cell>
          <cell r="E9494">
            <v>0</v>
          </cell>
          <cell r="F9494">
            <v>990</v>
          </cell>
        </row>
        <row r="9495">
          <cell r="A9495" t="str">
            <v>SP0934-2XL</v>
          </cell>
          <cell r="B9495" t="str">
            <v>P934</v>
          </cell>
          <cell r="C9495" t="str">
            <v>ซาติน แขนยาวขายาว navy 2XL (กปก)</v>
          </cell>
          <cell r="E9495">
            <v>0</v>
          </cell>
          <cell r="F9495">
            <v>990</v>
          </cell>
        </row>
        <row r="9496">
          <cell r="A9496" t="str">
            <v>SP0934-L</v>
          </cell>
          <cell r="B9496" t="str">
            <v>P934</v>
          </cell>
          <cell r="C9496" t="str">
            <v>ซาติน แขนยาวขายาว navy L (กปก)</v>
          </cell>
          <cell r="E9496">
            <v>0</v>
          </cell>
          <cell r="F9496">
            <v>990</v>
          </cell>
        </row>
        <row r="9497">
          <cell r="A9497" t="str">
            <v>SP0934-M</v>
          </cell>
          <cell r="B9497" t="str">
            <v>P934</v>
          </cell>
          <cell r="C9497" t="str">
            <v>ซาติน แขนยาวขายาว navy M (กปก)</v>
          </cell>
          <cell r="E9497">
            <v>0</v>
          </cell>
          <cell r="F9497">
            <v>590</v>
          </cell>
        </row>
        <row r="9498">
          <cell r="A9498" t="str">
            <v>SP0934-XL</v>
          </cell>
          <cell r="B9498" t="str">
            <v>P934</v>
          </cell>
          <cell r="C9498" t="str">
            <v>ซาติน แขนยาวขายาว navy XL (กปก)</v>
          </cell>
          <cell r="E9498">
            <v>0</v>
          </cell>
          <cell r="F9498">
            <v>990</v>
          </cell>
        </row>
        <row r="9499">
          <cell r="A9499" t="str">
            <v>SP0935-2XL</v>
          </cell>
          <cell r="B9499" t="str">
            <v>P935</v>
          </cell>
          <cell r="C9499" t="str">
            <v>ซาติน แขนยาวขายาว Cute old totoro คอวี 2XL</v>
          </cell>
          <cell r="E9499">
            <v>0</v>
          </cell>
          <cell r="F9499">
            <v>990</v>
          </cell>
        </row>
        <row r="9500">
          <cell r="A9500" t="str">
            <v>SP0935-3XL</v>
          </cell>
          <cell r="B9500" t="str">
            <v>P935</v>
          </cell>
          <cell r="C9500" t="str">
            <v>ซาติน แขนยาวขายาว Cute old totoro คอวี 3XL</v>
          </cell>
          <cell r="E9500">
            <v>0</v>
          </cell>
          <cell r="F9500">
            <v>990</v>
          </cell>
        </row>
        <row r="9501">
          <cell r="A9501" t="str">
            <v>SP0935-L</v>
          </cell>
          <cell r="B9501" t="str">
            <v>P935</v>
          </cell>
          <cell r="C9501" t="str">
            <v>ซาติน แขนยาวขายาว Cute old totoro คอวี L</v>
          </cell>
          <cell r="E9501">
            <v>0</v>
          </cell>
          <cell r="F9501">
            <v>990</v>
          </cell>
        </row>
        <row r="9502">
          <cell r="A9502" t="str">
            <v>SP0935-M</v>
          </cell>
          <cell r="B9502" t="str">
            <v>QP935</v>
          </cell>
          <cell r="C9502" t="str">
            <v>ซาติน แขนยาวขายาว Cute old totoro คอวี M QC</v>
          </cell>
          <cell r="E9502">
            <v>0</v>
          </cell>
          <cell r="F9502">
            <v>990</v>
          </cell>
        </row>
        <row r="9503">
          <cell r="A9503" t="str">
            <v>SP0935-XL</v>
          </cell>
          <cell r="B9503" t="str">
            <v>P935</v>
          </cell>
          <cell r="C9503" t="str">
            <v>ซาติน แขนยาวขายาว Cute old totoro คอวี XL</v>
          </cell>
          <cell r="E9503">
            <v>0</v>
          </cell>
          <cell r="F9503">
            <v>990</v>
          </cell>
        </row>
        <row r="9504">
          <cell r="A9504" t="str">
            <v>SP0937-2XL</v>
          </cell>
          <cell r="B9504" t="str">
            <v>P937</v>
          </cell>
          <cell r="C9504" t="str">
            <v>ซาติน แขนยาวขายาว Little pink tiger 2XL</v>
          </cell>
          <cell r="E9504">
            <v>0</v>
          </cell>
          <cell r="F9504">
            <v>990</v>
          </cell>
        </row>
        <row r="9505">
          <cell r="A9505" t="str">
            <v>SP0937-3XL</v>
          </cell>
          <cell r="B9505" t="str">
            <v>P937</v>
          </cell>
          <cell r="C9505" t="str">
            <v>ซาติน แขนยาวขายาว Little pink tiger 3XL</v>
          </cell>
          <cell r="E9505">
            <v>0</v>
          </cell>
          <cell r="F9505">
            <v>990</v>
          </cell>
        </row>
        <row r="9506">
          <cell r="A9506" t="str">
            <v>SP0937-L</v>
          </cell>
          <cell r="B9506" t="str">
            <v>P937</v>
          </cell>
          <cell r="C9506" t="str">
            <v>ซาติน แขนยาวขายาว Little pink tiger L</v>
          </cell>
          <cell r="E9506">
            <v>0</v>
          </cell>
          <cell r="F9506">
            <v>590</v>
          </cell>
        </row>
        <row r="9507">
          <cell r="A9507" t="str">
            <v>SP0937-M</v>
          </cell>
          <cell r="B9507" t="str">
            <v>P937</v>
          </cell>
          <cell r="C9507" t="str">
            <v>ซาติน แขนยาวขายาว Little pink tiger M</v>
          </cell>
          <cell r="E9507">
            <v>0</v>
          </cell>
          <cell r="F9507">
            <v>990</v>
          </cell>
        </row>
        <row r="9508">
          <cell r="A9508" t="str">
            <v>SP0937-XL</v>
          </cell>
          <cell r="B9508" t="str">
            <v>P937</v>
          </cell>
          <cell r="C9508" t="str">
            <v>ซาติน แขนยาวขายาว Little pink tiger XL</v>
          </cell>
          <cell r="E9508">
            <v>0</v>
          </cell>
          <cell r="F9508">
            <v>990</v>
          </cell>
        </row>
        <row r="9509">
          <cell r="A9509" t="str">
            <v>SP0938-2XL</v>
          </cell>
          <cell r="B9509" t="str">
            <v>P938</v>
          </cell>
          <cell r="C9509" t="str">
            <v>ซาติน แขนยาวขายาว Navy Timber 2XL</v>
          </cell>
          <cell r="E9509">
            <v>0</v>
          </cell>
          <cell r="F9509">
            <v>1090</v>
          </cell>
        </row>
        <row r="9510">
          <cell r="A9510" t="str">
            <v>SP0938-L</v>
          </cell>
          <cell r="B9510" t="str">
            <v>P938</v>
          </cell>
          <cell r="C9510" t="str">
            <v>ซาติน แขนยาวขายาว Navy Timber L</v>
          </cell>
          <cell r="E9510">
            <v>0</v>
          </cell>
          <cell r="F9510">
            <v>1090</v>
          </cell>
        </row>
        <row r="9511">
          <cell r="A9511" t="str">
            <v>SP0938-M</v>
          </cell>
          <cell r="B9511" t="str">
            <v>P938</v>
          </cell>
          <cell r="C9511" t="str">
            <v>ซาติน แขนยาวขายาว Navy Timber M</v>
          </cell>
          <cell r="E9511">
            <v>0</v>
          </cell>
          <cell r="F9511">
            <v>1090</v>
          </cell>
        </row>
        <row r="9512">
          <cell r="A9512" t="str">
            <v>SP0938-XL</v>
          </cell>
          <cell r="B9512" t="str">
            <v>P938</v>
          </cell>
          <cell r="C9512" t="str">
            <v>ซาติน แขนยาวขายาว Navy Timber XL</v>
          </cell>
          <cell r="E9512">
            <v>0</v>
          </cell>
          <cell r="F9512">
            <v>1090</v>
          </cell>
        </row>
        <row r="9513">
          <cell r="A9513" t="str">
            <v>SP0939-L</v>
          </cell>
          <cell r="B9513" t="str">
            <v>P939</v>
          </cell>
          <cell r="C9513" t="str">
            <v>ซาติน แขนยาวขายาว สวนดอกไม้ พื้นครีม ขอบเขียว L</v>
          </cell>
          <cell r="E9513">
            <v>0</v>
          </cell>
          <cell r="F9513">
            <v>990</v>
          </cell>
        </row>
        <row r="9514">
          <cell r="A9514" t="str">
            <v>SP0939-M</v>
          </cell>
          <cell r="B9514" t="str">
            <v>P939</v>
          </cell>
          <cell r="C9514" t="str">
            <v>ซาติน แขนยาวขายาว สวนดอกไม้ พื้นครีม ขอบเขียว M</v>
          </cell>
          <cell r="E9514">
            <v>0</v>
          </cell>
          <cell r="F9514">
            <v>990</v>
          </cell>
        </row>
        <row r="9515">
          <cell r="A9515" t="str">
            <v>SP0939-S</v>
          </cell>
          <cell r="B9515" t="str">
            <v>P939</v>
          </cell>
          <cell r="C9515" t="str">
            <v>ซาติน แขนยาวขายาว สวนดอกไม้ พื้นครีม ขอบเขียว S</v>
          </cell>
          <cell r="E9515">
            <v>0</v>
          </cell>
          <cell r="F9515">
            <v>990</v>
          </cell>
        </row>
        <row r="9516">
          <cell r="A9516" t="str">
            <v>SP0939-XL</v>
          </cell>
          <cell r="B9516" t="str">
            <v>P939</v>
          </cell>
          <cell r="C9516" t="str">
            <v>ซาติน แขนยาวขายาว สวนดอกไม้ พื้นครีม ขอบเขียว XL</v>
          </cell>
          <cell r="E9516">
            <v>0</v>
          </cell>
          <cell r="F9516">
            <v>990</v>
          </cell>
        </row>
        <row r="9517">
          <cell r="A9517" t="str">
            <v>SP0940-L</v>
          </cell>
          <cell r="B9517" t="str">
            <v>QP940</v>
          </cell>
          <cell r="C9517" t="str">
            <v>ซาติน แขนยาวขายาว Zebra ดำ (กปก) L QC</v>
          </cell>
          <cell r="E9517">
            <v>0</v>
          </cell>
          <cell r="F9517">
            <v>990</v>
          </cell>
        </row>
        <row r="9518">
          <cell r="A9518" t="str">
            <v>SP0940-M</v>
          </cell>
          <cell r="B9518" t="str">
            <v>QP940</v>
          </cell>
          <cell r="C9518" t="str">
            <v>ซาติน แขนยาวขายาว Zebra ดำ (กปก) M QC</v>
          </cell>
          <cell r="E9518">
            <v>0</v>
          </cell>
          <cell r="F9518">
            <v>990</v>
          </cell>
        </row>
        <row r="9519">
          <cell r="A9519" t="str">
            <v>SP0940-XL</v>
          </cell>
          <cell r="B9519" t="str">
            <v>P940</v>
          </cell>
          <cell r="C9519" t="str">
            <v>ซาติน แขนยาวขายาว Zebra ดำ (กปก) XL</v>
          </cell>
          <cell r="E9519">
            <v>0</v>
          </cell>
          <cell r="F9519">
            <v>990</v>
          </cell>
        </row>
        <row r="9520">
          <cell r="A9520" t="str">
            <v>SP0941-2XL</v>
          </cell>
          <cell r="B9520" t="str">
            <v>P941</v>
          </cell>
          <cell r="C9520" t="str">
            <v>ซาติน แขนยาวขายาว เกสรดอกไม้ ไฟ พื้นกรม 2XL</v>
          </cell>
          <cell r="E9520">
            <v>0</v>
          </cell>
          <cell r="F9520">
            <v>990</v>
          </cell>
        </row>
        <row r="9521">
          <cell r="A9521" t="str">
            <v>SP0941-3XL</v>
          </cell>
          <cell r="B9521" t="str">
            <v>P941</v>
          </cell>
          <cell r="C9521" t="str">
            <v>ซาติน แขนยาวขายาว เกสรดอกไม้ ไฟ พื้นกรม 3XL</v>
          </cell>
          <cell r="E9521">
            <v>0</v>
          </cell>
          <cell r="F9521">
            <v>990</v>
          </cell>
        </row>
        <row r="9522">
          <cell r="A9522" t="str">
            <v>SP0941-L</v>
          </cell>
          <cell r="B9522" t="str">
            <v>P941</v>
          </cell>
          <cell r="C9522" t="str">
            <v>ซาติน แขนยาวขายาว เกสรดอกไม้ ไฟ พื้นกรม L</v>
          </cell>
          <cell r="E9522">
            <v>0</v>
          </cell>
          <cell r="F9522">
            <v>990</v>
          </cell>
        </row>
        <row r="9523">
          <cell r="A9523" t="str">
            <v>SP0941-M</v>
          </cell>
          <cell r="B9523" t="str">
            <v>P941</v>
          </cell>
          <cell r="C9523" t="str">
            <v>ซาติน แขนยาวขายาว เกสรดอกไม้ ไฟ พื้นกรม M</v>
          </cell>
          <cell r="E9523">
            <v>0</v>
          </cell>
          <cell r="F9523">
            <v>990</v>
          </cell>
        </row>
        <row r="9524">
          <cell r="A9524" t="str">
            <v>SP0941-S</v>
          </cell>
          <cell r="B9524" t="str">
            <v>P941</v>
          </cell>
          <cell r="C9524" t="str">
            <v>ซาติน แขนยาวขายาว เกสรดอกไม้ ไฟ พื้นกรม S</v>
          </cell>
          <cell r="E9524">
            <v>0</v>
          </cell>
          <cell r="F9524">
            <v>990</v>
          </cell>
        </row>
        <row r="9525">
          <cell r="A9525" t="str">
            <v>SP0941-XL</v>
          </cell>
          <cell r="B9525" t="str">
            <v>P941</v>
          </cell>
          <cell r="C9525" t="str">
            <v>ซาติน แขนยาวขายาว เกสรดอกไม้ ไฟ พื้นกรม XL</v>
          </cell>
          <cell r="E9525">
            <v>0</v>
          </cell>
          <cell r="F9525">
            <v>990</v>
          </cell>
        </row>
        <row r="9526">
          <cell r="A9526" t="str">
            <v>SP0942-L</v>
          </cell>
          <cell r="B9526" t="str">
            <v>P942</v>
          </cell>
          <cell r="C9526" t="str">
            <v>ซาติน แขนยาวขายาว ทุ่งลาเวนเดอร์ พื้นม่วง L</v>
          </cell>
          <cell r="E9526">
            <v>0</v>
          </cell>
          <cell r="F9526">
            <v>990</v>
          </cell>
        </row>
        <row r="9527">
          <cell r="A9527" t="str">
            <v>SP0942-M</v>
          </cell>
          <cell r="B9527" t="str">
            <v>P942</v>
          </cell>
          <cell r="C9527" t="str">
            <v>ซาติน แขนยาวขายาว ทุ่งลาเวนเดอร์ พื้นม่วง M</v>
          </cell>
          <cell r="E9527">
            <v>0</v>
          </cell>
          <cell r="F9527">
            <v>990</v>
          </cell>
        </row>
        <row r="9528">
          <cell r="A9528" t="str">
            <v>SP0942-XL</v>
          </cell>
          <cell r="B9528" t="str">
            <v>P942</v>
          </cell>
          <cell r="C9528" t="str">
            <v>ซาติน แขนยาวขายาว ทุ่งลาเวนเดอร์ พื้นม่วง XL</v>
          </cell>
          <cell r="E9528">
            <v>0</v>
          </cell>
          <cell r="F9528">
            <v>990</v>
          </cell>
        </row>
        <row r="9529">
          <cell r="A9529" t="str">
            <v>SP0943-L</v>
          </cell>
          <cell r="B9529" t="str">
            <v>P943</v>
          </cell>
          <cell r="C9529" t="str">
            <v>ซาติน แขนยาวขายาว ดอกกาสะลอง ระบายม่วง L</v>
          </cell>
          <cell r="E9529">
            <v>0</v>
          </cell>
          <cell r="F9529">
            <v>990</v>
          </cell>
        </row>
        <row r="9530">
          <cell r="A9530" t="str">
            <v>SP0943-M</v>
          </cell>
          <cell r="B9530" t="str">
            <v>P943</v>
          </cell>
          <cell r="C9530" t="str">
            <v>ซาติน แขนยาวขายาว ดอกกาสะลอง ระบายม่วง M</v>
          </cell>
          <cell r="E9530">
            <v>0</v>
          </cell>
          <cell r="F9530">
            <v>990</v>
          </cell>
        </row>
        <row r="9531">
          <cell r="A9531" t="str">
            <v>SP0943-S</v>
          </cell>
          <cell r="B9531" t="str">
            <v>P943</v>
          </cell>
          <cell r="C9531" t="str">
            <v>ซาติน แขนยาวขายาว ดอกกาสะลอง ระบายม่วง S</v>
          </cell>
          <cell r="E9531">
            <v>0</v>
          </cell>
          <cell r="F9531">
            <v>990</v>
          </cell>
        </row>
        <row r="9532">
          <cell r="A9532" t="str">
            <v>SP0943-XL</v>
          </cell>
          <cell r="B9532" t="str">
            <v>P943</v>
          </cell>
          <cell r="C9532" t="str">
            <v>ซาติน แขนยาวขายาว ดอกกาสะลอง ระบายม่วง XL</v>
          </cell>
          <cell r="E9532">
            <v>0</v>
          </cell>
          <cell r="F9532">
            <v>990</v>
          </cell>
        </row>
        <row r="9533">
          <cell r="A9533" t="str">
            <v>SP0949-L</v>
          </cell>
          <cell r="B9533" t="str">
            <v>P949</v>
          </cell>
          <cell r="C9533" t="str">
            <v>ซาติน แขนยาวขายาว ดอกไม้ พื้นขาว ขอบน้ำตาล L (กปก)</v>
          </cell>
          <cell r="E9533">
            <v>0</v>
          </cell>
          <cell r="F9533">
            <v>990</v>
          </cell>
        </row>
        <row r="9534">
          <cell r="A9534" t="str">
            <v>SP0949-M</v>
          </cell>
          <cell r="B9534" t="str">
            <v>P949</v>
          </cell>
          <cell r="C9534" t="str">
            <v>ซาติน แขนยาวขายาว ดอกไม้ พื้นขาว ขอบน้ำตาล M (กปก)</v>
          </cell>
          <cell r="E9534">
            <v>0</v>
          </cell>
          <cell r="F9534">
            <v>990</v>
          </cell>
        </row>
        <row r="9535">
          <cell r="A9535" t="str">
            <v>SP0950-L</v>
          </cell>
          <cell r="B9535" t="str">
            <v>P950</v>
          </cell>
          <cell r="C9535" t="str">
            <v>ซาติน แขนยาวขายาว กระรอกระบำ พื้นดำ L (กปก)</v>
          </cell>
          <cell r="E9535">
            <v>0</v>
          </cell>
          <cell r="F9535">
            <v>990</v>
          </cell>
        </row>
        <row r="9536">
          <cell r="A9536" t="str">
            <v>SP0950-M</v>
          </cell>
          <cell r="B9536" t="str">
            <v>P950</v>
          </cell>
          <cell r="C9536" t="str">
            <v>ซาติน แขนยาวขายาว กระรอกระบำ พื้นดำ M (กปก)</v>
          </cell>
          <cell r="E9536">
            <v>0</v>
          </cell>
          <cell r="F9536">
            <v>990</v>
          </cell>
        </row>
        <row r="9537">
          <cell r="A9537" t="str">
            <v>SP0951-L</v>
          </cell>
          <cell r="B9537" t="str">
            <v>P951</v>
          </cell>
          <cell r="C9537" t="str">
            <v>ซาติน แขนยาวขายาว พื้นฟ้า ใบเมเปิ้ล L (กปก)</v>
          </cell>
          <cell r="E9537">
            <v>0</v>
          </cell>
          <cell r="F9537">
            <v>990</v>
          </cell>
        </row>
        <row r="9538">
          <cell r="A9538" t="str">
            <v>SP0951-M</v>
          </cell>
          <cell r="B9538" t="str">
            <v>P951</v>
          </cell>
          <cell r="C9538" t="str">
            <v>ซาติน แขนยาวขายาว พื้นฟ้า ใบเมเปิ้ล M (กปก)</v>
          </cell>
          <cell r="E9538">
            <v>0</v>
          </cell>
          <cell r="F9538">
            <v>990</v>
          </cell>
        </row>
        <row r="9539">
          <cell r="A9539" t="str">
            <v>SP0952-L</v>
          </cell>
          <cell r="B9539" t="str">
            <v>P952</v>
          </cell>
          <cell r="C9539" t="str">
            <v>ซาติน แขนยาวขายาว Blueberry ลายทาง L (กปก)</v>
          </cell>
          <cell r="E9539">
            <v>0</v>
          </cell>
          <cell r="F9539">
            <v>590</v>
          </cell>
        </row>
        <row r="9540">
          <cell r="A9540" t="str">
            <v>SP0952-M</v>
          </cell>
          <cell r="B9540" t="str">
            <v>P952</v>
          </cell>
          <cell r="C9540" t="str">
            <v>ซาติน แขนยาวขายาว Blueberry ลายทาง M (กปก)</v>
          </cell>
          <cell r="E9540">
            <v>0</v>
          </cell>
          <cell r="F9540">
            <v>990</v>
          </cell>
        </row>
        <row r="9541">
          <cell r="A9541" t="str">
            <v>SP0953-L</v>
          </cell>
          <cell r="B9541" t="str">
            <v>P953</v>
          </cell>
          <cell r="C9541" t="str">
            <v>ซาติน แขนยาวขายาว พื้นดำ กระเป๋าม้าลาย L (กปก)</v>
          </cell>
          <cell r="E9541">
            <v>0</v>
          </cell>
          <cell r="F9541">
            <v>990</v>
          </cell>
        </row>
        <row r="9542">
          <cell r="A9542" t="str">
            <v>SP0953-M</v>
          </cell>
          <cell r="B9542" t="str">
            <v>P953</v>
          </cell>
          <cell r="C9542" t="str">
            <v>ซาติน แขนยาวขายาว พื้นดำ กระเป๋าม้าลาย M (กปก)</v>
          </cell>
          <cell r="E9542">
            <v>0</v>
          </cell>
          <cell r="F9542">
            <v>990</v>
          </cell>
        </row>
        <row r="9543">
          <cell r="A9543" t="str">
            <v>SP0956-2XL</v>
          </cell>
          <cell r="B9543" t="str">
            <v>P956</v>
          </cell>
          <cell r="C9543" t="str">
            <v>ซาติน แขนยาวขายาว ทิวลิปม่วง พื้นขาว 2XL</v>
          </cell>
          <cell r="E9543">
            <v>0</v>
          </cell>
          <cell r="F9543">
            <v>990</v>
          </cell>
        </row>
        <row r="9544">
          <cell r="A9544" t="str">
            <v>SP0956-3XL</v>
          </cell>
          <cell r="B9544" t="str">
            <v>P956</v>
          </cell>
          <cell r="C9544" t="str">
            <v>ซาติน แขนยาวขายาว ทิวลิปม่วง พื้นขาว 3XL</v>
          </cell>
          <cell r="E9544">
            <v>0</v>
          </cell>
          <cell r="F9544">
            <v>990</v>
          </cell>
        </row>
        <row r="9545">
          <cell r="A9545" t="str">
            <v>SP0956-L</v>
          </cell>
          <cell r="B9545" t="str">
            <v>P956</v>
          </cell>
          <cell r="C9545" t="str">
            <v>ซาติน แขนยาวขายาว ทิวลิปม่วง พื้นขาว L</v>
          </cell>
          <cell r="E9545">
            <v>0</v>
          </cell>
          <cell r="F9545">
            <v>990</v>
          </cell>
        </row>
        <row r="9546">
          <cell r="A9546" t="str">
            <v>SP0956-M</v>
          </cell>
          <cell r="B9546" t="str">
            <v>QP956</v>
          </cell>
          <cell r="C9546" t="str">
            <v>ซาติน แขนยาวขายาว ทิวลิปม่วง พื้นขาว M QC</v>
          </cell>
          <cell r="E9546">
            <v>0</v>
          </cell>
          <cell r="F9546">
            <v>990</v>
          </cell>
        </row>
        <row r="9547">
          <cell r="A9547" t="str">
            <v>SP0956-XL</v>
          </cell>
          <cell r="B9547" t="str">
            <v>P956</v>
          </cell>
          <cell r="C9547" t="str">
            <v>ซาติน แขนยาวขายาว ทิวลิปม่วง พื้นขาว XL</v>
          </cell>
          <cell r="E9547">
            <v>0</v>
          </cell>
          <cell r="F9547">
            <v>990</v>
          </cell>
        </row>
        <row r="9548">
          <cell r="A9548" t="str">
            <v>SP0957-L</v>
          </cell>
          <cell r="B9548" t="str">
            <v>P957</v>
          </cell>
          <cell r="C9548" t="str">
            <v>ซาติน แขนยาวขายาว จุดขาว พื้นเขียว L (กปก)</v>
          </cell>
          <cell r="E9548">
            <v>0</v>
          </cell>
          <cell r="F9548">
            <v>990</v>
          </cell>
        </row>
        <row r="9549">
          <cell r="A9549" t="str">
            <v>SP0957-M</v>
          </cell>
          <cell r="B9549" t="str">
            <v>P957</v>
          </cell>
          <cell r="C9549" t="str">
            <v>ซาติน แขนยาวขายาว จุดขาว พื้นเขียว M (กปก)</v>
          </cell>
          <cell r="E9549">
            <v>0</v>
          </cell>
          <cell r="F9549">
            <v>990</v>
          </cell>
        </row>
        <row r="9550">
          <cell r="A9550" t="str">
            <v>SP0958-L</v>
          </cell>
          <cell r="B9550" t="str">
            <v>QP958</v>
          </cell>
          <cell r="C9550" t="str">
            <v>ซาติน แขนยาวขายาว แมวเทา พื้นฟ้า L (กปก) QC</v>
          </cell>
          <cell r="E9550">
            <v>0</v>
          </cell>
          <cell r="F9550">
            <v>990</v>
          </cell>
        </row>
        <row r="9551">
          <cell r="A9551" t="str">
            <v>SP0958-M</v>
          </cell>
          <cell r="B9551" t="str">
            <v>QP958</v>
          </cell>
          <cell r="C9551" t="str">
            <v>ซาติน แขนยาวขายาว แมวเทา พื้นฟ้า M (กปก) QC</v>
          </cell>
          <cell r="E9551">
            <v>0</v>
          </cell>
          <cell r="F9551">
            <v>990</v>
          </cell>
        </row>
        <row r="9552">
          <cell r="A9552" t="str">
            <v>SP0959-2XL</v>
          </cell>
          <cell r="B9552" t="str">
            <v>P959</v>
          </cell>
          <cell r="C9552" t="str">
            <v>ซาติน แขนยาวขายาว เขาวงกต ขาวดำ 2XL</v>
          </cell>
          <cell r="E9552">
            <v>0</v>
          </cell>
          <cell r="F9552">
            <v>990</v>
          </cell>
        </row>
        <row r="9553">
          <cell r="A9553" t="str">
            <v>SP0959-3XL</v>
          </cell>
          <cell r="B9553" t="str">
            <v>P959</v>
          </cell>
          <cell r="C9553" t="str">
            <v>ซาติน แขนยาวขายาว เขาวงกต ขาวดำ 3XL</v>
          </cell>
          <cell r="E9553">
            <v>0</v>
          </cell>
          <cell r="F9553">
            <v>990</v>
          </cell>
        </row>
        <row r="9554">
          <cell r="A9554" t="str">
            <v>SP0959-L</v>
          </cell>
          <cell r="B9554" t="str">
            <v>P959</v>
          </cell>
          <cell r="C9554" t="str">
            <v>ซาติน แขนยาวขายาว เขาวงกต ขาวดำ L</v>
          </cell>
          <cell r="E9554">
            <v>0</v>
          </cell>
          <cell r="F9554">
            <v>990</v>
          </cell>
        </row>
        <row r="9555">
          <cell r="A9555" t="str">
            <v>SP0959-M</v>
          </cell>
          <cell r="B9555" t="str">
            <v>P959</v>
          </cell>
          <cell r="C9555" t="str">
            <v>ซาติน แขนยาวขายาว เขาวงกต ขาวดำ M</v>
          </cell>
          <cell r="E9555">
            <v>0</v>
          </cell>
          <cell r="F9555">
            <v>990</v>
          </cell>
        </row>
        <row r="9556">
          <cell r="A9556" t="str">
            <v>SP0959-XL</v>
          </cell>
          <cell r="B9556" t="str">
            <v>P959</v>
          </cell>
          <cell r="C9556" t="str">
            <v>ซาติน แขนยาวขายาว เขาวงกต ขาวดำ XL</v>
          </cell>
          <cell r="E9556">
            <v>0</v>
          </cell>
          <cell r="F9556">
            <v>990</v>
          </cell>
        </row>
        <row r="9557">
          <cell r="A9557" t="str">
            <v>SP0969-2XL</v>
          </cell>
          <cell r="B9557" t="str">
            <v>P969</v>
          </cell>
          <cell r="C9557" t="str">
            <v>ซาติน แขนห้าส่วนขายาว ดอกมะลิ ซ้อนพื้นเทา 2XL</v>
          </cell>
          <cell r="E9557">
            <v>0</v>
          </cell>
          <cell r="F9557">
            <v>990</v>
          </cell>
        </row>
        <row r="9558">
          <cell r="A9558" t="str">
            <v>SP0969-3XL</v>
          </cell>
          <cell r="B9558" t="str">
            <v>P969</v>
          </cell>
          <cell r="C9558" t="str">
            <v>ซาติน แขนห้าส่วนขายาว ดอกมะลิ ซ้อนพื้นเทา 3XL</v>
          </cell>
          <cell r="E9558">
            <v>0</v>
          </cell>
          <cell r="F9558">
            <v>990</v>
          </cell>
        </row>
        <row r="9559">
          <cell r="A9559" t="str">
            <v>SP0969-L</v>
          </cell>
          <cell r="B9559" t="str">
            <v>P969</v>
          </cell>
          <cell r="C9559" t="str">
            <v>ซาติน แขนห้าส่วนขายาว ดอกมะลิ ซ้อนพื้นเทา L</v>
          </cell>
          <cell r="E9559">
            <v>0</v>
          </cell>
          <cell r="F9559">
            <v>990</v>
          </cell>
        </row>
        <row r="9560">
          <cell r="A9560" t="str">
            <v>SP0969-M</v>
          </cell>
          <cell r="B9560" t="str">
            <v>P969</v>
          </cell>
          <cell r="C9560" t="str">
            <v>ซาติน แขนห้าส่วนขายาว ดอกมะลิ ซ้อนพื้นเทา M</v>
          </cell>
          <cell r="E9560">
            <v>0</v>
          </cell>
          <cell r="F9560">
            <v>990</v>
          </cell>
        </row>
        <row r="9561">
          <cell r="A9561" t="str">
            <v>SP0969-XL</v>
          </cell>
          <cell r="B9561" t="str">
            <v>P969</v>
          </cell>
          <cell r="C9561" t="str">
            <v>ซาติน แขนห้าส่วนขายาว ดอกมะลิ ซ้อนพื้นเทา XL</v>
          </cell>
          <cell r="E9561">
            <v>0</v>
          </cell>
          <cell r="F9561">
            <v>990</v>
          </cell>
        </row>
        <row r="9562">
          <cell r="A9562" t="str">
            <v>SP0970-2XL</v>
          </cell>
          <cell r="B9562" t="str">
            <v>P970</v>
          </cell>
          <cell r="C9562" t="str">
            <v>ซาติน แขนยาวขายาว น้องหมี ลายทาง ฟ้าขาว 2XL</v>
          </cell>
          <cell r="E9562">
            <v>0</v>
          </cell>
          <cell r="F9562">
            <v>990</v>
          </cell>
        </row>
        <row r="9563">
          <cell r="A9563" t="str">
            <v>SP0970-3XL</v>
          </cell>
          <cell r="B9563" t="str">
            <v>P970</v>
          </cell>
          <cell r="C9563" t="str">
            <v>ซาติน แขนยาวขายาว น้องหมี ลายทาง ฟ้าขาว 3XL</v>
          </cell>
          <cell r="E9563">
            <v>0</v>
          </cell>
          <cell r="F9563">
            <v>990</v>
          </cell>
        </row>
        <row r="9564">
          <cell r="A9564" t="str">
            <v>SP0970-L</v>
          </cell>
          <cell r="B9564" t="str">
            <v>P970</v>
          </cell>
          <cell r="C9564" t="str">
            <v>ซาติน แขนยาวขายาว น้องหมี ลายทาง ฟ้าขาว L</v>
          </cell>
          <cell r="E9564">
            <v>0</v>
          </cell>
          <cell r="F9564">
            <v>990</v>
          </cell>
        </row>
        <row r="9565">
          <cell r="A9565" t="str">
            <v>SP0970-M</v>
          </cell>
          <cell r="B9565" t="str">
            <v>P970</v>
          </cell>
          <cell r="C9565" t="str">
            <v>ซาติน แขนยาวขายาว น้องหมี ลายทาง ฟ้าขาว M</v>
          </cell>
          <cell r="E9565">
            <v>0</v>
          </cell>
          <cell r="F9565">
            <v>990</v>
          </cell>
        </row>
        <row r="9566">
          <cell r="A9566" t="str">
            <v>SP0970-XL</v>
          </cell>
          <cell r="B9566" t="str">
            <v>P970</v>
          </cell>
          <cell r="C9566" t="str">
            <v>ซาติน แขนยาวขายาว น้องหมี ลายทาง ฟ้าขาว XL</v>
          </cell>
          <cell r="E9566">
            <v>0</v>
          </cell>
          <cell r="F9566">
            <v>990</v>
          </cell>
        </row>
        <row r="9567">
          <cell r="A9567" t="str">
            <v>SP0976-2XL</v>
          </cell>
          <cell r="B9567" t="str">
            <v>P976</v>
          </cell>
          <cell r="C9567" t="str">
            <v>ซาติน แขนยาวขายาว ฟลามิงโก้ พื้นเขียว 2XL</v>
          </cell>
          <cell r="E9567">
            <v>0</v>
          </cell>
          <cell r="F9567">
            <v>990</v>
          </cell>
        </row>
        <row r="9568">
          <cell r="A9568" t="str">
            <v>SP0976-3XL</v>
          </cell>
          <cell r="B9568" t="str">
            <v>P976</v>
          </cell>
          <cell r="C9568" t="str">
            <v>ซาติน แขนยาวขายาว ฟลามิงโก้ พื้นเขียว 3XL</v>
          </cell>
          <cell r="E9568">
            <v>0</v>
          </cell>
          <cell r="F9568">
            <v>990</v>
          </cell>
        </row>
        <row r="9569">
          <cell r="A9569" t="str">
            <v>SP0976-L</v>
          </cell>
          <cell r="B9569" t="str">
            <v>P976</v>
          </cell>
          <cell r="C9569" t="str">
            <v>ซาติน แขนยาวขายาว ฟลามิงโก้ พื้นเขียว L</v>
          </cell>
          <cell r="E9569">
            <v>0</v>
          </cell>
          <cell r="F9569">
            <v>990</v>
          </cell>
        </row>
        <row r="9570">
          <cell r="A9570" t="str">
            <v>SP0976-M</v>
          </cell>
          <cell r="B9570" t="str">
            <v>P976</v>
          </cell>
          <cell r="C9570" t="str">
            <v>ซาติน แขนยาวขายาว ฟลามิงโก้ พื้นเขียว M</v>
          </cell>
          <cell r="E9570">
            <v>0</v>
          </cell>
          <cell r="F9570">
            <v>990</v>
          </cell>
        </row>
        <row r="9571">
          <cell r="A9571" t="str">
            <v>SP0976-XL</v>
          </cell>
          <cell r="B9571" t="str">
            <v>P976</v>
          </cell>
          <cell r="C9571" t="str">
            <v>ซาติน แขนยาวขายาว ฟลามิงโก้ พื้นเขียว XL</v>
          </cell>
          <cell r="E9571">
            <v>0</v>
          </cell>
          <cell r="F9571">
            <v>990</v>
          </cell>
        </row>
        <row r="9572">
          <cell r="A9572" t="str">
            <v>SP0977-2XL</v>
          </cell>
          <cell r="B9572" t="str">
            <v>P977</v>
          </cell>
          <cell r="C9572" t="str">
            <v>ซาติน แขนยาวขายาว Butterfly พื้นชมพู คอวี 2XL</v>
          </cell>
          <cell r="E9572">
            <v>0</v>
          </cell>
          <cell r="F9572">
            <v>990</v>
          </cell>
        </row>
        <row r="9573">
          <cell r="A9573" t="str">
            <v>SP0977-L</v>
          </cell>
          <cell r="B9573" t="str">
            <v>P977</v>
          </cell>
          <cell r="C9573" t="str">
            <v>ซาติน แขนยาวขายาว Butterfly พื้นชมพู คอวี L</v>
          </cell>
          <cell r="E9573">
            <v>0</v>
          </cell>
          <cell r="F9573">
            <v>990</v>
          </cell>
        </row>
        <row r="9574">
          <cell r="A9574" t="str">
            <v>SP0977-M</v>
          </cell>
          <cell r="B9574" t="str">
            <v>P977</v>
          </cell>
          <cell r="C9574" t="str">
            <v>ซาติน แขนยาวขายาว Butterfly พื้นชมพู คอวี M</v>
          </cell>
          <cell r="E9574">
            <v>0</v>
          </cell>
          <cell r="F9574">
            <v>990</v>
          </cell>
        </row>
        <row r="9575">
          <cell r="A9575" t="str">
            <v>SP0977-XL</v>
          </cell>
          <cell r="B9575" t="str">
            <v>P977</v>
          </cell>
          <cell r="C9575" t="str">
            <v>ซาติน แขนยาวขายาว Butterfly พื้นชมพู คอวี XL</v>
          </cell>
          <cell r="E9575">
            <v>0</v>
          </cell>
          <cell r="F9575">
            <v>990</v>
          </cell>
        </row>
        <row r="9576">
          <cell r="A9576" t="str">
            <v>SP0982-2XL</v>
          </cell>
          <cell r="B9576" t="str">
            <v>P982</v>
          </cell>
          <cell r="C9576" t="str">
            <v>ซาติน แขนยาวขายาว infinity ส้มปกครีม 2XL (กปก)</v>
          </cell>
          <cell r="E9576">
            <v>0</v>
          </cell>
          <cell r="F9576">
            <v>990</v>
          </cell>
        </row>
        <row r="9577">
          <cell r="A9577" t="str">
            <v>SP0982-L</v>
          </cell>
          <cell r="B9577" t="str">
            <v>P982</v>
          </cell>
          <cell r="C9577" t="str">
            <v>ซาติน แขนยาวขายาว infinity ส้มปกครีม L (กปก)</v>
          </cell>
          <cell r="E9577">
            <v>0</v>
          </cell>
          <cell r="F9577">
            <v>990</v>
          </cell>
        </row>
        <row r="9578">
          <cell r="A9578" t="str">
            <v>SP0982-M</v>
          </cell>
          <cell r="B9578" t="str">
            <v>P982</v>
          </cell>
          <cell r="C9578" t="str">
            <v>ซาติน แขนยาวขายาว infinity ส้มปกครีม M (กปก)</v>
          </cell>
          <cell r="E9578">
            <v>0</v>
          </cell>
          <cell r="F9578">
            <v>990</v>
          </cell>
        </row>
        <row r="9579">
          <cell r="A9579" t="str">
            <v>SP0982-XL</v>
          </cell>
          <cell r="B9579" t="str">
            <v>QP982</v>
          </cell>
          <cell r="C9579" t="str">
            <v>ซาติน แขนยาวขายาว infinity ส้มปกครีม XL (กปก) QC</v>
          </cell>
          <cell r="E9579">
            <v>0</v>
          </cell>
          <cell r="F9579">
            <v>990</v>
          </cell>
        </row>
        <row r="9580">
          <cell r="A9580" t="str">
            <v>SP0988-2XL</v>
          </cell>
          <cell r="B9580" t="str">
            <v>P988</v>
          </cell>
          <cell r="C9580" t="str">
            <v>ซาติน แขนยาวขายาว ดอกบัวพื้นครีม ขอบเขียว 2XL</v>
          </cell>
          <cell r="E9580">
            <v>0</v>
          </cell>
          <cell r="F9580">
            <v>990</v>
          </cell>
        </row>
        <row r="9581">
          <cell r="A9581" t="str">
            <v>SP0988-L</v>
          </cell>
          <cell r="B9581" t="str">
            <v>P988</v>
          </cell>
          <cell r="C9581" t="str">
            <v>ซาติน แขนยาวขายาว ดอกบัวพื้นครีม ขอบเขียว L</v>
          </cell>
          <cell r="E9581">
            <v>0</v>
          </cell>
          <cell r="F9581">
            <v>990</v>
          </cell>
        </row>
        <row r="9582">
          <cell r="A9582" t="str">
            <v>SP0988-M</v>
          </cell>
          <cell r="B9582" t="str">
            <v>P988</v>
          </cell>
          <cell r="C9582" t="str">
            <v>ซาติน แขนยาวขายาว ดอกบัวพื้นครีม ขอบเขียว M</v>
          </cell>
          <cell r="E9582">
            <v>0</v>
          </cell>
          <cell r="F9582">
            <v>990</v>
          </cell>
        </row>
        <row r="9583">
          <cell r="A9583" t="str">
            <v>SP0988-XL</v>
          </cell>
          <cell r="B9583" t="str">
            <v>P988</v>
          </cell>
          <cell r="C9583" t="str">
            <v>ซาติน แขนยาวขายาว ดอกบัวพื้นครีม ขอบเขียว XL</v>
          </cell>
          <cell r="E9583">
            <v>0</v>
          </cell>
          <cell r="F9583">
            <v>990</v>
          </cell>
        </row>
        <row r="9584">
          <cell r="A9584" t="str">
            <v>SP0990-2XL</v>
          </cell>
          <cell r="B9584" t="str">
            <v>P990</v>
          </cell>
          <cell r="C9584" t="str">
            <v>ซาติน แขนห้าส่วนขายาว ช่อมะลิ พื้นชมพู 2XL</v>
          </cell>
          <cell r="E9584">
            <v>0</v>
          </cell>
          <cell r="F9584">
            <v>990</v>
          </cell>
        </row>
        <row r="9585">
          <cell r="A9585" t="str">
            <v>SP0990-L</v>
          </cell>
          <cell r="B9585" t="str">
            <v>P990</v>
          </cell>
          <cell r="C9585" t="str">
            <v>ซาติน แขนห้าส่วนขายาว ช่อมะลิ พื้นชมพู L</v>
          </cell>
          <cell r="E9585">
            <v>0</v>
          </cell>
          <cell r="F9585">
            <v>990</v>
          </cell>
        </row>
        <row r="9586">
          <cell r="A9586" t="str">
            <v>SP0990-M</v>
          </cell>
          <cell r="B9586" t="str">
            <v>P990</v>
          </cell>
          <cell r="C9586" t="str">
            <v>ซาติน แขนห้าส่วนขายาว ช่อมะลิ พื้นชมพู M</v>
          </cell>
          <cell r="E9586">
            <v>0</v>
          </cell>
          <cell r="F9586">
            <v>990</v>
          </cell>
        </row>
        <row r="9587">
          <cell r="A9587" t="str">
            <v>SP0990-XL</v>
          </cell>
          <cell r="B9587" t="str">
            <v>P990</v>
          </cell>
          <cell r="C9587" t="str">
            <v>ซาติน แขนห้าส่วนขายาว ช่อมะลิ พื้นชมพู XL</v>
          </cell>
          <cell r="E9587">
            <v>0</v>
          </cell>
          <cell r="F9587">
            <v>990</v>
          </cell>
        </row>
        <row r="9588">
          <cell r="A9588" t="str">
            <v>SP0991-2XL</v>
          </cell>
          <cell r="B9588" t="str">
            <v>P991</v>
          </cell>
          <cell r="C9588" t="str">
            <v>ซาติน แขนห้าส่วนขายาว กุหลาบพื้นฟ้า ปกชมพู 2XL</v>
          </cell>
          <cell r="E9588">
            <v>0</v>
          </cell>
          <cell r="F9588">
            <v>990</v>
          </cell>
        </row>
        <row r="9589">
          <cell r="A9589" t="str">
            <v>SP0991-L</v>
          </cell>
          <cell r="B9589" t="str">
            <v>P991</v>
          </cell>
          <cell r="C9589" t="str">
            <v>ซาติน แขนห้าส่วนขายาว กุหลาบพื้นฟ้า ปกชมพู L</v>
          </cell>
          <cell r="E9589">
            <v>0</v>
          </cell>
          <cell r="F9589">
            <v>990</v>
          </cell>
        </row>
        <row r="9590">
          <cell r="A9590" t="str">
            <v>SP0991-M</v>
          </cell>
          <cell r="B9590" t="str">
            <v>P991</v>
          </cell>
          <cell r="C9590" t="str">
            <v>ซาติน แขนห้าส่วนขายาว กุหลาบพื้นฟ้า ปกชมพู M</v>
          </cell>
          <cell r="E9590">
            <v>0</v>
          </cell>
          <cell r="F9590">
            <v>990</v>
          </cell>
        </row>
        <row r="9591">
          <cell r="A9591" t="str">
            <v>SP0991-XL</v>
          </cell>
          <cell r="B9591" t="str">
            <v>P991</v>
          </cell>
          <cell r="C9591" t="str">
            <v>ซาติน แขนห้าส่วนขายาว กุหลาบพื้นฟ้า ปกชมพู XL</v>
          </cell>
          <cell r="E9591">
            <v>0</v>
          </cell>
          <cell r="F9591">
            <v>590</v>
          </cell>
        </row>
        <row r="9592">
          <cell r="A9592" t="str">
            <v>SP0997-2XL</v>
          </cell>
          <cell r="B9592" t="str">
            <v>P997</v>
          </cell>
          <cell r="C9592" t="str">
            <v>ซาติน แขนห้าส่วนขายาว ดอกไม้น้ำตาล พื้นครีม ขอบเหลือง 2XL</v>
          </cell>
          <cell r="E9592">
            <v>0</v>
          </cell>
          <cell r="F9592">
            <v>990</v>
          </cell>
        </row>
        <row r="9593">
          <cell r="A9593" t="str">
            <v>SP0997-L</v>
          </cell>
          <cell r="B9593" t="str">
            <v>P997</v>
          </cell>
          <cell r="C9593" t="str">
            <v>ซาติน แขนห้าส่วนขายาว ดอกไม้น้ำตาล พื้นครีม ขอบเหลือง L</v>
          </cell>
          <cell r="E9593">
            <v>0</v>
          </cell>
          <cell r="F9593">
            <v>990</v>
          </cell>
        </row>
        <row r="9594">
          <cell r="A9594" t="str">
            <v>SP0997-M</v>
          </cell>
          <cell r="B9594" t="str">
            <v>P997</v>
          </cell>
          <cell r="C9594" t="str">
            <v>ซาติน แขนห้าส่วนขายาว ดอกไม้น้ำตาล พื้นครีม ขอบเหลือง M</v>
          </cell>
          <cell r="E9594">
            <v>0</v>
          </cell>
          <cell r="F9594">
            <v>990</v>
          </cell>
        </row>
        <row r="9595">
          <cell r="A9595" t="str">
            <v>SP0997-XL</v>
          </cell>
          <cell r="B9595" t="str">
            <v>P997</v>
          </cell>
          <cell r="C9595" t="str">
            <v>ซาติน แขนห้าส่วนขายาว ดอกไม้น้ำตาล พื้นครีม ขอบเหลือง XL</v>
          </cell>
          <cell r="E9595">
            <v>0</v>
          </cell>
          <cell r="F9595">
            <v>990</v>
          </cell>
        </row>
        <row r="9596">
          <cell r="A9596" t="str">
            <v>SP0998-2XL</v>
          </cell>
          <cell r="B9596" t="str">
            <v>P998</v>
          </cell>
          <cell r="C9596" t="str">
            <v>ซาติน แขนห้าส่วนขายาว ดอกหางนกยูง พื้นครีม ขอบเขียว 2XL</v>
          </cell>
          <cell r="E9596">
            <v>0</v>
          </cell>
          <cell r="F9596">
            <v>990</v>
          </cell>
        </row>
        <row r="9597">
          <cell r="A9597" t="str">
            <v>SP0998-L</v>
          </cell>
          <cell r="B9597" t="str">
            <v>P998</v>
          </cell>
          <cell r="C9597" t="str">
            <v>ซาติน แขนห้าส่วนขายาว ดอกหางนกยูง พื้นครีม ขอบเขียว L</v>
          </cell>
          <cell r="E9597">
            <v>0</v>
          </cell>
          <cell r="F9597">
            <v>990</v>
          </cell>
        </row>
        <row r="9598">
          <cell r="A9598" t="str">
            <v>SP0998-M</v>
          </cell>
          <cell r="B9598" t="str">
            <v>P998</v>
          </cell>
          <cell r="C9598" t="str">
            <v>ซาติน แขนห้าส่วนขายาว ดอกหางนกยูง พื้นครีม ขอบเขียว M</v>
          </cell>
          <cell r="E9598">
            <v>0</v>
          </cell>
          <cell r="F9598">
            <v>590</v>
          </cell>
        </row>
        <row r="9599">
          <cell r="A9599" t="str">
            <v>SP0998-XL</v>
          </cell>
          <cell r="B9599" t="str">
            <v>P998</v>
          </cell>
          <cell r="C9599" t="str">
            <v>ซาติน แขนห้าส่วนขายาว ดอกหางนกยูง พื้นครีม ขอบเขียว XL</v>
          </cell>
          <cell r="E9599">
            <v>0</v>
          </cell>
          <cell r="F9599">
            <v>990</v>
          </cell>
        </row>
        <row r="9600">
          <cell r="A9600" t="str">
            <v>SP1011-2XL</v>
          </cell>
          <cell r="B9600" t="str">
            <v>P1011</v>
          </cell>
          <cell r="C9600" t="str">
            <v>ซาติน แขนยาวขายาว สุนัขรวม พื้นครีม 2XL</v>
          </cell>
          <cell r="E9600">
            <v>0</v>
          </cell>
          <cell r="F9600">
            <v>990</v>
          </cell>
        </row>
        <row r="9601">
          <cell r="A9601" t="str">
            <v>SP1011-L</v>
          </cell>
          <cell r="B9601" t="str">
            <v>P1011</v>
          </cell>
          <cell r="C9601" t="str">
            <v>ซาติน แขนยาวขายาว สุนัขรวม พื้นครีม L</v>
          </cell>
          <cell r="E9601">
            <v>0</v>
          </cell>
          <cell r="F9601">
            <v>990</v>
          </cell>
        </row>
        <row r="9602">
          <cell r="A9602" t="str">
            <v>SP1011-M</v>
          </cell>
          <cell r="B9602" t="str">
            <v>P1011</v>
          </cell>
          <cell r="C9602" t="str">
            <v>ซาติน แขนยาวขายาว สุนัขรวม พื้นครีม M</v>
          </cell>
          <cell r="E9602">
            <v>0</v>
          </cell>
          <cell r="F9602">
            <v>990</v>
          </cell>
        </row>
        <row r="9603">
          <cell r="A9603" t="str">
            <v>SP1011-XL</v>
          </cell>
          <cell r="B9603" t="str">
            <v>P1011</v>
          </cell>
          <cell r="C9603" t="str">
            <v>ซาติน แขนยาวขายาว สุนัขรวม พื้นครีม XL</v>
          </cell>
          <cell r="E9603">
            <v>0</v>
          </cell>
          <cell r="F9603">
            <v>990</v>
          </cell>
        </row>
        <row r="9604">
          <cell r="A9604" t="str">
            <v>SP1024-2XL</v>
          </cell>
          <cell r="B9604" t="str">
            <v>P1024</v>
          </cell>
          <cell r="C9604" t="str">
            <v>ซาติน แขนยาวขายาว ดอกไม้หลากสี 2XL</v>
          </cell>
          <cell r="E9604">
            <v>0</v>
          </cell>
          <cell r="F9604">
            <v>990</v>
          </cell>
        </row>
        <row r="9605">
          <cell r="A9605" t="str">
            <v>SP1024-L</v>
          </cell>
          <cell r="B9605" t="str">
            <v>P1024</v>
          </cell>
          <cell r="C9605" t="str">
            <v>ซาติน แขนยาวขายาว ดอกไม้หลากสี L</v>
          </cell>
          <cell r="E9605">
            <v>0</v>
          </cell>
          <cell r="F9605">
            <v>990</v>
          </cell>
        </row>
        <row r="9606">
          <cell r="A9606" t="str">
            <v>SP1024-M</v>
          </cell>
          <cell r="B9606" t="str">
            <v>P1024</v>
          </cell>
          <cell r="C9606" t="str">
            <v>ซาติน แขนยาวขายาว ดอกไม้หลากสี M</v>
          </cell>
          <cell r="E9606">
            <v>0</v>
          </cell>
          <cell r="F9606">
            <v>990</v>
          </cell>
        </row>
        <row r="9607">
          <cell r="A9607" t="str">
            <v>SP1024-XL</v>
          </cell>
          <cell r="B9607" t="str">
            <v>QP1024</v>
          </cell>
          <cell r="C9607" t="str">
            <v>ซาติน แขนยาวขายาว ดอกไม้หลากสี XL QC</v>
          </cell>
          <cell r="E9607">
            <v>0</v>
          </cell>
          <cell r="F9607">
            <v>990</v>
          </cell>
        </row>
        <row r="9608">
          <cell r="A9608" t="str">
            <v>SP1039-L</v>
          </cell>
          <cell r="B9608" t="str">
            <v>P1039</v>
          </cell>
          <cell r="C9608" t="str">
            <v>ซาติน แขนยาวขายาว ดอกไม้แดง พื้นชมพู ขอบเขียว L</v>
          </cell>
          <cell r="E9608">
            <v>0</v>
          </cell>
          <cell r="F9608">
            <v>990</v>
          </cell>
        </row>
        <row r="9609">
          <cell r="A9609" t="str">
            <v>SP1039-M</v>
          </cell>
          <cell r="B9609" t="str">
            <v>QP1039</v>
          </cell>
          <cell r="C9609" t="str">
            <v>ซาติน แขนยาวขายาว ดอกไม้แดง พื้นชมพู ขอบเขียว M QC</v>
          </cell>
          <cell r="E9609">
            <v>0</v>
          </cell>
          <cell r="F9609">
            <v>990</v>
          </cell>
        </row>
        <row r="9610">
          <cell r="A9610" t="str">
            <v>SP1039-XL</v>
          </cell>
          <cell r="B9610" t="str">
            <v>P1039</v>
          </cell>
          <cell r="C9610" t="str">
            <v>ซาติน แขนยาวขายาว ดอกไม้แดง พื้นชมพู ขอบเขียว XL</v>
          </cell>
          <cell r="E9610">
            <v>0</v>
          </cell>
          <cell r="F9610">
            <v>990</v>
          </cell>
        </row>
        <row r="9611">
          <cell r="A9611" t="str">
            <v>SP1046-2XL</v>
          </cell>
          <cell r="B9611" t="str">
            <v>P1046</v>
          </cell>
          <cell r="C9611" t="str">
            <v>ซาติน แขนยาวขายาว ดอกไม้แดง ขอบเขียว 2XL</v>
          </cell>
          <cell r="E9611">
            <v>0</v>
          </cell>
          <cell r="F9611">
            <v>990</v>
          </cell>
        </row>
        <row r="9612">
          <cell r="A9612" t="str">
            <v>SP1046-L</v>
          </cell>
          <cell r="B9612" t="str">
            <v>P1046</v>
          </cell>
          <cell r="C9612" t="str">
            <v>ซาติน แขนยาวขายาว ดอกไม้แดง ขอบเขียว L</v>
          </cell>
          <cell r="E9612">
            <v>0</v>
          </cell>
          <cell r="F9612">
            <v>990</v>
          </cell>
        </row>
        <row r="9613">
          <cell r="A9613" t="str">
            <v>SP1046-M</v>
          </cell>
          <cell r="B9613" t="str">
            <v>QP1046</v>
          </cell>
          <cell r="C9613" t="str">
            <v>ซาติน แขนยาวขายาว ดอกไม้แดง ขอบเขียว M QC</v>
          </cell>
          <cell r="E9613">
            <v>0</v>
          </cell>
          <cell r="F9613">
            <v>990</v>
          </cell>
        </row>
        <row r="9614">
          <cell r="A9614" t="str">
            <v>SP1046-XL</v>
          </cell>
          <cell r="B9614" t="str">
            <v>P1046</v>
          </cell>
          <cell r="C9614" t="str">
            <v>ซาติน แขนยาวขายาว ดอกไม้แดง ขอบเขียว XL</v>
          </cell>
          <cell r="E9614">
            <v>0</v>
          </cell>
          <cell r="F9614">
            <v>990</v>
          </cell>
        </row>
        <row r="9615">
          <cell r="A9615" t="str">
            <v>SP1047-L</v>
          </cell>
          <cell r="B9615" t="str">
            <v>QP1047</v>
          </cell>
          <cell r="C9615" t="str">
            <v>ซาติน แขนยาวขายาว ส้มเขียว L QC</v>
          </cell>
          <cell r="E9615">
            <v>0</v>
          </cell>
          <cell r="F9615">
            <v>990</v>
          </cell>
        </row>
        <row r="9616">
          <cell r="A9616" t="str">
            <v>SP1047-M</v>
          </cell>
          <cell r="B9616" t="str">
            <v>P1047</v>
          </cell>
          <cell r="C9616" t="str">
            <v>ซาติน แขนยาวขายาว ส้มเขียว M</v>
          </cell>
          <cell r="E9616">
            <v>0</v>
          </cell>
          <cell r="F9616">
            <v>990</v>
          </cell>
        </row>
        <row r="9617">
          <cell r="A9617" t="str">
            <v>SP1047-XL</v>
          </cell>
          <cell r="B9617" t="str">
            <v>P1047</v>
          </cell>
          <cell r="C9617" t="str">
            <v>ซาติน แขนยาวขายาว ส้มเขียว XL</v>
          </cell>
          <cell r="E9617">
            <v>0</v>
          </cell>
          <cell r="F9617">
            <v>990</v>
          </cell>
        </row>
        <row r="9618">
          <cell r="A9618" t="str">
            <v>SP1058-L</v>
          </cell>
          <cell r="B9618" t="str">
            <v>P1058</v>
          </cell>
          <cell r="C9618" t="str">
            <v>ซาติน แขนยาวขายาว กุหลาบขาว พื้นดำ ปกม่วง L</v>
          </cell>
          <cell r="E9618">
            <v>0</v>
          </cell>
          <cell r="F9618">
            <v>990</v>
          </cell>
        </row>
        <row r="9619">
          <cell r="A9619" t="str">
            <v>SP1058-M</v>
          </cell>
          <cell r="B9619" t="str">
            <v>P1058</v>
          </cell>
          <cell r="C9619" t="str">
            <v>ซาติน แขนยาวขายาว กุหลาบขาว พื้นดำ ปกม่วง M</v>
          </cell>
          <cell r="E9619">
            <v>0</v>
          </cell>
          <cell r="F9619">
            <v>990</v>
          </cell>
        </row>
        <row r="9620">
          <cell r="A9620" t="str">
            <v>SP1058-XL</v>
          </cell>
          <cell r="B9620" t="str">
            <v>P1058</v>
          </cell>
          <cell r="C9620" t="str">
            <v>ซาติน แขนยาวขายาว กุหลาบขาว พื้นดำ ปกม่วง XL</v>
          </cell>
          <cell r="E9620">
            <v>0</v>
          </cell>
          <cell r="F9620">
            <v>990</v>
          </cell>
        </row>
        <row r="9621">
          <cell r="A9621" t="str">
            <v>SP1059-2XL</v>
          </cell>
          <cell r="B9621" t="str">
            <v>P1059</v>
          </cell>
          <cell r="C9621" t="str">
            <v>ซาติน แขนยาวขายาว นกกระยาง พื้นเหลือง 2XL</v>
          </cell>
          <cell r="E9621">
            <v>0</v>
          </cell>
          <cell r="F9621">
            <v>990</v>
          </cell>
        </row>
        <row r="9622">
          <cell r="A9622" t="str">
            <v>SP1059-L</v>
          </cell>
          <cell r="B9622" t="str">
            <v>P1059</v>
          </cell>
          <cell r="C9622" t="str">
            <v>ซาติน แขนยาวขายาว นกกระยาง พื้นเหลือง L</v>
          </cell>
          <cell r="E9622">
            <v>0</v>
          </cell>
          <cell r="F9622">
            <v>590</v>
          </cell>
        </row>
        <row r="9623">
          <cell r="A9623" t="str">
            <v>SP1059-M</v>
          </cell>
          <cell r="B9623" t="str">
            <v>QP1059</v>
          </cell>
          <cell r="C9623" t="str">
            <v>ซาติน แขนยาวขายาว นกกระยาง พื้นเหลือง M QC</v>
          </cell>
          <cell r="E9623">
            <v>0</v>
          </cell>
          <cell r="F9623">
            <v>990</v>
          </cell>
        </row>
        <row r="9624">
          <cell r="A9624" t="str">
            <v>SP1059-XL</v>
          </cell>
          <cell r="B9624" t="str">
            <v>P1059</v>
          </cell>
          <cell r="C9624" t="str">
            <v>ซาติน แขนยาวขายาว นกกระยาง พื้นเหลือง XL</v>
          </cell>
          <cell r="E9624">
            <v>0</v>
          </cell>
          <cell r="F9624">
            <v>990</v>
          </cell>
        </row>
        <row r="9625">
          <cell r="A9625" t="str">
            <v>SP1060-2XL</v>
          </cell>
          <cell r="B9625" t="str">
            <v>QP1060</v>
          </cell>
          <cell r="C9625" t="str">
            <v>ซาติน แขนยาวขายาว ดอกไม้ชมพู พื้นดำ 2XL QC</v>
          </cell>
          <cell r="E9625">
            <v>0</v>
          </cell>
          <cell r="F9625">
            <v>990</v>
          </cell>
        </row>
        <row r="9626">
          <cell r="A9626" t="str">
            <v>SP1060-L</v>
          </cell>
          <cell r="B9626" t="str">
            <v>P1060</v>
          </cell>
          <cell r="C9626" t="str">
            <v>ซาติน แขนยาวขายาว ดอกไม้ชมพู พื้นดำ L</v>
          </cell>
          <cell r="E9626">
            <v>0</v>
          </cell>
          <cell r="F9626">
            <v>990</v>
          </cell>
        </row>
        <row r="9627">
          <cell r="A9627" t="str">
            <v>SP1060-M</v>
          </cell>
          <cell r="B9627" t="str">
            <v>QP1060</v>
          </cell>
          <cell r="C9627" t="str">
            <v>ซาติน แขนยาวขายาว ดอกไม้ชมพู พื้นดำ M QC</v>
          </cell>
          <cell r="E9627">
            <v>0</v>
          </cell>
          <cell r="F9627">
            <v>990</v>
          </cell>
        </row>
        <row r="9628">
          <cell r="A9628" t="str">
            <v>SP1060-XL</v>
          </cell>
          <cell r="B9628" t="str">
            <v>P1060</v>
          </cell>
          <cell r="C9628" t="str">
            <v>ซาติน แขนยาวขายาว ดอกไม้ชมพู พื้นดำ XL</v>
          </cell>
          <cell r="E9628">
            <v>0</v>
          </cell>
          <cell r="F9628">
            <v>590</v>
          </cell>
        </row>
        <row r="9629">
          <cell r="A9629" t="str">
            <v>SP1061-L</v>
          </cell>
          <cell r="B9629" t="str">
            <v>P1061</v>
          </cell>
          <cell r="C9629" t="str">
            <v>ซาติน แขนยาวขายาว ดอกไม้เขียว พื้นดำ L</v>
          </cell>
          <cell r="E9629">
            <v>0</v>
          </cell>
          <cell r="F9629">
            <v>990</v>
          </cell>
        </row>
        <row r="9630">
          <cell r="A9630" t="str">
            <v>SP1061-M</v>
          </cell>
          <cell r="B9630" t="str">
            <v>P1061</v>
          </cell>
          <cell r="C9630" t="str">
            <v>ซาติน แขนยาวขายาว ดอกไม้เขียว พื้นดำ M</v>
          </cell>
          <cell r="E9630">
            <v>0</v>
          </cell>
          <cell r="F9630">
            <v>990</v>
          </cell>
        </row>
        <row r="9631">
          <cell r="A9631" t="str">
            <v>SP1061-XL</v>
          </cell>
          <cell r="B9631" t="str">
            <v>P1061</v>
          </cell>
          <cell r="C9631" t="str">
            <v>ซาติน แขนยาวขายาว ดอกไม้เขียว พื้นดำ XL</v>
          </cell>
          <cell r="E9631">
            <v>0</v>
          </cell>
          <cell r="F9631">
            <v>990</v>
          </cell>
        </row>
        <row r="9632">
          <cell r="A9632" t="str">
            <v>SP1063-L</v>
          </cell>
          <cell r="B9632" t="str">
            <v>P1063</v>
          </cell>
          <cell r="C9632" t="str">
            <v>ซาติน แขนยาวขายาว ชบาม่วงแดง พื้นดำ ขอบเขียว L (กปก)</v>
          </cell>
          <cell r="E9632">
            <v>0</v>
          </cell>
          <cell r="F9632">
            <v>990</v>
          </cell>
        </row>
        <row r="9633">
          <cell r="A9633" t="str">
            <v>SP1063-M</v>
          </cell>
          <cell r="B9633" t="str">
            <v>P1063</v>
          </cell>
          <cell r="C9633" t="str">
            <v>ซาติน แขนยาวขายาว ชบาม่วงแดง พื้นดำ ขอบเขียว M (กปก)</v>
          </cell>
          <cell r="E9633">
            <v>0</v>
          </cell>
          <cell r="F9633">
            <v>590</v>
          </cell>
        </row>
        <row r="9634">
          <cell r="A9634" t="str">
            <v>SP1063-XL</v>
          </cell>
          <cell r="B9634" t="str">
            <v>P1063</v>
          </cell>
          <cell r="C9634" t="str">
            <v>ซาติน แขนยาวขายาว ชบาม่วงแดง พื้นดำ ขอบเขียว XL (กปก)</v>
          </cell>
          <cell r="E9634">
            <v>0</v>
          </cell>
          <cell r="F9634">
            <v>990</v>
          </cell>
        </row>
        <row r="9635">
          <cell r="A9635" t="str">
            <v>SP1091-2XL</v>
          </cell>
          <cell r="B9635" t="str">
            <v>P1091</v>
          </cell>
          <cell r="C9635" t="str">
            <v>ซาติน แขนยาวขายาว ทูโทน แดงชมพู 2XL</v>
          </cell>
          <cell r="E9635">
            <v>0</v>
          </cell>
          <cell r="F9635">
            <v>990</v>
          </cell>
        </row>
        <row r="9636">
          <cell r="A9636" t="str">
            <v>SP1091-L</v>
          </cell>
          <cell r="B9636" t="str">
            <v>P1091</v>
          </cell>
          <cell r="C9636" t="str">
            <v>ซาติน แขนยาวขายาว ทูโทน แดงชมพู L</v>
          </cell>
          <cell r="E9636">
            <v>0</v>
          </cell>
          <cell r="F9636">
            <v>990</v>
          </cell>
        </row>
        <row r="9637">
          <cell r="A9637" t="str">
            <v>SP1091-M</v>
          </cell>
          <cell r="B9637" t="str">
            <v>P1091</v>
          </cell>
          <cell r="C9637" t="str">
            <v>ซาติน แขนยาวขายาว ทูโทน แดงชมพู M</v>
          </cell>
          <cell r="E9637">
            <v>0</v>
          </cell>
          <cell r="F9637">
            <v>990</v>
          </cell>
        </row>
        <row r="9638">
          <cell r="A9638" t="str">
            <v>SP1091-XL</v>
          </cell>
          <cell r="B9638" t="str">
            <v>P1091</v>
          </cell>
          <cell r="C9638" t="str">
            <v>ซาติน แขนยาวขายาว ทูโทน แดงชมพู XL</v>
          </cell>
          <cell r="E9638">
            <v>0</v>
          </cell>
          <cell r="F9638">
            <v>990</v>
          </cell>
        </row>
        <row r="9639">
          <cell r="A9639" t="str">
            <v>SP1092-2XL</v>
          </cell>
          <cell r="B9639" t="str">
            <v>P1092</v>
          </cell>
          <cell r="C9639" t="str">
            <v>ซาติน แขนยาวขายาว Teal Petals 2XL</v>
          </cell>
          <cell r="E9639">
            <v>0</v>
          </cell>
          <cell r="F9639">
            <v>990</v>
          </cell>
        </row>
        <row r="9640">
          <cell r="A9640" t="str">
            <v>SP1092-L</v>
          </cell>
          <cell r="B9640" t="str">
            <v>P1092</v>
          </cell>
          <cell r="C9640" t="str">
            <v>ซาติน แขนยาวขายาว Teal Petals L</v>
          </cell>
          <cell r="E9640">
            <v>0</v>
          </cell>
          <cell r="F9640">
            <v>990</v>
          </cell>
        </row>
        <row r="9641">
          <cell r="A9641" t="str">
            <v>SP1092-M</v>
          </cell>
          <cell r="B9641" t="str">
            <v>P1092</v>
          </cell>
          <cell r="C9641" t="str">
            <v>ซาติน แขนยาวขายาว Teal Petals M</v>
          </cell>
          <cell r="E9641">
            <v>0</v>
          </cell>
          <cell r="F9641">
            <v>990</v>
          </cell>
        </row>
        <row r="9642">
          <cell r="A9642" t="str">
            <v>SP1092-XL</v>
          </cell>
          <cell r="B9642" t="str">
            <v>P1092</v>
          </cell>
          <cell r="C9642" t="str">
            <v>ซาติน แขนยาวขายาว Teal Petals XL</v>
          </cell>
          <cell r="E9642">
            <v>0</v>
          </cell>
          <cell r="F9642">
            <v>990</v>
          </cell>
        </row>
        <row r="9643">
          <cell r="A9643" t="str">
            <v>SP1093-2XL</v>
          </cell>
          <cell r="B9643" t="str">
            <v>QP1093</v>
          </cell>
          <cell r="C9643" t="str">
            <v>ซาติน แขนยาวขายาว พาสเทลชมพู ส้มเหลือง 2XL QC</v>
          </cell>
          <cell r="E9643">
            <v>0</v>
          </cell>
          <cell r="F9643">
            <v>990</v>
          </cell>
        </row>
        <row r="9644">
          <cell r="A9644" t="str">
            <v>SP1093-L</v>
          </cell>
          <cell r="B9644" t="str">
            <v>P1093</v>
          </cell>
          <cell r="C9644" t="str">
            <v>ซาติน แขนยาวขายาว พาสเทลชมพู ส้มเหลือง L</v>
          </cell>
          <cell r="E9644">
            <v>2</v>
          </cell>
          <cell r="F9644">
            <v>990</v>
          </cell>
        </row>
        <row r="9645">
          <cell r="A9645" t="str">
            <v>SP1093-M</v>
          </cell>
          <cell r="B9645" t="str">
            <v>P1093</v>
          </cell>
          <cell r="C9645" t="str">
            <v>ซาติน แขนยาวขายาว พาสเทลชมพู ส้มเหลือง M</v>
          </cell>
          <cell r="E9645">
            <v>0</v>
          </cell>
          <cell r="F9645">
            <v>990</v>
          </cell>
        </row>
        <row r="9646">
          <cell r="A9646" t="str">
            <v>SP1093-XL</v>
          </cell>
          <cell r="B9646" t="str">
            <v>P1093</v>
          </cell>
          <cell r="C9646" t="str">
            <v>ซาติน แขนยาวขายาว พาสเทลชมพู ส้มเหลือง XL</v>
          </cell>
          <cell r="E9646">
            <v>1</v>
          </cell>
          <cell r="F9646">
            <v>990</v>
          </cell>
        </row>
        <row r="9647">
          <cell r="A9647" t="str">
            <v>SP1094-2XL</v>
          </cell>
          <cell r="B9647" t="str">
            <v>P1094</v>
          </cell>
          <cell r="C9647" t="str">
            <v>ซาติน แขนยาวขายาว ทูโทน เขียวชมพู 2XL</v>
          </cell>
          <cell r="E9647">
            <v>0</v>
          </cell>
          <cell r="F9647">
            <v>990</v>
          </cell>
        </row>
        <row r="9648">
          <cell r="A9648" t="str">
            <v>SP1094-L</v>
          </cell>
          <cell r="B9648" t="str">
            <v>P1094</v>
          </cell>
          <cell r="C9648" t="str">
            <v>ซาติน แขนยาวขายาว ทูโทน เขียวชมพู L</v>
          </cell>
          <cell r="E9648">
            <v>0</v>
          </cell>
          <cell r="F9648">
            <v>990</v>
          </cell>
        </row>
        <row r="9649">
          <cell r="A9649" t="str">
            <v>SP1094-M</v>
          </cell>
          <cell r="B9649" t="str">
            <v>P1094</v>
          </cell>
          <cell r="C9649" t="str">
            <v>ซาติน แขนยาวขายาว ทูโทน เขียวชมพู M</v>
          </cell>
          <cell r="E9649">
            <v>0</v>
          </cell>
          <cell r="F9649">
            <v>990</v>
          </cell>
        </row>
        <row r="9650">
          <cell r="A9650" t="str">
            <v>SP1094-XL</v>
          </cell>
          <cell r="B9650" t="str">
            <v>P1094</v>
          </cell>
          <cell r="C9650" t="str">
            <v>ซาติน แขนยาวขายาว ทูโทน เขียวชมพู XL</v>
          </cell>
          <cell r="E9650">
            <v>0</v>
          </cell>
          <cell r="F9650">
            <v>990</v>
          </cell>
        </row>
        <row r="9651">
          <cell r="A9651" t="str">
            <v>SP1097-2XL</v>
          </cell>
          <cell r="B9651" t="str">
            <v>P1097</v>
          </cell>
          <cell r="C9651" t="str">
            <v>ซาติน แขนยาวขายาว เสือดาวอเมซอน พื้นดำ 2XL</v>
          </cell>
          <cell r="E9651">
            <v>0</v>
          </cell>
          <cell r="F9651">
            <v>990</v>
          </cell>
        </row>
        <row r="9652">
          <cell r="A9652" t="str">
            <v>SP1097-L</v>
          </cell>
          <cell r="B9652" t="str">
            <v>P1097</v>
          </cell>
          <cell r="C9652" t="str">
            <v>ซาติน แขนยาวขายาว เสือดาวอเมซอน พื้นดำ L</v>
          </cell>
          <cell r="E9652">
            <v>0</v>
          </cell>
          <cell r="F9652">
            <v>990</v>
          </cell>
        </row>
        <row r="9653">
          <cell r="A9653" t="str">
            <v>SP1097-M</v>
          </cell>
          <cell r="B9653" t="str">
            <v>P1097</v>
          </cell>
          <cell r="C9653" t="str">
            <v>ซาติน แขนยาวขายาว เสือดาวอเมซอน พื้นดำ M</v>
          </cell>
          <cell r="E9653">
            <v>0</v>
          </cell>
          <cell r="F9653">
            <v>990</v>
          </cell>
        </row>
        <row r="9654">
          <cell r="A9654" t="str">
            <v>SP1097-XL</v>
          </cell>
          <cell r="B9654" t="str">
            <v>P1097</v>
          </cell>
          <cell r="C9654" t="str">
            <v>ซาติน แขนยาวขายาว เสือดาวอเมซอน พื้นดำ XL</v>
          </cell>
          <cell r="E9654">
            <v>0</v>
          </cell>
          <cell r="F9654">
            <v>990</v>
          </cell>
        </row>
        <row r="9655">
          <cell r="A9655" t="str">
            <v>SP1098-2XL</v>
          </cell>
          <cell r="B9655" t="str">
            <v>P1098</v>
          </cell>
          <cell r="C9655" t="str">
            <v>ซาติน แขนยาวขายาว Swan Jade 2XL</v>
          </cell>
          <cell r="E9655">
            <v>0</v>
          </cell>
          <cell r="F9655">
            <v>990</v>
          </cell>
        </row>
        <row r="9656">
          <cell r="A9656" t="str">
            <v>SP1098-L</v>
          </cell>
          <cell r="B9656" t="str">
            <v>P1098</v>
          </cell>
          <cell r="C9656" t="str">
            <v>ซาติน แขนยาวขายาว Swan Jade L</v>
          </cell>
          <cell r="E9656">
            <v>0</v>
          </cell>
          <cell r="F9656">
            <v>990</v>
          </cell>
        </row>
        <row r="9657">
          <cell r="A9657" t="str">
            <v>SP1098-M</v>
          </cell>
          <cell r="B9657" t="str">
            <v>P1098</v>
          </cell>
          <cell r="C9657" t="str">
            <v>ซาติน แขนยาวขายาว Swan Jade M</v>
          </cell>
          <cell r="E9657">
            <v>0</v>
          </cell>
          <cell r="F9657">
            <v>990</v>
          </cell>
        </row>
        <row r="9658">
          <cell r="A9658" t="str">
            <v>SP1098-XL</v>
          </cell>
          <cell r="B9658" t="str">
            <v>P1098</v>
          </cell>
          <cell r="C9658" t="str">
            <v>ซาติน แขนยาวขายาว Swan Jade XL</v>
          </cell>
          <cell r="E9658">
            <v>0</v>
          </cell>
          <cell r="F9658">
            <v>990</v>
          </cell>
        </row>
        <row r="9659">
          <cell r="A9659" t="str">
            <v>SP1111-2XL</v>
          </cell>
          <cell r="B9659" t="str">
            <v>P1111</v>
          </cell>
          <cell r="C9659" t="str">
            <v>ซาติน แขนยาวขายาว แมวฟ้า กุ๊นขอบ 2XL</v>
          </cell>
          <cell r="E9659">
            <v>0</v>
          </cell>
          <cell r="F9659">
            <v>990</v>
          </cell>
        </row>
        <row r="9660">
          <cell r="A9660" t="str">
            <v>SP1111-L</v>
          </cell>
          <cell r="B9660" t="str">
            <v>P1111</v>
          </cell>
          <cell r="C9660" t="str">
            <v>ซาติน แขนยาวขายาว แมวฟ้า กุ๊นขอบ L</v>
          </cell>
          <cell r="E9660">
            <v>0</v>
          </cell>
          <cell r="F9660">
            <v>990</v>
          </cell>
        </row>
        <row r="9661">
          <cell r="A9661" t="str">
            <v>SP1111-M</v>
          </cell>
          <cell r="B9661" t="str">
            <v>QP1111</v>
          </cell>
          <cell r="C9661" t="str">
            <v>ซาติน แขนยาวขายาว แมวฟ้า กุ๊นขอบ M QC</v>
          </cell>
          <cell r="E9661">
            <v>0</v>
          </cell>
          <cell r="F9661">
            <v>990</v>
          </cell>
        </row>
        <row r="9662">
          <cell r="A9662" t="str">
            <v>SP1111-XL</v>
          </cell>
          <cell r="B9662" t="str">
            <v>P1111</v>
          </cell>
          <cell r="C9662" t="str">
            <v>ซาติน แขนยาวขายาว แมวฟ้า กุ๊นขอบ XL</v>
          </cell>
          <cell r="E9662">
            <v>0</v>
          </cell>
          <cell r="F9662">
            <v>990</v>
          </cell>
        </row>
        <row r="9663">
          <cell r="A9663" t="str">
            <v>SP1123-L</v>
          </cell>
          <cell r="B9663" t="str">
            <v>P1123</v>
          </cell>
          <cell r="C9663" t="str">
            <v>ซาติน แขนยาวขายาว ดอกไม้หลากสี พื้นชมพู ผ้าปิดตา L</v>
          </cell>
          <cell r="E9663">
            <v>0</v>
          </cell>
          <cell r="F9663">
            <v>990</v>
          </cell>
        </row>
        <row r="9664">
          <cell r="A9664" t="str">
            <v>SP1123-M</v>
          </cell>
          <cell r="B9664" t="str">
            <v>P1123</v>
          </cell>
          <cell r="C9664" t="str">
            <v>ซาติน แขนยาวขายาว ดอกไม้หลากสี พื้นชมพู ผ้าปิดตา M</v>
          </cell>
          <cell r="E9664">
            <v>0</v>
          </cell>
          <cell r="F9664">
            <v>990</v>
          </cell>
        </row>
        <row r="9665">
          <cell r="A9665" t="str">
            <v>SP1123-S</v>
          </cell>
          <cell r="B9665" t="str">
            <v>P1123</v>
          </cell>
          <cell r="C9665" t="str">
            <v>ซาติน แขนยาวขายาว ดอกไม้หลากสี พื้นชมพู ผ้าปิดตา S</v>
          </cell>
          <cell r="E9665">
            <v>0</v>
          </cell>
          <cell r="F9665">
            <v>990</v>
          </cell>
        </row>
        <row r="9666">
          <cell r="A9666" t="str">
            <v>SP1123-XL</v>
          </cell>
          <cell r="B9666" t="str">
            <v>P1123</v>
          </cell>
          <cell r="C9666" t="str">
            <v>ซาติน แขนยาวขายาว ดอกไม้หลากสี พื้นชมพู ผ้าปิดตา XL</v>
          </cell>
          <cell r="E9666">
            <v>0</v>
          </cell>
          <cell r="F9666">
            <v>990</v>
          </cell>
        </row>
        <row r="9667">
          <cell r="A9667" t="str">
            <v>SP1126-2XL</v>
          </cell>
          <cell r="B9667" t="str">
            <v>P1126</v>
          </cell>
          <cell r="C9667" t="str">
            <v>ซาติน แขนยาวขายาว กราฟฟิกฟ้า น้ำเงิน ขาว 2XL (กปก)</v>
          </cell>
          <cell r="E9667">
            <v>0</v>
          </cell>
          <cell r="F9667">
            <v>990</v>
          </cell>
        </row>
        <row r="9668">
          <cell r="A9668" t="str">
            <v>SP1126-L</v>
          </cell>
          <cell r="B9668" t="str">
            <v>P1126</v>
          </cell>
          <cell r="C9668" t="str">
            <v>ซาติน แขนยาวขายาว กราฟฟิกฟ้า น้ำเงิน ขาว L (กปก)</v>
          </cell>
          <cell r="E9668">
            <v>0</v>
          </cell>
          <cell r="F9668">
            <v>990</v>
          </cell>
        </row>
        <row r="9669">
          <cell r="A9669" t="str">
            <v>SP1126-M</v>
          </cell>
          <cell r="B9669" t="str">
            <v>QP1126</v>
          </cell>
          <cell r="C9669" t="str">
            <v>ซาติน แขนยาวขายาว กราฟฟิกฟ้า น้ำเงิน ขาว M (กปก) QC</v>
          </cell>
          <cell r="E9669">
            <v>0</v>
          </cell>
          <cell r="F9669">
            <v>990</v>
          </cell>
        </row>
        <row r="9670">
          <cell r="A9670" t="str">
            <v>SP1126-XL</v>
          </cell>
          <cell r="B9670" t="str">
            <v>P1126</v>
          </cell>
          <cell r="C9670" t="str">
            <v>ซาติน แขนยาวขายาว กราฟฟิกฟ้า น้ำเงิน ขาว XL (กปก)</v>
          </cell>
          <cell r="E9670">
            <v>0</v>
          </cell>
          <cell r="F9670">
            <v>990</v>
          </cell>
        </row>
        <row r="9671">
          <cell r="A9671" t="str">
            <v>SP1127-2XL</v>
          </cell>
          <cell r="B9671" t="str">
            <v>P1127</v>
          </cell>
          <cell r="C9671" t="str">
            <v>ซาติน แขนยาวขายาว Fern Bubblegum 2XL</v>
          </cell>
          <cell r="E9671">
            <v>0</v>
          </cell>
          <cell r="F9671">
            <v>990</v>
          </cell>
        </row>
        <row r="9672">
          <cell r="A9672" t="str">
            <v>SP1127-L</v>
          </cell>
          <cell r="B9672" t="str">
            <v>P1127</v>
          </cell>
          <cell r="C9672" t="str">
            <v>ซาติน แขนยาวขายาว Fern Bubblegum L</v>
          </cell>
          <cell r="E9672">
            <v>0</v>
          </cell>
          <cell r="F9672">
            <v>990</v>
          </cell>
        </row>
        <row r="9673">
          <cell r="A9673" t="str">
            <v>SP1127-M</v>
          </cell>
          <cell r="B9673" t="str">
            <v>P1127</v>
          </cell>
          <cell r="C9673" t="str">
            <v>ซาติน แขนยาวขายาว Fern Bubblegum M</v>
          </cell>
          <cell r="E9673">
            <v>0</v>
          </cell>
          <cell r="F9673">
            <v>990</v>
          </cell>
        </row>
        <row r="9674">
          <cell r="A9674" t="str">
            <v>SP1127-XL</v>
          </cell>
          <cell r="B9674" t="str">
            <v>P1127</v>
          </cell>
          <cell r="C9674" t="str">
            <v>ซาติน แขนยาวขายาว Fern Bubblegum XL</v>
          </cell>
          <cell r="E9674">
            <v>0</v>
          </cell>
          <cell r="F9674">
            <v>990</v>
          </cell>
        </row>
        <row r="9675">
          <cell r="A9675" t="str">
            <v>SP1133-2XL</v>
          </cell>
          <cell r="B9675" t="str">
            <v>P1133</v>
          </cell>
          <cell r="C9675" t="str">
            <v>ซาติน แขนยาวขายาว แมว ชมพู กุ้นชอบขาว 2XL</v>
          </cell>
          <cell r="E9675">
            <v>0</v>
          </cell>
          <cell r="F9675">
            <v>990</v>
          </cell>
        </row>
        <row r="9676">
          <cell r="A9676" t="str">
            <v>SP1133-L</v>
          </cell>
          <cell r="B9676" t="str">
            <v>P1133</v>
          </cell>
          <cell r="C9676" t="str">
            <v>ซาติน แขนยาวขายาว แมว ชมพู กุ้นชอบขาว L</v>
          </cell>
          <cell r="E9676">
            <v>0</v>
          </cell>
          <cell r="F9676">
            <v>990</v>
          </cell>
        </row>
        <row r="9677">
          <cell r="A9677" t="str">
            <v>SP1133-M</v>
          </cell>
          <cell r="B9677" t="str">
            <v>P1133</v>
          </cell>
          <cell r="C9677" t="str">
            <v>ซาติน แขนยาวขายาว แมว ชมพู กุ้นชอบขาว M</v>
          </cell>
          <cell r="E9677">
            <v>0</v>
          </cell>
          <cell r="F9677">
            <v>990</v>
          </cell>
        </row>
        <row r="9678">
          <cell r="A9678" t="str">
            <v>SP1133-XL</v>
          </cell>
          <cell r="B9678" t="str">
            <v>P1133</v>
          </cell>
          <cell r="C9678" t="str">
            <v>ซาติน แขนยาวขายาว แมว ชมพู กุ้นชอบขาว XL</v>
          </cell>
          <cell r="E9678">
            <v>0</v>
          </cell>
          <cell r="F9678">
            <v>990</v>
          </cell>
        </row>
        <row r="9679">
          <cell r="A9679" t="str">
            <v>SP1137-2XL</v>
          </cell>
          <cell r="B9679" t="str">
            <v>P1137</v>
          </cell>
          <cell r="C9679" t="str">
            <v>ซาติน แขนยาวขายาว Fern Fuchsia 2XL</v>
          </cell>
          <cell r="E9679">
            <v>6</v>
          </cell>
          <cell r="F9679">
            <v>990</v>
          </cell>
        </row>
        <row r="9680">
          <cell r="A9680" t="str">
            <v>SP1137-L</v>
          </cell>
          <cell r="B9680" t="str">
            <v>P1137</v>
          </cell>
          <cell r="C9680" t="str">
            <v>ซาติน แขนยาวขายาว Fern Fuchsia L</v>
          </cell>
          <cell r="E9680">
            <v>2</v>
          </cell>
          <cell r="F9680">
            <v>990</v>
          </cell>
        </row>
        <row r="9681">
          <cell r="A9681" t="str">
            <v>SP1137-M</v>
          </cell>
          <cell r="B9681" t="str">
            <v>P1137</v>
          </cell>
          <cell r="C9681" t="str">
            <v>ซาติน แขนยาวขายาว Fern Fuchsia M</v>
          </cell>
          <cell r="E9681">
            <v>5</v>
          </cell>
          <cell r="F9681">
            <v>990</v>
          </cell>
        </row>
        <row r="9682">
          <cell r="A9682" t="str">
            <v>SP1137-XL</v>
          </cell>
          <cell r="B9682" t="str">
            <v>P1137</v>
          </cell>
          <cell r="C9682" t="str">
            <v>ซาติน แขนยาวขายาว Fern Fuchsia XL</v>
          </cell>
          <cell r="E9682">
            <v>6</v>
          </cell>
          <cell r="F9682">
            <v>990</v>
          </cell>
        </row>
        <row r="9683">
          <cell r="A9683" t="str">
            <v>SP1138-2XL</v>
          </cell>
          <cell r="B9683" t="str">
            <v>P1138</v>
          </cell>
          <cell r="C9683" t="str">
            <v>ซาติน แขนยาวขายาว กราฟฟิกฟาโร เขียวแดง 2XL</v>
          </cell>
          <cell r="E9683">
            <v>0</v>
          </cell>
          <cell r="F9683">
            <v>990</v>
          </cell>
        </row>
        <row r="9684">
          <cell r="A9684" t="str">
            <v>SP1138-L</v>
          </cell>
          <cell r="B9684" t="str">
            <v>P1138</v>
          </cell>
          <cell r="C9684" t="str">
            <v>ซาติน แขนยาวขายาว กราฟฟิกฟาโร เขียวแดง L</v>
          </cell>
          <cell r="E9684">
            <v>0</v>
          </cell>
          <cell r="F9684">
            <v>990</v>
          </cell>
        </row>
        <row r="9685">
          <cell r="A9685" t="str">
            <v>SP1138-M</v>
          </cell>
          <cell r="B9685" t="str">
            <v>QP1138</v>
          </cell>
          <cell r="C9685" t="str">
            <v>ซาติน แขนยาวขายาว กราฟฟิกฟาโร เขียวแดง M QC</v>
          </cell>
          <cell r="E9685">
            <v>0</v>
          </cell>
          <cell r="F9685">
            <v>990</v>
          </cell>
        </row>
        <row r="9686">
          <cell r="A9686" t="str">
            <v>SP1138-XL</v>
          </cell>
          <cell r="B9686" t="str">
            <v>QP1138</v>
          </cell>
          <cell r="C9686" t="str">
            <v>ซาติน แขนยาวขายาว กราฟฟิกฟาโร เขียวแดง XL QC</v>
          </cell>
          <cell r="E9686">
            <v>0</v>
          </cell>
          <cell r="F9686">
            <v>990</v>
          </cell>
        </row>
        <row r="9687">
          <cell r="A9687" t="str">
            <v>SP1148-2XL</v>
          </cell>
          <cell r="B9687" t="str">
            <v>P1148</v>
          </cell>
          <cell r="C9687" t="str">
            <v>ซาติน แขนยาวขายาว Tiger Pink 2XL</v>
          </cell>
          <cell r="E9687">
            <v>0</v>
          </cell>
          <cell r="F9687">
            <v>990</v>
          </cell>
        </row>
        <row r="9688">
          <cell r="A9688" t="str">
            <v>SP1148-L</v>
          </cell>
          <cell r="B9688" t="str">
            <v>P1148</v>
          </cell>
          <cell r="C9688" t="str">
            <v>ซาติน แขนยาวขายาว Tiger Pink L</v>
          </cell>
          <cell r="E9688">
            <v>0</v>
          </cell>
          <cell r="F9688">
            <v>990</v>
          </cell>
        </row>
        <row r="9689">
          <cell r="A9689" t="str">
            <v>SP1148-M</v>
          </cell>
          <cell r="B9689" t="str">
            <v>P1148</v>
          </cell>
          <cell r="C9689" t="str">
            <v>ซาติน แขนยาวขายาว Tiger Pink M</v>
          </cell>
          <cell r="E9689">
            <v>0</v>
          </cell>
          <cell r="F9689">
            <v>990</v>
          </cell>
        </row>
        <row r="9690">
          <cell r="A9690" t="str">
            <v>SP1148-XL</v>
          </cell>
          <cell r="B9690" t="str">
            <v>P1148</v>
          </cell>
          <cell r="C9690" t="str">
            <v>ซาติน แขนยาวขายาว Tiger Pink XL</v>
          </cell>
          <cell r="E9690">
            <v>0</v>
          </cell>
          <cell r="F9690">
            <v>990</v>
          </cell>
        </row>
        <row r="9691">
          <cell r="A9691" t="str">
            <v>SP1183-2XL</v>
          </cell>
          <cell r="B9691" t="str">
            <v>P1183</v>
          </cell>
          <cell r="C9691" t="str">
            <v>ซาติน แขนยาวขายาว กระต่ายชมพู ปกเขียว 2XL (กปก)</v>
          </cell>
          <cell r="E9691">
            <v>0</v>
          </cell>
          <cell r="F9691">
            <v>990</v>
          </cell>
        </row>
        <row r="9692">
          <cell r="A9692" t="str">
            <v>SP1183-3XL</v>
          </cell>
          <cell r="B9692" t="str">
            <v>P1183</v>
          </cell>
          <cell r="C9692" t="str">
            <v>ซาติน แขนยาวขายาว กระต่ายชมพู ปกเขียว 3XL (กปก)</v>
          </cell>
          <cell r="E9692">
            <v>0</v>
          </cell>
          <cell r="F9692">
            <v>990</v>
          </cell>
        </row>
        <row r="9693">
          <cell r="A9693" t="str">
            <v>SP1183-L</v>
          </cell>
          <cell r="B9693" t="str">
            <v>P1183</v>
          </cell>
          <cell r="C9693" t="str">
            <v>ซาติน แขนยาวขายาว กระต่ายชมพู ปกเขียว L (กปก)</v>
          </cell>
          <cell r="E9693">
            <v>0</v>
          </cell>
          <cell r="F9693">
            <v>990</v>
          </cell>
        </row>
        <row r="9694">
          <cell r="A9694" t="str">
            <v>SP1183-M</v>
          </cell>
          <cell r="B9694" t="str">
            <v>P1183</v>
          </cell>
          <cell r="C9694" t="str">
            <v>ซาติน แขนยาวขายาว กระต่ายชมพู ปกเขียว M (กปก)</v>
          </cell>
          <cell r="E9694">
            <v>0</v>
          </cell>
          <cell r="F9694">
            <v>990</v>
          </cell>
        </row>
        <row r="9695">
          <cell r="A9695" t="str">
            <v>SP1183-XL</v>
          </cell>
          <cell r="B9695" t="str">
            <v>P1183</v>
          </cell>
          <cell r="C9695" t="str">
            <v>ซาติน แขนยาวขายาว กระต่ายชมพู ปกเขียว XL (กปก)</v>
          </cell>
          <cell r="E9695">
            <v>0</v>
          </cell>
          <cell r="F9695">
            <v>990</v>
          </cell>
        </row>
        <row r="9696">
          <cell r="A9696" t="str">
            <v>SP1195-2XL</v>
          </cell>
          <cell r="B9696" t="str">
            <v>P1195</v>
          </cell>
          <cell r="C9696" t="str">
            <v>ซาติน แขนยาวขายาว กระต่ายขาว พื้นม่วง 2XL</v>
          </cell>
          <cell r="E9696">
            <v>0</v>
          </cell>
          <cell r="F9696">
            <v>990</v>
          </cell>
        </row>
        <row r="9697">
          <cell r="A9697" t="str">
            <v>SP1195-L</v>
          </cell>
          <cell r="B9697" t="str">
            <v>P1195</v>
          </cell>
          <cell r="C9697" t="str">
            <v>ซาติน แขนยาวขายาว กระต่ายขาว พื้นม่วง L</v>
          </cell>
          <cell r="E9697">
            <v>0</v>
          </cell>
          <cell r="F9697">
            <v>990</v>
          </cell>
        </row>
        <row r="9698">
          <cell r="A9698" t="str">
            <v>SP1195-M</v>
          </cell>
          <cell r="B9698" t="str">
            <v>P1195</v>
          </cell>
          <cell r="C9698" t="str">
            <v>ซาติน แขนยาวขายาว กระต่ายขาว พื้นม่วง M</v>
          </cell>
          <cell r="E9698">
            <v>0</v>
          </cell>
          <cell r="F9698">
            <v>0</v>
          </cell>
        </row>
        <row r="9699">
          <cell r="A9699" t="str">
            <v>SP1195-XL</v>
          </cell>
          <cell r="B9699" t="str">
            <v>P1195</v>
          </cell>
          <cell r="C9699" t="str">
            <v>ซาติน แขนยาวขายาว กระต่ายขาว พื้นม่วง XL</v>
          </cell>
          <cell r="E9699">
            <v>0</v>
          </cell>
          <cell r="F9699">
            <v>990</v>
          </cell>
        </row>
        <row r="9700">
          <cell r="A9700" t="str">
            <v>SP1196-L</v>
          </cell>
          <cell r="B9700" t="str">
            <v>P1196</v>
          </cell>
          <cell r="C9700" t="str">
            <v>ซาติน แขนยาวขายาว Rabbit tulip pink (กปก) L</v>
          </cell>
          <cell r="E9700">
            <v>0</v>
          </cell>
          <cell r="F9700">
            <v>990</v>
          </cell>
        </row>
        <row r="9701">
          <cell r="A9701" t="str">
            <v>SP1196-M</v>
          </cell>
          <cell r="B9701" t="str">
            <v>P1196</v>
          </cell>
          <cell r="C9701" t="str">
            <v>ซาติน แขนยาวขายาว Rabbit tulip pink (กปก) M</v>
          </cell>
          <cell r="E9701">
            <v>0</v>
          </cell>
          <cell r="F9701">
            <v>990</v>
          </cell>
        </row>
        <row r="9702">
          <cell r="A9702" t="str">
            <v>SP1201-2XL</v>
          </cell>
          <cell r="B9702" t="str">
            <v>P1201</v>
          </cell>
          <cell r="C9702" t="str">
            <v>ซาติน แขนยาวขายาว Christmas Buddy 2XL</v>
          </cell>
          <cell r="E9702">
            <v>0</v>
          </cell>
          <cell r="F9702">
            <v>990</v>
          </cell>
        </row>
        <row r="9703">
          <cell r="A9703" t="str">
            <v>SP1201-L</v>
          </cell>
          <cell r="B9703" t="str">
            <v>QP1201</v>
          </cell>
          <cell r="C9703" t="str">
            <v>ซาติน แขนยาวขายาว Christmas Buddy L QC</v>
          </cell>
          <cell r="E9703">
            <v>0</v>
          </cell>
          <cell r="F9703">
            <v>990</v>
          </cell>
        </row>
        <row r="9704">
          <cell r="A9704" t="str">
            <v>SP1201-M</v>
          </cell>
          <cell r="B9704" t="str">
            <v>P1201</v>
          </cell>
          <cell r="C9704" t="str">
            <v>ซาติน แขนยาวขายาว Christmas Buddy M</v>
          </cell>
          <cell r="E9704">
            <v>0</v>
          </cell>
          <cell r="F9704">
            <v>990</v>
          </cell>
        </row>
        <row r="9705">
          <cell r="A9705" t="str">
            <v>SP1201-XL</v>
          </cell>
          <cell r="B9705" t="str">
            <v>P1201</v>
          </cell>
          <cell r="C9705" t="str">
            <v>ซาติน แขนยาวขายาว Christmas Buddy XL</v>
          </cell>
          <cell r="E9705">
            <v>0</v>
          </cell>
          <cell r="F9705">
            <v>990</v>
          </cell>
        </row>
        <row r="9706">
          <cell r="A9706" t="str">
            <v>SP1202-2XL</v>
          </cell>
          <cell r="B9706" t="str">
            <v>P1202</v>
          </cell>
          <cell r="C9706" t="str">
            <v>ซาติน แขนยาวขายาว สวนสัตว์หลากสี 2XL</v>
          </cell>
          <cell r="E9706">
            <v>0</v>
          </cell>
          <cell r="F9706">
            <v>990</v>
          </cell>
        </row>
        <row r="9707">
          <cell r="A9707" t="str">
            <v>SP1202-L</v>
          </cell>
          <cell r="B9707" t="str">
            <v>P1202</v>
          </cell>
          <cell r="C9707" t="str">
            <v>ซาติน แขนยาวขายาว สวนสัตว์หลากสี L</v>
          </cell>
          <cell r="E9707">
            <v>0</v>
          </cell>
          <cell r="F9707">
            <v>990</v>
          </cell>
        </row>
        <row r="9708">
          <cell r="A9708" t="str">
            <v>SP1202-M</v>
          </cell>
          <cell r="B9708" t="str">
            <v>P1202</v>
          </cell>
          <cell r="C9708" t="str">
            <v>ซาติน แขนยาวขายาว สวนสัตว์หลากสี M</v>
          </cell>
          <cell r="E9708">
            <v>0</v>
          </cell>
          <cell r="F9708">
            <v>990</v>
          </cell>
        </row>
        <row r="9709">
          <cell r="A9709" t="str">
            <v>SP1202-XL</v>
          </cell>
          <cell r="B9709" t="str">
            <v>P1202</v>
          </cell>
          <cell r="C9709" t="str">
            <v>ซาติน แขนยาวขายาว สวนสัตว์หลากสี XL</v>
          </cell>
          <cell r="E9709">
            <v>1</v>
          </cell>
          <cell r="F9709">
            <v>990</v>
          </cell>
        </row>
        <row r="9710">
          <cell r="A9710" t="str">
            <v>SP1203-2XL</v>
          </cell>
          <cell r="B9710" t="str">
            <v>P1203</v>
          </cell>
          <cell r="C9710" t="str">
            <v>ซาติน แขนยาวขายาว หมาผลไม้ พื้นชมพู 2XL</v>
          </cell>
          <cell r="E9710">
            <v>0</v>
          </cell>
          <cell r="F9710">
            <v>990</v>
          </cell>
        </row>
        <row r="9711">
          <cell r="A9711" t="str">
            <v>SP1203-L</v>
          </cell>
          <cell r="B9711" t="str">
            <v>P1203</v>
          </cell>
          <cell r="C9711" t="str">
            <v>ซาติน แขนยาวขายาว หมาผลไม้ พื้นชมพู L</v>
          </cell>
          <cell r="E9711">
            <v>0</v>
          </cell>
          <cell r="F9711">
            <v>990</v>
          </cell>
        </row>
        <row r="9712">
          <cell r="A9712" t="str">
            <v>SP1203-M</v>
          </cell>
          <cell r="B9712" t="str">
            <v>P1203</v>
          </cell>
          <cell r="C9712" t="str">
            <v>ซาติน แขนยาวขายาว หมาผลไม้ พื้นชมพู M</v>
          </cell>
          <cell r="E9712">
            <v>0</v>
          </cell>
          <cell r="F9712">
            <v>990</v>
          </cell>
        </row>
        <row r="9713">
          <cell r="A9713" t="str">
            <v>SP1203-XL</v>
          </cell>
          <cell r="B9713" t="str">
            <v>P1203</v>
          </cell>
          <cell r="C9713" t="str">
            <v>ซาติน แขนยาวขายาว หมาผลไม้ พื้นชมพู XL</v>
          </cell>
          <cell r="E9713">
            <v>0</v>
          </cell>
          <cell r="F9713">
            <v>990</v>
          </cell>
        </row>
        <row r="9714">
          <cell r="A9714" t="str">
            <v>SP1204-2XL</v>
          </cell>
          <cell r="B9714" t="str">
            <v>P1204</v>
          </cell>
          <cell r="C9714" t="str">
            <v>ซาติน แขนยาวขายาว หัวใจเล็ก พื้นครีม 2XL</v>
          </cell>
          <cell r="E9714">
            <v>0</v>
          </cell>
          <cell r="F9714">
            <v>990</v>
          </cell>
        </row>
        <row r="9715">
          <cell r="A9715" t="str">
            <v>SP1204-L</v>
          </cell>
          <cell r="B9715" t="str">
            <v>P1204</v>
          </cell>
          <cell r="C9715" t="str">
            <v>ซาติน แขนยาวขายาว หัวใจเล็ก พื้นครีม L</v>
          </cell>
          <cell r="E9715">
            <v>0</v>
          </cell>
          <cell r="F9715">
            <v>990</v>
          </cell>
        </row>
        <row r="9716">
          <cell r="A9716" t="str">
            <v>SP1204-M</v>
          </cell>
          <cell r="B9716" t="str">
            <v>P1204</v>
          </cell>
          <cell r="C9716" t="str">
            <v>ซาติน แขนยาวขายาว หัวใจเล็ก พื้นครีม M</v>
          </cell>
          <cell r="E9716">
            <v>0</v>
          </cell>
          <cell r="F9716">
            <v>990</v>
          </cell>
        </row>
        <row r="9717">
          <cell r="A9717" t="str">
            <v>SP1204-XL</v>
          </cell>
          <cell r="B9717" t="str">
            <v>P1204</v>
          </cell>
          <cell r="C9717" t="str">
            <v>ซาติน แขนยาวขายาว หัวใจเล็ก พื้นครีม XL</v>
          </cell>
          <cell r="E9717">
            <v>0</v>
          </cell>
          <cell r="F9717">
            <v>990</v>
          </cell>
        </row>
        <row r="9718">
          <cell r="A9718" t="str">
            <v>SP1205-2XL</v>
          </cell>
          <cell r="B9718" t="str">
            <v>P1205</v>
          </cell>
          <cell r="C9718" t="str">
            <v>ซาติน แขนยาวขายาว หัวใจเล็ก พื้นม่วง 2XL</v>
          </cell>
          <cell r="E9718">
            <v>0</v>
          </cell>
          <cell r="F9718">
            <v>990</v>
          </cell>
        </row>
        <row r="9719">
          <cell r="A9719" t="str">
            <v>SP1205-L</v>
          </cell>
          <cell r="B9719" t="str">
            <v>P1205</v>
          </cell>
          <cell r="C9719" t="str">
            <v>ซาติน แขนยาวขายาว หัวใจเล็ก พื้นม่วง L</v>
          </cell>
          <cell r="E9719">
            <v>1</v>
          </cell>
          <cell r="F9719">
            <v>990</v>
          </cell>
        </row>
        <row r="9720">
          <cell r="A9720" t="str">
            <v>SP1205-M</v>
          </cell>
          <cell r="B9720" t="str">
            <v>P1205</v>
          </cell>
          <cell r="C9720" t="str">
            <v>ซาติน แขนยาวขายาว หัวใจเล็ก พื้นม่วง M</v>
          </cell>
          <cell r="E9720">
            <v>0</v>
          </cell>
          <cell r="F9720">
            <v>990</v>
          </cell>
        </row>
        <row r="9721">
          <cell r="A9721" t="str">
            <v>SP1205-XL</v>
          </cell>
          <cell r="B9721" t="str">
            <v>P1205</v>
          </cell>
          <cell r="C9721" t="str">
            <v>ซาติน แขนยาวขายาว หัวใจเล็ก พื้นม่วง XL</v>
          </cell>
          <cell r="E9721">
            <v>0</v>
          </cell>
          <cell r="F9721">
            <v>990</v>
          </cell>
        </row>
        <row r="9722">
          <cell r="A9722" t="str">
            <v>SP1206-2XL</v>
          </cell>
          <cell r="B9722" t="str">
            <v>QP1206</v>
          </cell>
          <cell r="C9722" t="str">
            <v>ซาติน แขนยาวขายาว Charcoal timber 2XL QC</v>
          </cell>
          <cell r="E9722">
            <v>0</v>
          </cell>
          <cell r="F9722">
            <v>990</v>
          </cell>
        </row>
        <row r="9723">
          <cell r="A9723" t="str">
            <v>SP1206-L</v>
          </cell>
          <cell r="B9723" t="str">
            <v>P1206</v>
          </cell>
          <cell r="C9723" t="str">
            <v>ซาติน แขนยาวขายาว Charcoal timber L</v>
          </cell>
          <cell r="E9723">
            <v>0</v>
          </cell>
          <cell r="F9723">
            <v>990</v>
          </cell>
        </row>
        <row r="9724">
          <cell r="A9724" t="str">
            <v>SP1206-M</v>
          </cell>
          <cell r="B9724" t="str">
            <v>QP1206</v>
          </cell>
          <cell r="C9724" t="str">
            <v>ซาติน แขนยาวขายาว Charcoal timber M QC</v>
          </cell>
          <cell r="E9724">
            <v>0</v>
          </cell>
          <cell r="F9724">
            <v>990</v>
          </cell>
        </row>
        <row r="9725">
          <cell r="A9725" t="str">
            <v>SP1206-XL</v>
          </cell>
          <cell r="B9725" t="str">
            <v>P1206</v>
          </cell>
          <cell r="C9725" t="str">
            <v>ซาติน แขนยาวขายาว Charcoal timber XL</v>
          </cell>
          <cell r="E9725">
            <v>3</v>
          </cell>
          <cell r="F9725">
            <v>990</v>
          </cell>
        </row>
        <row r="9726">
          <cell r="A9726" t="str">
            <v>SP1207-2XL</v>
          </cell>
          <cell r="B9726" t="str">
            <v>P1207</v>
          </cell>
          <cell r="C9726" t="str">
            <v>ซาติน แขนยาวขายาว Haussmannian Gray 2XL</v>
          </cell>
          <cell r="E9726">
            <v>0</v>
          </cell>
          <cell r="F9726">
            <v>1090</v>
          </cell>
        </row>
        <row r="9727">
          <cell r="A9727" t="str">
            <v>SP1207-L</v>
          </cell>
          <cell r="B9727" t="str">
            <v>P1207</v>
          </cell>
          <cell r="C9727" t="str">
            <v>ซาติน แขนยาวขายาว Haussmannian Gray L</v>
          </cell>
          <cell r="E9727">
            <v>0</v>
          </cell>
          <cell r="F9727">
            <v>1090</v>
          </cell>
        </row>
        <row r="9728">
          <cell r="A9728" t="str">
            <v>SP1207-M</v>
          </cell>
          <cell r="B9728" t="str">
            <v>P1207</v>
          </cell>
          <cell r="C9728" t="str">
            <v>ซาติน แขนยาวขายาว Haussmannian Gray M</v>
          </cell>
          <cell r="E9728">
            <v>0</v>
          </cell>
          <cell r="F9728">
            <v>1090</v>
          </cell>
        </row>
        <row r="9729">
          <cell r="A9729" t="str">
            <v>SP1207-XL</v>
          </cell>
          <cell r="B9729" t="str">
            <v>P1207</v>
          </cell>
          <cell r="C9729" t="str">
            <v>ซาติน แขนยาวขายาว Haussmannian Gray XL</v>
          </cell>
          <cell r="E9729">
            <v>0</v>
          </cell>
          <cell r="F9729">
            <v>1090</v>
          </cell>
        </row>
        <row r="9730">
          <cell r="A9730" t="str">
            <v>SP1215-2XL</v>
          </cell>
          <cell r="B9730" t="str">
            <v>QP1215</v>
          </cell>
          <cell r="C9730" t="str">
            <v>ซาติน แขนยาวขายาว zoooforest 2XL QC</v>
          </cell>
          <cell r="E9730">
            <v>0</v>
          </cell>
          <cell r="F9730">
            <v>990</v>
          </cell>
        </row>
        <row r="9731">
          <cell r="A9731" t="str">
            <v>SP1215-L</v>
          </cell>
          <cell r="B9731" t="str">
            <v>P1215</v>
          </cell>
          <cell r="C9731" t="str">
            <v>ซาติน แขนยาวขายาว zoooforest L</v>
          </cell>
          <cell r="E9731">
            <v>0</v>
          </cell>
          <cell r="F9731">
            <v>990</v>
          </cell>
        </row>
        <row r="9732">
          <cell r="A9732" t="str">
            <v>SP1215-M</v>
          </cell>
          <cell r="B9732" t="str">
            <v>P1215</v>
          </cell>
          <cell r="C9732" t="str">
            <v>ซาติน แขนยาวขายาว zoooforest M</v>
          </cell>
          <cell r="E9732">
            <v>0</v>
          </cell>
          <cell r="F9732">
            <v>990</v>
          </cell>
        </row>
        <row r="9733">
          <cell r="A9733" t="str">
            <v>SP1215-XL</v>
          </cell>
          <cell r="B9733" t="str">
            <v>QP1215</v>
          </cell>
          <cell r="C9733" t="str">
            <v>ซาติน แขนยาวขายาว zoooforest XL QC</v>
          </cell>
          <cell r="E9733">
            <v>0</v>
          </cell>
          <cell r="F9733">
            <v>990</v>
          </cell>
        </row>
        <row r="9734">
          <cell r="A9734" t="str">
            <v>SP1216-2XL</v>
          </cell>
          <cell r="B9734" t="str">
            <v>P1216</v>
          </cell>
          <cell r="C9734" t="str">
            <v>ซาติน แขนยาวขายาว สุนัขแฟชั่น พื้นเขียว 2XL</v>
          </cell>
          <cell r="E9734">
            <v>16</v>
          </cell>
          <cell r="F9734">
            <v>990</v>
          </cell>
        </row>
        <row r="9735">
          <cell r="A9735" t="str">
            <v>SP1216-L</v>
          </cell>
          <cell r="B9735" t="str">
            <v>QP1216</v>
          </cell>
          <cell r="C9735" t="str">
            <v>ซาติน แขนยาวขายาว สุนัขแฟชั่น พื้นเขียว L QC</v>
          </cell>
          <cell r="E9735">
            <v>0</v>
          </cell>
          <cell r="F9735">
            <v>990</v>
          </cell>
        </row>
        <row r="9736">
          <cell r="A9736" t="str">
            <v>SP1216-M</v>
          </cell>
          <cell r="B9736" t="str">
            <v>P1216</v>
          </cell>
          <cell r="C9736" t="str">
            <v>ซาติน แขนยาวขายาว สุนัขแฟชั่น พื้นเขียว M</v>
          </cell>
          <cell r="E9736">
            <v>0</v>
          </cell>
          <cell r="F9736">
            <v>990</v>
          </cell>
        </row>
        <row r="9737">
          <cell r="A9737" t="str">
            <v>SP1216-XL</v>
          </cell>
          <cell r="B9737" t="str">
            <v>P1216</v>
          </cell>
          <cell r="C9737" t="str">
            <v>ซาติน แขนยาวขายาว สุนัขแฟชั่น พื้นเขียว XL</v>
          </cell>
          <cell r="E9737">
            <v>2</v>
          </cell>
          <cell r="F9737">
            <v>990</v>
          </cell>
        </row>
        <row r="9738">
          <cell r="A9738" t="str">
            <v>SP1224-2XL</v>
          </cell>
          <cell r="B9738" t="str">
            <v>P1224</v>
          </cell>
          <cell r="C9738" t="str">
            <v>ซาติน แขนยาวขายาว เสือดาวพื้นน้ำเงิน ปกเสือชมพู 2XL</v>
          </cell>
          <cell r="E9738">
            <v>0</v>
          </cell>
          <cell r="F9738">
            <v>990</v>
          </cell>
        </row>
        <row r="9739">
          <cell r="A9739" t="str">
            <v>SP1224-L</v>
          </cell>
          <cell r="B9739" t="str">
            <v>P1224</v>
          </cell>
          <cell r="C9739" t="str">
            <v>ซาติน แขนยาวขายาว เสือดาวพื้นน้ำเงิน ปกเสือชมพู L</v>
          </cell>
          <cell r="E9739">
            <v>0</v>
          </cell>
          <cell r="F9739">
            <v>990</v>
          </cell>
        </row>
        <row r="9740">
          <cell r="A9740" t="str">
            <v>SP1224-M</v>
          </cell>
          <cell r="B9740" t="str">
            <v>P1224</v>
          </cell>
          <cell r="C9740" t="str">
            <v>ซาติน แขนยาวขายาว เสือดาวพื้นน้ำเงิน ปกเสือชมพู M</v>
          </cell>
          <cell r="E9740">
            <v>0</v>
          </cell>
          <cell r="F9740">
            <v>990</v>
          </cell>
        </row>
        <row r="9741">
          <cell r="A9741" t="str">
            <v>SP1224-XL</v>
          </cell>
          <cell r="B9741" t="str">
            <v>P1224</v>
          </cell>
          <cell r="C9741" t="str">
            <v>ซาติน แขนยาวขายาว เสือดาวพื้นน้ำเงิน ปกเสือชมพู XL</v>
          </cell>
          <cell r="E9741">
            <v>0</v>
          </cell>
          <cell r="F9741">
            <v>990</v>
          </cell>
        </row>
        <row r="9742">
          <cell r="A9742" t="str">
            <v>SP1225-2XL</v>
          </cell>
          <cell r="B9742" t="str">
            <v>P1225</v>
          </cell>
          <cell r="C9742" t="str">
            <v>ซาติน แขนยาวขายาว นักกีฬา สเก็ต พื้นครีม ปกฟ้า ขาว 2XL</v>
          </cell>
          <cell r="E9742">
            <v>0</v>
          </cell>
          <cell r="F9742">
            <v>990</v>
          </cell>
        </row>
        <row r="9743">
          <cell r="A9743" t="str">
            <v>SP1225-L</v>
          </cell>
          <cell r="B9743" t="str">
            <v>P1225</v>
          </cell>
          <cell r="C9743" t="str">
            <v>ซาติน แขนยาวขายาว นักกีฬา สเก็ต พื้นครีม ปกฟ้า ขาว L</v>
          </cell>
          <cell r="E9743">
            <v>0</v>
          </cell>
          <cell r="F9743">
            <v>990</v>
          </cell>
        </row>
        <row r="9744">
          <cell r="A9744" t="str">
            <v>SP1225-M</v>
          </cell>
          <cell r="B9744" t="str">
            <v>P1225</v>
          </cell>
          <cell r="C9744" t="str">
            <v>ซาติน แขนยาวขายาว นักกีฬา สเก็ต พื้นครีม ปกฟ้า ขาว M</v>
          </cell>
          <cell r="E9744">
            <v>0</v>
          </cell>
          <cell r="F9744">
            <v>990</v>
          </cell>
        </row>
        <row r="9745">
          <cell r="A9745" t="str">
            <v>SP1225-XL</v>
          </cell>
          <cell r="B9745" t="str">
            <v>P1225</v>
          </cell>
          <cell r="C9745" t="str">
            <v>ซาติน แขนยาวขายาว นักกีฬา สเก็ต พื้นครีม ปกฟ้า ขาว XL</v>
          </cell>
          <cell r="E9745">
            <v>0</v>
          </cell>
          <cell r="F9745">
            <v>990</v>
          </cell>
        </row>
        <row r="9746">
          <cell r="A9746" t="str">
            <v>SP1228-2XL</v>
          </cell>
          <cell r="B9746" t="str">
            <v>P1228</v>
          </cell>
          <cell r="C9746" t="str">
            <v>ซาติน แขนยาวขายาว Zoo forest พื้นขาว ปกโอโรส 2XL (กปก)</v>
          </cell>
          <cell r="E9746">
            <v>0</v>
          </cell>
          <cell r="F9746">
            <v>990</v>
          </cell>
        </row>
        <row r="9747">
          <cell r="A9747" t="str">
            <v>SP1228-L</v>
          </cell>
          <cell r="B9747" t="str">
            <v>P1228</v>
          </cell>
          <cell r="C9747" t="str">
            <v>ซาติน แขนยาวขายาว Zoo forest พื้นขาว ปกโอโรส L (กปก)</v>
          </cell>
          <cell r="E9747">
            <v>0</v>
          </cell>
          <cell r="F9747">
            <v>990</v>
          </cell>
        </row>
        <row r="9748">
          <cell r="A9748" t="str">
            <v>SP1228-M</v>
          </cell>
          <cell r="B9748" t="str">
            <v>P1228</v>
          </cell>
          <cell r="C9748" t="str">
            <v>ซาติน แขนยาวขายาว Zoo forest พื้นขาว ปกโอโรส M (กปก)</v>
          </cell>
          <cell r="E9748">
            <v>0</v>
          </cell>
          <cell r="F9748">
            <v>990</v>
          </cell>
        </row>
        <row r="9749">
          <cell r="A9749" t="str">
            <v>SP1228-XL</v>
          </cell>
          <cell r="B9749" t="str">
            <v>P1228</v>
          </cell>
          <cell r="C9749" t="str">
            <v>ซาติน แขนยาวขายาว Zoo forest พื้นขาว ปกโอโรส XL (กปก)</v>
          </cell>
          <cell r="E9749">
            <v>0</v>
          </cell>
          <cell r="F9749">
            <v>990</v>
          </cell>
        </row>
        <row r="9750">
          <cell r="A9750" t="str">
            <v>SP1236-F</v>
          </cell>
          <cell r="B9750" t="str">
            <v>P1236</v>
          </cell>
          <cell r="C9750" t="str">
            <v>cotton silk แขนยาวขายาว Shinchan Peach F</v>
          </cell>
          <cell r="E9750">
            <v>0</v>
          </cell>
          <cell r="F9750">
            <v>1090</v>
          </cell>
        </row>
        <row r="9751">
          <cell r="A9751" t="str">
            <v>SP1237-F</v>
          </cell>
          <cell r="B9751" t="str">
            <v>P1237</v>
          </cell>
          <cell r="C9751" t="str">
            <v>cotton silk แขนยาวขายาว Shinchan Blueberry F</v>
          </cell>
          <cell r="E9751">
            <v>0</v>
          </cell>
          <cell r="F9751">
            <v>1090</v>
          </cell>
        </row>
        <row r="9752">
          <cell r="A9752" t="str">
            <v>SP1238-F</v>
          </cell>
          <cell r="B9752" t="str">
            <v>P1238</v>
          </cell>
          <cell r="C9752" t="str">
            <v>cotton silk แขนยาวขายาว Shinchan Grape F</v>
          </cell>
          <cell r="E9752">
            <v>0</v>
          </cell>
          <cell r="F9752">
            <v>1090</v>
          </cell>
        </row>
        <row r="9753">
          <cell r="A9753" t="str">
            <v>SP1244-M</v>
          </cell>
          <cell r="B9753" t="str">
            <v>P1244</v>
          </cell>
          <cell r="C9753" t="str">
            <v>ซาติน แขนยาวขายาว Ruby Rabbit M</v>
          </cell>
          <cell r="E9753">
            <v>0</v>
          </cell>
          <cell r="F9753">
            <v>1090</v>
          </cell>
        </row>
        <row r="9754">
          <cell r="A9754" t="str">
            <v>SP1247-L</v>
          </cell>
          <cell r="B9754" t="str">
            <v>P1247</v>
          </cell>
          <cell r="C9754" t="str">
            <v>ซาติน แขนยาวขายาว White Moon L</v>
          </cell>
          <cell r="E9754">
            <v>0</v>
          </cell>
          <cell r="F9754">
            <v>1090</v>
          </cell>
        </row>
        <row r="9755">
          <cell r="A9755" t="str">
            <v>SP1248-L</v>
          </cell>
          <cell r="B9755" t="str">
            <v>P1248</v>
          </cell>
          <cell r="C9755" t="str">
            <v>ซาติน แขนยาวขายาว Sunrise Yellow L</v>
          </cell>
          <cell r="E9755">
            <v>0</v>
          </cell>
          <cell r="F9755">
            <v>1090</v>
          </cell>
        </row>
        <row r="9756">
          <cell r="A9756" t="str">
            <v>SP3005-2XL</v>
          </cell>
          <cell r="B9756" t="str">
            <v>P3005</v>
          </cell>
          <cell r="C9756" t="str">
            <v>ซาติน แขนยาวขายาว พาสเทล7สี 2XL (กปก)</v>
          </cell>
          <cell r="E9756">
            <v>0</v>
          </cell>
          <cell r="F9756">
            <v>990</v>
          </cell>
        </row>
        <row r="9757">
          <cell r="A9757" t="str">
            <v>SP3005-L</v>
          </cell>
          <cell r="B9757" t="str">
            <v>QP3005</v>
          </cell>
          <cell r="C9757" t="str">
            <v>ซาติน แขนยาวขายาว พาสเทล7สี L (กปก) QC</v>
          </cell>
          <cell r="E9757">
            <v>0</v>
          </cell>
          <cell r="F9757">
            <v>990</v>
          </cell>
        </row>
        <row r="9758">
          <cell r="A9758" t="str">
            <v>SP3005-M</v>
          </cell>
          <cell r="B9758" t="str">
            <v>QP3005</v>
          </cell>
          <cell r="C9758" t="str">
            <v>ซาติน แขนยาวขายาว พาสเทล7สี M (กปก) QC</v>
          </cell>
          <cell r="E9758">
            <v>0</v>
          </cell>
          <cell r="F9758">
            <v>990</v>
          </cell>
        </row>
        <row r="9759">
          <cell r="A9759" t="str">
            <v>SP3005-XL</v>
          </cell>
          <cell r="B9759" t="str">
            <v>P3005</v>
          </cell>
          <cell r="C9759" t="str">
            <v>ซาติน แขนยาวขายาว พาสเทล7สี XL (กปก)</v>
          </cell>
          <cell r="E9759">
            <v>0</v>
          </cell>
          <cell r="F9759">
            <v>990</v>
          </cell>
        </row>
        <row r="9760">
          <cell r="A9760" t="str">
            <v>SP3008-2XL</v>
          </cell>
          <cell r="B9760" t="str">
            <v>QP3008</v>
          </cell>
          <cell r="C9760" t="str">
            <v>ซาติน แขนยาวขายาว สีไม้ doodle พื้นเขียว 2XL QC</v>
          </cell>
          <cell r="E9760">
            <v>0</v>
          </cell>
          <cell r="F9760">
            <v>990</v>
          </cell>
        </row>
        <row r="9761">
          <cell r="A9761" t="str">
            <v>SP3008-L</v>
          </cell>
          <cell r="B9761" t="str">
            <v>P3008</v>
          </cell>
          <cell r="C9761" t="str">
            <v>ซาติน แขนยาวขายาว สีไม้ doodle พื้นเขียว L</v>
          </cell>
          <cell r="E9761">
            <v>0</v>
          </cell>
          <cell r="F9761">
            <v>990</v>
          </cell>
        </row>
        <row r="9762">
          <cell r="A9762" t="str">
            <v>SP3008-M</v>
          </cell>
          <cell r="B9762" t="str">
            <v>QP3008</v>
          </cell>
          <cell r="C9762" t="str">
            <v>ซาติน แขนยาวขายาว สีไม้ doodle พื้นเขียว M QC</v>
          </cell>
          <cell r="E9762">
            <v>0</v>
          </cell>
          <cell r="F9762">
            <v>990</v>
          </cell>
        </row>
        <row r="9763">
          <cell r="A9763" t="str">
            <v>SP3008-XL</v>
          </cell>
          <cell r="B9763" t="str">
            <v>P3008</v>
          </cell>
          <cell r="C9763" t="str">
            <v>ซาติน แขนยาวขายาว สีไม้ doodle พื้นเขียว XL</v>
          </cell>
          <cell r="E9763">
            <v>0</v>
          </cell>
          <cell r="F9763">
            <v>990</v>
          </cell>
        </row>
        <row r="9764">
          <cell r="A9764" t="str">
            <v>SP3009-2XL</v>
          </cell>
          <cell r="B9764" t="str">
            <v>P3009</v>
          </cell>
          <cell r="C9764" t="str">
            <v>ซาติน แขนยาวขายาว สีไม้ doodle พื้นชมพู 2XL</v>
          </cell>
          <cell r="E9764">
            <v>0</v>
          </cell>
          <cell r="F9764">
            <v>990</v>
          </cell>
        </row>
        <row r="9765">
          <cell r="A9765" t="str">
            <v>SP3009-L</v>
          </cell>
          <cell r="B9765" t="str">
            <v>P3009</v>
          </cell>
          <cell r="C9765" t="str">
            <v>ซาติน แขนยาวขายาว สีไม้ doodle พื้นชมพู L</v>
          </cell>
          <cell r="E9765">
            <v>0</v>
          </cell>
          <cell r="F9765">
            <v>990</v>
          </cell>
        </row>
        <row r="9766">
          <cell r="A9766" t="str">
            <v>SP3009-M</v>
          </cell>
          <cell r="B9766" t="str">
            <v>P3009</v>
          </cell>
          <cell r="C9766" t="str">
            <v>ซาติน แขนยาวขายาว สีไม้ doodle พื้นชมพู M</v>
          </cell>
          <cell r="E9766">
            <v>0</v>
          </cell>
          <cell r="F9766">
            <v>990</v>
          </cell>
        </row>
        <row r="9767">
          <cell r="A9767" t="str">
            <v>SP3009-XL</v>
          </cell>
          <cell r="B9767" t="str">
            <v>P3009</v>
          </cell>
          <cell r="C9767" t="str">
            <v>ซาติน แขนยาวขายาว สีไม้ doodle พื้นชมพู XL</v>
          </cell>
          <cell r="E9767">
            <v>0</v>
          </cell>
          <cell r="F9767">
            <v>990</v>
          </cell>
        </row>
        <row r="9768">
          <cell r="A9768" t="str">
            <v>SP3018-2XL</v>
          </cell>
          <cell r="B9768" t="str">
            <v>P3018</v>
          </cell>
          <cell r="C9768" t="str">
            <v>ซาติน แขนยาวขายาว cat lover พื้นดำ ขอบชมพู 2XL</v>
          </cell>
          <cell r="E9768">
            <v>0</v>
          </cell>
          <cell r="F9768">
            <v>990</v>
          </cell>
        </row>
        <row r="9769">
          <cell r="A9769" t="str">
            <v>SP3018-L</v>
          </cell>
          <cell r="B9769" t="str">
            <v>P3018</v>
          </cell>
          <cell r="C9769" t="str">
            <v>ซาติน แขนยาวขายาว cat lover พื้นดำ ขอบชมพู L</v>
          </cell>
          <cell r="E9769">
            <v>0</v>
          </cell>
          <cell r="F9769">
            <v>990</v>
          </cell>
        </row>
        <row r="9770">
          <cell r="A9770" t="str">
            <v>SP3018-M</v>
          </cell>
          <cell r="B9770" t="str">
            <v>P3018</v>
          </cell>
          <cell r="C9770" t="str">
            <v>ซาติน แขนยาวขายาว cat lover พื้นดำ ขอบชมพู M</v>
          </cell>
          <cell r="E9770">
            <v>0</v>
          </cell>
          <cell r="F9770">
            <v>990</v>
          </cell>
        </row>
        <row r="9771">
          <cell r="A9771" t="str">
            <v>SP3018-XL</v>
          </cell>
          <cell r="B9771" t="str">
            <v>P3018</v>
          </cell>
          <cell r="C9771" t="str">
            <v>ซาติน แขนยาวขายาว cat lover พื้นดำ ขอบชมพู XL</v>
          </cell>
          <cell r="E9771">
            <v>0</v>
          </cell>
          <cell r="F9771">
            <v>990</v>
          </cell>
        </row>
        <row r="9772">
          <cell r="A9772" t="str">
            <v>SP3019-2XL</v>
          </cell>
          <cell r="B9772" t="str">
            <v>P3019</v>
          </cell>
          <cell r="C9772" t="str">
            <v>ซาติน แขนยาวขายาว Jingle Mingle 2XL</v>
          </cell>
          <cell r="E9772">
            <v>0</v>
          </cell>
          <cell r="F9772">
            <v>990</v>
          </cell>
        </row>
        <row r="9773">
          <cell r="A9773" t="str">
            <v>SP3019-L</v>
          </cell>
          <cell r="B9773" t="str">
            <v>P3019</v>
          </cell>
          <cell r="C9773" t="str">
            <v>ซาติน แขนยาวขายาว Jingle Mingle L</v>
          </cell>
          <cell r="E9773">
            <v>0</v>
          </cell>
          <cell r="F9773">
            <v>990</v>
          </cell>
        </row>
        <row r="9774">
          <cell r="A9774" t="str">
            <v>SP3019-M</v>
          </cell>
          <cell r="B9774" t="str">
            <v>P3019</v>
          </cell>
          <cell r="C9774" t="str">
            <v>ซาติน แขนยาวขายาว Jingle Mingle M</v>
          </cell>
          <cell r="E9774">
            <v>0</v>
          </cell>
          <cell r="F9774">
            <v>990</v>
          </cell>
        </row>
        <row r="9775">
          <cell r="A9775" t="str">
            <v>SP3019-XL</v>
          </cell>
          <cell r="B9775" t="str">
            <v>P3019</v>
          </cell>
          <cell r="C9775" t="str">
            <v>ซาติน แขนยาวขายาว Jingle Mingle XL</v>
          </cell>
          <cell r="E9775">
            <v>0</v>
          </cell>
          <cell r="F9775">
            <v>990</v>
          </cell>
        </row>
        <row r="9776">
          <cell r="A9776" t="str">
            <v>SP3023-2XL</v>
          </cell>
          <cell r="B9776" t="str">
            <v>P3023</v>
          </cell>
          <cell r="C9776" t="str">
            <v>ซาติน แขนยาวขายาว monogram ff ส้มอิฐ 2XL</v>
          </cell>
          <cell r="E9776">
            <v>0</v>
          </cell>
          <cell r="F9776">
            <v>990</v>
          </cell>
        </row>
        <row r="9777">
          <cell r="A9777" t="str">
            <v>SP3023-L</v>
          </cell>
          <cell r="B9777" t="str">
            <v>P3023</v>
          </cell>
          <cell r="C9777" t="str">
            <v>ซาติน แขนยาวขายาว monogram ff ส้มอิฐ L</v>
          </cell>
          <cell r="E9777">
            <v>2</v>
          </cell>
          <cell r="F9777">
            <v>990</v>
          </cell>
        </row>
        <row r="9778">
          <cell r="A9778" t="str">
            <v>SP3023-M</v>
          </cell>
          <cell r="B9778" t="str">
            <v>P3023</v>
          </cell>
          <cell r="C9778" t="str">
            <v>ซาติน แขนยาวขายาว monogram ff ส้มอิฐ M</v>
          </cell>
          <cell r="E9778">
            <v>0</v>
          </cell>
          <cell r="F9778">
            <v>990</v>
          </cell>
        </row>
        <row r="9779">
          <cell r="A9779" t="str">
            <v>SP3023-XL</v>
          </cell>
          <cell r="B9779" t="str">
            <v>P3023</v>
          </cell>
          <cell r="C9779" t="str">
            <v>ซาติน แขนยาวขายาว monogram ff ส้มอิฐ XL</v>
          </cell>
          <cell r="E9779">
            <v>3</v>
          </cell>
          <cell r="F9779">
            <v>990</v>
          </cell>
        </row>
        <row r="9780">
          <cell r="A9780" t="str">
            <v>SP3025-2XL</v>
          </cell>
          <cell r="B9780" t="str">
            <v>P3025</v>
          </cell>
          <cell r="C9780" t="str">
            <v>ซาติน แขนยาวขายาว Geology Vibe 2XL</v>
          </cell>
          <cell r="E9780">
            <v>3</v>
          </cell>
          <cell r="F9780">
            <v>990</v>
          </cell>
        </row>
        <row r="9781">
          <cell r="A9781" t="str">
            <v>SP3025-L</v>
          </cell>
          <cell r="B9781" t="str">
            <v>P3025</v>
          </cell>
          <cell r="C9781" t="str">
            <v>ซาติน แขนยาวขายาว Geology Vibe L</v>
          </cell>
          <cell r="E9781">
            <v>0</v>
          </cell>
          <cell r="F9781">
            <v>990</v>
          </cell>
        </row>
        <row r="9782">
          <cell r="A9782" t="str">
            <v>SP3025-M</v>
          </cell>
          <cell r="B9782" t="str">
            <v>QP3025</v>
          </cell>
          <cell r="C9782" t="str">
            <v>ซาติน แขนยาวขายาว Geology Vibe M QC</v>
          </cell>
          <cell r="E9782">
            <v>0</v>
          </cell>
          <cell r="F9782">
            <v>990</v>
          </cell>
        </row>
        <row r="9783">
          <cell r="A9783" t="str">
            <v>SP3025-XL</v>
          </cell>
          <cell r="B9783" t="str">
            <v>P3025</v>
          </cell>
          <cell r="C9783" t="str">
            <v>ซาติน แขนยาวขายาว Geology Vibe XL</v>
          </cell>
          <cell r="E9783">
            <v>0</v>
          </cell>
          <cell r="F9783">
            <v>990</v>
          </cell>
        </row>
        <row r="9784">
          <cell r="A9784" t="str">
            <v>SP3026-2XL</v>
          </cell>
          <cell r="B9784" t="str">
            <v>P3026</v>
          </cell>
          <cell r="C9784" t="str">
            <v>ซาติน แขนยาวขายาว Marble Joy 2XL</v>
          </cell>
          <cell r="E9784">
            <v>3</v>
          </cell>
          <cell r="F9784">
            <v>990</v>
          </cell>
        </row>
        <row r="9785">
          <cell r="A9785" t="str">
            <v>SP3026-L</v>
          </cell>
          <cell r="B9785" t="str">
            <v>P3026</v>
          </cell>
          <cell r="C9785" t="str">
            <v>ซาติน แขนยาวขายาว Marble Joy L</v>
          </cell>
          <cell r="E9785">
            <v>6</v>
          </cell>
          <cell r="F9785">
            <v>990</v>
          </cell>
        </row>
        <row r="9786">
          <cell r="A9786" t="str">
            <v>SP3026-M</v>
          </cell>
          <cell r="B9786" t="str">
            <v>P3026</v>
          </cell>
          <cell r="C9786" t="str">
            <v>ซาติน แขนยาวขายาว Marble Joy M</v>
          </cell>
          <cell r="E9786">
            <v>0</v>
          </cell>
          <cell r="F9786">
            <v>990</v>
          </cell>
        </row>
        <row r="9787">
          <cell r="A9787" t="str">
            <v>SP3026-XL</v>
          </cell>
          <cell r="B9787" t="str">
            <v>P3026</v>
          </cell>
          <cell r="C9787" t="str">
            <v>ซาติน แขนยาวขายาว Marble Joy XL</v>
          </cell>
          <cell r="E9787">
            <v>4</v>
          </cell>
          <cell r="F9787">
            <v>990</v>
          </cell>
        </row>
        <row r="9788">
          <cell r="A9788" t="str">
            <v>SP3027-2XL</v>
          </cell>
          <cell r="B9788" t="str">
            <v>P3027</v>
          </cell>
          <cell r="C9788" t="str">
            <v>ซาติน แขนยาวขายาว Marble Magenta 2XL</v>
          </cell>
          <cell r="E9788">
            <v>1</v>
          </cell>
          <cell r="F9788">
            <v>990</v>
          </cell>
        </row>
        <row r="9789">
          <cell r="A9789" t="str">
            <v>SP3027-L</v>
          </cell>
          <cell r="B9789" t="str">
            <v>P3027</v>
          </cell>
          <cell r="C9789" t="str">
            <v>ซาติน แขนยาวขายาว Marble Magenta L</v>
          </cell>
          <cell r="E9789">
            <v>0</v>
          </cell>
          <cell r="F9789">
            <v>990</v>
          </cell>
        </row>
        <row r="9790">
          <cell r="A9790" t="str">
            <v>SP3027-M</v>
          </cell>
          <cell r="B9790" t="str">
            <v>P3027</v>
          </cell>
          <cell r="C9790" t="str">
            <v>ซาติน แขนยาวขายาว Marble Magenta M</v>
          </cell>
          <cell r="E9790">
            <v>1</v>
          </cell>
          <cell r="F9790">
            <v>990</v>
          </cell>
        </row>
        <row r="9791">
          <cell r="A9791" t="str">
            <v>SP3027-XL</v>
          </cell>
          <cell r="B9791" t="str">
            <v>P3027</v>
          </cell>
          <cell r="C9791" t="str">
            <v>ซาติน แขนยาวขายาว Marble Magenta XL</v>
          </cell>
          <cell r="E9791">
            <v>3</v>
          </cell>
          <cell r="F9791">
            <v>990</v>
          </cell>
        </row>
        <row r="9792">
          <cell r="A9792" t="str">
            <v>SP3029-2XL</v>
          </cell>
          <cell r="B9792" t="str">
            <v>P3029</v>
          </cell>
          <cell r="C9792" t="str">
            <v>ซาติน แขนยาวขายาว Marble Olive 2XL</v>
          </cell>
          <cell r="E9792">
            <v>0</v>
          </cell>
          <cell r="F9792">
            <v>990</v>
          </cell>
        </row>
        <row r="9793">
          <cell r="A9793" t="str">
            <v>SP3029-L</v>
          </cell>
          <cell r="B9793" t="str">
            <v>P3029</v>
          </cell>
          <cell r="C9793" t="str">
            <v>ซาติน แขนยาวขายาว Marble Olive L</v>
          </cell>
          <cell r="E9793">
            <v>0</v>
          </cell>
          <cell r="F9793">
            <v>990</v>
          </cell>
        </row>
        <row r="9794">
          <cell r="A9794" t="str">
            <v>SP3029-M</v>
          </cell>
          <cell r="B9794" t="str">
            <v>QP3029</v>
          </cell>
          <cell r="C9794" t="str">
            <v>ซาติน แขนยาวขายาว Marble Olive M QC</v>
          </cell>
          <cell r="E9794">
            <v>0</v>
          </cell>
          <cell r="F9794">
            <v>990</v>
          </cell>
        </row>
        <row r="9795">
          <cell r="A9795" t="str">
            <v>SP3029-XL</v>
          </cell>
          <cell r="B9795" t="str">
            <v>P3029</v>
          </cell>
          <cell r="C9795" t="str">
            <v>ซาติน แขนยาวขายาว Marble Olive XL</v>
          </cell>
          <cell r="E9795">
            <v>0</v>
          </cell>
          <cell r="F9795">
            <v>990</v>
          </cell>
        </row>
        <row r="9796">
          <cell r="A9796" t="str">
            <v>SP3030-2XL</v>
          </cell>
          <cell r="B9796" t="str">
            <v>P3030</v>
          </cell>
          <cell r="C9796" t="str">
            <v>ซาติน แขนยาวขายาว Navy Doodle 2XL</v>
          </cell>
          <cell r="E9796">
            <v>0</v>
          </cell>
          <cell r="F9796">
            <v>990</v>
          </cell>
        </row>
        <row r="9797">
          <cell r="A9797" t="str">
            <v>SP3030-L</v>
          </cell>
          <cell r="B9797" t="str">
            <v>P3030</v>
          </cell>
          <cell r="C9797" t="str">
            <v>ซาติน แขนยาวขายาว Navy Doodle L</v>
          </cell>
          <cell r="E9797">
            <v>0</v>
          </cell>
          <cell r="F9797">
            <v>990</v>
          </cell>
        </row>
        <row r="9798">
          <cell r="A9798" t="str">
            <v>SP3030-M</v>
          </cell>
          <cell r="B9798" t="str">
            <v>P3030</v>
          </cell>
          <cell r="C9798" t="str">
            <v>ซาติน แขนยาวขายาว Navy Doodle M</v>
          </cell>
          <cell r="E9798">
            <v>0</v>
          </cell>
          <cell r="F9798">
            <v>990</v>
          </cell>
        </row>
        <row r="9799">
          <cell r="A9799" t="str">
            <v>SP3030-XL</v>
          </cell>
          <cell r="B9799" t="str">
            <v>P3030</v>
          </cell>
          <cell r="C9799" t="str">
            <v>ซาติน แขนยาวขายาว Navy Doodle XL</v>
          </cell>
          <cell r="E9799">
            <v>0</v>
          </cell>
          <cell r="F9799">
            <v>990</v>
          </cell>
        </row>
        <row r="9800">
          <cell r="A9800" t="str">
            <v>SP3032-2XL</v>
          </cell>
          <cell r="B9800" t="str">
            <v>P3032</v>
          </cell>
          <cell r="C9800" t="str">
            <v>ซาติน แขนยาวขายาว Mountain Vector (กปก) 2XL</v>
          </cell>
          <cell r="E9800">
            <v>0</v>
          </cell>
          <cell r="F9800">
            <v>990</v>
          </cell>
        </row>
        <row r="9801">
          <cell r="A9801" t="str">
            <v>SP3032-L</v>
          </cell>
          <cell r="B9801" t="str">
            <v>P3032</v>
          </cell>
          <cell r="C9801" t="str">
            <v>ซาติน แขนยาวขายาว Mountain Vector (กปก) L</v>
          </cell>
          <cell r="E9801">
            <v>0</v>
          </cell>
          <cell r="F9801">
            <v>990</v>
          </cell>
        </row>
        <row r="9802">
          <cell r="A9802" t="str">
            <v>SP3032-M</v>
          </cell>
          <cell r="B9802" t="str">
            <v>QP3032</v>
          </cell>
          <cell r="C9802" t="str">
            <v>ซาติน แขนยาวขายาว Mountain Vector (กปก) M QC</v>
          </cell>
          <cell r="E9802">
            <v>0</v>
          </cell>
          <cell r="F9802">
            <v>990</v>
          </cell>
        </row>
        <row r="9803">
          <cell r="A9803" t="str">
            <v>SP3032-XL</v>
          </cell>
          <cell r="B9803" t="str">
            <v>QP3032</v>
          </cell>
          <cell r="C9803" t="str">
            <v>ซาติน แขนยาวขายาว Mountain Vector (กปก) XL QC</v>
          </cell>
          <cell r="E9803">
            <v>0</v>
          </cell>
          <cell r="F9803">
            <v>990</v>
          </cell>
        </row>
        <row r="9804">
          <cell r="A9804" t="str">
            <v>SP3033-2XL</v>
          </cell>
          <cell r="B9804" t="str">
            <v>QP3033</v>
          </cell>
          <cell r="C9804" t="str">
            <v>ซาติน แขนยาวขายาว Hazelnut Bisque (กปก) 2XL QC</v>
          </cell>
          <cell r="E9804">
            <v>0</v>
          </cell>
          <cell r="F9804">
            <v>990</v>
          </cell>
        </row>
        <row r="9805">
          <cell r="A9805" t="str">
            <v>SP3033-L</v>
          </cell>
          <cell r="B9805" t="str">
            <v>P3033</v>
          </cell>
          <cell r="C9805" t="str">
            <v>ซาติน แขนยาวขายาว Hazelnut Bisque (กปก) L</v>
          </cell>
          <cell r="E9805">
            <v>0</v>
          </cell>
          <cell r="F9805">
            <v>990</v>
          </cell>
        </row>
        <row r="9806">
          <cell r="A9806" t="str">
            <v>SP3033-M</v>
          </cell>
          <cell r="B9806" t="str">
            <v>P3033</v>
          </cell>
          <cell r="C9806" t="str">
            <v>ซาติน แขนยาวขายาว Hazelnut Bisque (กปก) M</v>
          </cell>
          <cell r="E9806">
            <v>0</v>
          </cell>
          <cell r="F9806">
            <v>990</v>
          </cell>
        </row>
        <row r="9807">
          <cell r="A9807" t="str">
            <v>SP3033-XL</v>
          </cell>
          <cell r="B9807" t="str">
            <v>P3033</v>
          </cell>
          <cell r="C9807" t="str">
            <v>ซาติน แขนยาวขายาว Hazelnut Bisque (กปก) XL</v>
          </cell>
          <cell r="E9807">
            <v>2</v>
          </cell>
          <cell r="F9807">
            <v>990</v>
          </cell>
        </row>
        <row r="9808">
          <cell r="A9808" t="str">
            <v>SP3034-2XL</v>
          </cell>
          <cell r="B9808" t="str">
            <v>P3034</v>
          </cell>
          <cell r="C9808" t="str">
            <v>ซาติน แขนยาวขายาว Monogrey ff 2XL (กปก)</v>
          </cell>
          <cell r="E9808">
            <v>2</v>
          </cell>
          <cell r="F9808">
            <v>990</v>
          </cell>
        </row>
        <row r="9809">
          <cell r="A9809" t="str">
            <v>SP3034-L</v>
          </cell>
          <cell r="B9809" t="str">
            <v>P3034</v>
          </cell>
          <cell r="C9809" t="str">
            <v>ซาติน แขนยาวขายาว Monogrey ff L (กปก)</v>
          </cell>
          <cell r="E9809">
            <v>0</v>
          </cell>
          <cell r="F9809">
            <v>990</v>
          </cell>
        </row>
        <row r="9810">
          <cell r="A9810" t="str">
            <v>SP3034-M</v>
          </cell>
          <cell r="B9810" t="str">
            <v>P3034</v>
          </cell>
          <cell r="C9810" t="str">
            <v>ซาติน แขนยาวขายาว Monogrey ff M (กปก)</v>
          </cell>
          <cell r="E9810">
            <v>0</v>
          </cell>
          <cell r="F9810">
            <v>990</v>
          </cell>
        </row>
        <row r="9811">
          <cell r="A9811" t="str">
            <v>SP3034-XL</v>
          </cell>
          <cell r="B9811" t="str">
            <v>P3034</v>
          </cell>
          <cell r="C9811" t="str">
            <v>ซาติน แขนยาวขายาว Monogrey ff XL (กปก)</v>
          </cell>
          <cell r="E9811">
            <v>0</v>
          </cell>
          <cell r="F9811">
            <v>990</v>
          </cell>
        </row>
        <row r="9812">
          <cell r="A9812" t="str">
            <v>SP3036-2XL</v>
          </cell>
          <cell r="B9812" t="str">
            <v>P3036</v>
          </cell>
          <cell r="C9812" t="str">
            <v>ซาติน แขนยาวขายาว Golden Peacock 2XL</v>
          </cell>
          <cell r="E9812">
            <v>11</v>
          </cell>
          <cell r="F9812">
            <v>990</v>
          </cell>
        </row>
        <row r="9813">
          <cell r="A9813" t="str">
            <v>SP3036-L</v>
          </cell>
          <cell r="B9813" t="str">
            <v>P3036</v>
          </cell>
          <cell r="C9813" t="str">
            <v>ซาติน แขนยาวขายาว Golden Peacock L</v>
          </cell>
          <cell r="E9813">
            <v>10</v>
          </cell>
          <cell r="F9813">
            <v>990</v>
          </cell>
        </row>
        <row r="9814">
          <cell r="A9814" t="str">
            <v>SP3036-M</v>
          </cell>
          <cell r="B9814" t="str">
            <v>P3036</v>
          </cell>
          <cell r="C9814" t="str">
            <v>ซาติน แขนยาวขายาว Golden Peacock M</v>
          </cell>
          <cell r="E9814">
            <v>2</v>
          </cell>
          <cell r="F9814">
            <v>990</v>
          </cell>
        </row>
        <row r="9815">
          <cell r="A9815" t="str">
            <v>SP3036-XL</v>
          </cell>
          <cell r="B9815" t="str">
            <v>P3036</v>
          </cell>
          <cell r="C9815" t="str">
            <v>ซาติน แขนยาวขายาว Golden Peacock XL</v>
          </cell>
          <cell r="E9815">
            <v>10</v>
          </cell>
          <cell r="F9815">
            <v>990</v>
          </cell>
        </row>
        <row r="9816">
          <cell r="A9816" t="str">
            <v>SP3037-2XL</v>
          </cell>
          <cell r="B9816" t="str">
            <v>P3037</v>
          </cell>
          <cell r="C9816" t="str">
            <v>ซาติน แขนยาวขายาว Diplo Bermuda 2XL</v>
          </cell>
          <cell r="E9816">
            <v>7</v>
          </cell>
          <cell r="F9816">
            <v>990</v>
          </cell>
        </row>
        <row r="9817">
          <cell r="A9817" t="str">
            <v>SP3037-L</v>
          </cell>
          <cell r="B9817" t="str">
            <v>P3037</v>
          </cell>
          <cell r="C9817" t="str">
            <v>ซาติน แขนยาวขายาว Diplo Bermuda L</v>
          </cell>
          <cell r="E9817">
            <v>10</v>
          </cell>
          <cell r="F9817">
            <v>990</v>
          </cell>
        </row>
        <row r="9818">
          <cell r="A9818" t="str">
            <v>SP3037-M</v>
          </cell>
          <cell r="B9818" t="str">
            <v>P3037</v>
          </cell>
          <cell r="C9818" t="str">
            <v>ซาติน แขนยาวขายาว Diplo Bermuda M</v>
          </cell>
          <cell r="E9818">
            <v>7</v>
          </cell>
          <cell r="F9818">
            <v>990</v>
          </cell>
        </row>
        <row r="9819">
          <cell r="A9819" t="str">
            <v>SP3037-XL</v>
          </cell>
          <cell r="B9819" t="str">
            <v>P3037</v>
          </cell>
          <cell r="C9819" t="str">
            <v>ซาติน แขนยาวขายาว Diplo Bermuda XL</v>
          </cell>
          <cell r="E9819">
            <v>16</v>
          </cell>
          <cell r="F9819">
            <v>990</v>
          </cell>
        </row>
        <row r="9820">
          <cell r="A9820" t="str">
            <v>SP3039-2XL</v>
          </cell>
          <cell r="B9820" t="str">
            <v>P3039</v>
          </cell>
          <cell r="C9820" t="str">
            <v>ซาติน แขนยาวขายาว Flaming Lily 2XL</v>
          </cell>
          <cell r="E9820">
            <v>0</v>
          </cell>
          <cell r="F9820">
            <v>990</v>
          </cell>
        </row>
        <row r="9821">
          <cell r="A9821" t="str">
            <v>SP3039-L</v>
          </cell>
          <cell r="B9821" t="str">
            <v>P3039</v>
          </cell>
          <cell r="C9821" t="str">
            <v>ซาติน แขนยาวขายาว Flaming Lily L</v>
          </cell>
          <cell r="E9821">
            <v>0</v>
          </cell>
          <cell r="F9821">
            <v>990</v>
          </cell>
        </row>
        <row r="9822">
          <cell r="A9822" t="str">
            <v>SP3039-M</v>
          </cell>
          <cell r="B9822" t="str">
            <v>P3039</v>
          </cell>
          <cell r="C9822" t="str">
            <v>ซาติน แขนยาวขายาว Flaming Lily M</v>
          </cell>
          <cell r="E9822">
            <v>12</v>
          </cell>
          <cell r="F9822">
            <v>990</v>
          </cell>
        </row>
        <row r="9823">
          <cell r="A9823" t="str">
            <v>SP3039-XL</v>
          </cell>
          <cell r="B9823" t="str">
            <v>P3039</v>
          </cell>
          <cell r="C9823" t="str">
            <v>ซาติน แขนยาวขายาว Flaming Lily XL</v>
          </cell>
          <cell r="E9823">
            <v>3</v>
          </cell>
          <cell r="F9823">
            <v>990</v>
          </cell>
        </row>
        <row r="9824">
          <cell r="A9824" t="str">
            <v>SP3041-2XL</v>
          </cell>
          <cell r="B9824" t="str">
            <v>P3041</v>
          </cell>
          <cell r="C9824" t="str">
            <v>ซาติน แขนยาวขายาว Primitive World 2XL</v>
          </cell>
          <cell r="E9824">
            <v>0</v>
          </cell>
          <cell r="F9824">
            <v>990</v>
          </cell>
        </row>
        <row r="9825">
          <cell r="A9825" t="str">
            <v>SP3041-L</v>
          </cell>
          <cell r="B9825" t="str">
            <v>P3041</v>
          </cell>
          <cell r="C9825" t="str">
            <v>ซาติน แขนยาวขายาว Primitive World L</v>
          </cell>
          <cell r="E9825">
            <v>0</v>
          </cell>
          <cell r="F9825">
            <v>990</v>
          </cell>
        </row>
        <row r="9826">
          <cell r="A9826" t="str">
            <v>SP3041-M</v>
          </cell>
          <cell r="B9826" t="str">
            <v>P3041</v>
          </cell>
          <cell r="C9826" t="str">
            <v>ซาติน แขนยาวขายาว Primitive World M</v>
          </cell>
          <cell r="E9826">
            <v>0</v>
          </cell>
          <cell r="F9826">
            <v>990</v>
          </cell>
        </row>
        <row r="9827">
          <cell r="A9827" t="str">
            <v>SP3041-XL</v>
          </cell>
          <cell r="B9827" t="str">
            <v>P3041</v>
          </cell>
          <cell r="C9827" t="str">
            <v>ซาติน แขนยาวขายาว Primitive World XL</v>
          </cell>
          <cell r="E9827">
            <v>0</v>
          </cell>
          <cell r="F9827">
            <v>990</v>
          </cell>
        </row>
        <row r="9828">
          <cell r="A9828" t="str">
            <v>SP3042-2XL</v>
          </cell>
          <cell r="B9828" t="str">
            <v>P3042</v>
          </cell>
          <cell r="C9828" t="str">
            <v>ซาติน แขนยาวขายาว Artnimal 2XL</v>
          </cell>
          <cell r="E9828">
            <v>0</v>
          </cell>
          <cell r="F9828">
            <v>990</v>
          </cell>
        </row>
        <row r="9829">
          <cell r="A9829" t="str">
            <v>SP3042-L</v>
          </cell>
          <cell r="B9829" t="str">
            <v>P3042</v>
          </cell>
          <cell r="C9829" t="str">
            <v>ซาติน แขนยาวขายาว Artnimal L</v>
          </cell>
          <cell r="E9829">
            <v>0</v>
          </cell>
          <cell r="F9829">
            <v>990</v>
          </cell>
        </row>
        <row r="9830">
          <cell r="A9830" t="str">
            <v>SP3042-M</v>
          </cell>
          <cell r="B9830" t="str">
            <v>P3042</v>
          </cell>
          <cell r="C9830" t="str">
            <v>ซาติน แขนยาวขายาว Artnimal M</v>
          </cell>
          <cell r="E9830">
            <v>0</v>
          </cell>
          <cell r="F9830">
            <v>990</v>
          </cell>
        </row>
        <row r="9831">
          <cell r="A9831" t="str">
            <v>SP3042-XL</v>
          </cell>
          <cell r="B9831" t="str">
            <v>P3042</v>
          </cell>
          <cell r="C9831" t="str">
            <v>ซาติน แขนยาวขายาว Artnimal XL</v>
          </cell>
          <cell r="E9831">
            <v>3</v>
          </cell>
          <cell r="F9831">
            <v>990</v>
          </cell>
        </row>
        <row r="9832">
          <cell r="A9832" t="str">
            <v>SP3043-2XL</v>
          </cell>
          <cell r="B9832" t="str">
            <v>P3043</v>
          </cell>
          <cell r="C9832" t="str">
            <v>ซาติน แขนยาวขายาว Istanblue City 2XL</v>
          </cell>
          <cell r="E9832">
            <v>0</v>
          </cell>
          <cell r="F9832">
            <v>990</v>
          </cell>
        </row>
        <row r="9833">
          <cell r="A9833" t="str">
            <v>SP3043-L</v>
          </cell>
          <cell r="B9833" t="str">
            <v>P3043</v>
          </cell>
          <cell r="C9833" t="str">
            <v>ซาติน แขนยาวขายาว Istanblue City L</v>
          </cell>
          <cell r="E9833">
            <v>0</v>
          </cell>
          <cell r="F9833">
            <v>990</v>
          </cell>
        </row>
        <row r="9834">
          <cell r="A9834" t="str">
            <v>SP3043-M</v>
          </cell>
          <cell r="B9834" t="str">
            <v>P3043</v>
          </cell>
          <cell r="C9834" t="str">
            <v>ซาติน แขนยาวขายาว Istanblue City M</v>
          </cell>
          <cell r="E9834">
            <v>0</v>
          </cell>
          <cell r="F9834">
            <v>990</v>
          </cell>
        </row>
        <row r="9835">
          <cell r="A9835" t="str">
            <v>SP3043-XL</v>
          </cell>
          <cell r="B9835" t="str">
            <v>P3043</v>
          </cell>
          <cell r="C9835" t="str">
            <v>ซาติน แขนยาวขายาว Istanblue City XL</v>
          </cell>
          <cell r="E9835">
            <v>0</v>
          </cell>
          <cell r="F9835">
            <v>990</v>
          </cell>
        </row>
        <row r="9836">
          <cell r="A9836" t="str">
            <v>SP4001-2XL</v>
          </cell>
          <cell r="B9836" t="str">
            <v>QP4001</v>
          </cell>
          <cell r="C9836" t="str">
            <v>ซาติน แขนยาวขายาว Muslin green mermaid 2XL (กปก) QC</v>
          </cell>
          <cell r="E9836">
            <v>0</v>
          </cell>
          <cell r="F9836">
            <v>990</v>
          </cell>
        </row>
        <row r="9837">
          <cell r="A9837" t="str">
            <v>SP4001-L</v>
          </cell>
          <cell r="B9837" t="str">
            <v>QP4001</v>
          </cell>
          <cell r="C9837" t="str">
            <v>ซาติน แขนยาวขายาว Muslin green mermaid L (กปก) QC</v>
          </cell>
          <cell r="E9837">
            <v>0</v>
          </cell>
          <cell r="F9837">
            <v>990</v>
          </cell>
        </row>
        <row r="9838">
          <cell r="A9838" t="str">
            <v>SP4001-M</v>
          </cell>
          <cell r="B9838" t="str">
            <v>QP4001</v>
          </cell>
          <cell r="C9838" t="str">
            <v>ซาติน แขนยาวขายาว Muslin green mermaid M (กปก) QC</v>
          </cell>
          <cell r="E9838">
            <v>0</v>
          </cell>
          <cell r="F9838">
            <v>990</v>
          </cell>
        </row>
        <row r="9839">
          <cell r="A9839" t="str">
            <v>SP4001-XL</v>
          </cell>
          <cell r="B9839" t="str">
            <v>P4001</v>
          </cell>
          <cell r="C9839" t="str">
            <v>ซาติน แขนยาวขายาว Muslin green mermaid XL (กปก)</v>
          </cell>
          <cell r="E9839">
            <v>0</v>
          </cell>
          <cell r="F9839">
            <v>990</v>
          </cell>
        </row>
        <row r="9840">
          <cell r="A9840" t="str">
            <v>SP4004-2XL</v>
          </cell>
          <cell r="B9840" t="str">
            <v>P4004</v>
          </cell>
          <cell r="C9840" t="str">
            <v>ซาติน แขนยาวขายาว Muslin ม่วงเปลือกมังคุด 2XL (กปก)</v>
          </cell>
          <cell r="E9840">
            <v>5</v>
          </cell>
          <cell r="F9840">
            <v>990</v>
          </cell>
        </row>
        <row r="9841">
          <cell r="A9841" t="str">
            <v>SP4004-L</v>
          </cell>
          <cell r="B9841" t="str">
            <v>P4004</v>
          </cell>
          <cell r="C9841" t="str">
            <v>ซาติน แขนยาวขายาว Muslin ม่วงเปลือกมังคุด L (กปก)</v>
          </cell>
          <cell r="E9841">
            <v>0</v>
          </cell>
          <cell r="F9841">
            <v>990</v>
          </cell>
        </row>
        <row r="9842">
          <cell r="A9842" t="str">
            <v>SP4004-M</v>
          </cell>
          <cell r="B9842" t="str">
            <v>P4004</v>
          </cell>
          <cell r="C9842" t="str">
            <v>ซาติน แขนยาวขายาว Muslin ม่วงเปลือกมังคุด M (กปก)</v>
          </cell>
          <cell r="E9842">
            <v>0</v>
          </cell>
          <cell r="F9842">
            <v>990</v>
          </cell>
        </row>
        <row r="9843">
          <cell r="A9843" t="str">
            <v>SP4004-XL</v>
          </cell>
          <cell r="B9843" t="str">
            <v>P4004</v>
          </cell>
          <cell r="C9843" t="str">
            <v>ซาติน แขนยาวขายาว Muslin ม่วงเปลือกมังคุด XL (กปก)</v>
          </cell>
          <cell r="E9843">
            <v>3</v>
          </cell>
          <cell r="F9843">
            <v>990</v>
          </cell>
        </row>
        <row r="9844">
          <cell r="A9844" t="str">
            <v>SP4005-2XL</v>
          </cell>
          <cell r="B9844" t="str">
            <v>P4005</v>
          </cell>
          <cell r="C9844" t="str">
            <v>ซาติน แขนยาวขายาว Muslin ม่วงอ่อน 2XL (กปก)</v>
          </cell>
          <cell r="E9844">
            <v>5</v>
          </cell>
          <cell r="F9844">
            <v>990</v>
          </cell>
        </row>
        <row r="9845">
          <cell r="A9845" t="str">
            <v>SP4005-L</v>
          </cell>
          <cell r="B9845" t="str">
            <v>P4005</v>
          </cell>
          <cell r="C9845" t="str">
            <v>ซาติน แขนยาวขายาว Muslin ม่วงอ่อน L (กปก)</v>
          </cell>
          <cell r="E9845">
            <v>0</v>
          </cell>
          <cell r="F9845">
            <v>990</v>
          </cell>
        </row>
        <row r="9846">
          <cell r="A9846" t="str">
            <v>SP4005-M</v>
          </cell>
          <cell r="B9846" t="str">
            <v>QP4005</v>
          </cell>
          <cell r="C9846" t="str">
            <v>ซาติน แขนยาวขายาว Muslin ม่วงอ่อน M (กปก) QC</v>
          </cell>
          <cell r="E9846">
            <v>0</v>
          </cell>
          <cell r="F9846">
            <v>990</v>
          </cell>
        </row>
        <row r="9847">
          <cell r="A9847" t="str">
            <v>SP4005-XL</v>
          </cell>
          <cell r="B9847" t="str">
            <v>P4005</v>
          </cell>
          <cell r="C9847" t="str">
            <v>ซาติน แขนยาวขายาว Muslin ม่วงอ่อน  XL (กปก)</v>
          </cell>
          <cell r="E9847">
            <v>9</v>
          </cell>
          <cell r="F9847">
            <v>990</v>
          </cell>
        </row>
        <row r="9848">
          <cell r="A9848" t="str">
            <v>SP4006-2XL</v>
          </cell>
          <cell r="B9848" t="str">
            <v>P4006</v>
          </cell>
          <cell r="C9848" t="str">
            <v>ซาติน แขนยาวขายาว Muslin pinky 2XL (กปก)</v>
          </cell>
          <cell r="E9848">
            <v>2</v>
          </cell>
          <cell r="F9848">
            <v>990</v>
          </cell>
        </row>
        <row r="9849">
          <cell r="A9849" t="str">
            <v>SP4006-L</v>
          </cell>
          <cell r="B9849" t="str">
            <v>P4006</v>
          </cell>
          <cell r="C9849" t="str">
            <v>ซาติน แขนยาวขายาว Muslin pinky L (กปก)</v>
          </cell>
          <cell r="E9849">
            <v>0</v>
          </cell>
          <cell r="F9849">
            <v>990</v>
          </cell>
        </row>
        <row r="9850">
          <cell r="A9850" t="str">
            <v>SP4006-M</v>
          </cell>
          <cell r="B9850" t="str">
            <v>P4006</v>
          </cell>
          <cell r="C9850" t="str">
            <v>ซาติน แขนยาวขายาว Muslin pinky M (กปก)</v>
          </cell>
          <cell r="E9850">
            <v>0</v>
          </cell>
          <cell r="F9850">
            <v>990</v>
          </cell>
        </row>
        <row r="9851">
          <cell r="A9851" t="str">
            <v>SP4006-XL</v>
          </cell>
          <cell r="B9851" t="str">
            <v>P4006</v>
          </cell>
          <cell r="C9851" t="str">
            <v>ซาติน แขนยาวขายาว Muslin pinky XL (กปก)</v>
          </cell>
          <cell r="E9851">
            <v>0</v>
          </cell>
          <cell r="F9851">
            <v>990</v>
          </cell>
        </row>
        <row r="9852">
          <cell r="A9852" t="str">
            <v>SP4013-L</v>
          </cell>
          <cell r="B9852" t="str">
            <v>P4013</v>
          </cell>
          <cell r="C9852" t="str">
            <v>ซาติน แขนยาวขายาว ดอกไม้ขาว พื้นดำ L</v>
          </cell>
          <cell r="E9852">
            <v>0</v>
          </cell>
          <cell r="F9852">
            <v>990</v>
          </cell>
        </row>
        <row r="9853">
          <cell r="A9853" t="str">
            <v>SP4013-M</v>
          </cell>
          <cell r="B9853" t="str">
            <v>P4013</v>
          </cell>
          <cell r="C9853" t="str">
            <v>ซาติน แขนยาวขายาว ดอกไม้ขาว พื้นดำ M</v>
          </cell>
          <cell r="E9853">
            <v>0</v>
          </cell>
          <cell r="F9853">
            <v>990</v>
          </cell>
        </row>
        <row r="9854">
          <cell r="A9854" t="str">
            <v>SR0001-M</v>
          </cell>
          <cell r="B9854" t="str">
            <v>R1</v>
          </cell>
          <cell r="C9854" t="str">
            <v>ซาติน สายเดี่ยว พื้นน้ำเงิน ลายทาง หลายสี M</v>
          </cell>
          <cell r="E9854">
            <v>0</v>
          </cell>
          <cell r="F9854">
            <v>890</v>
          </cell>
        </row>
        <row r="9855">
          <cell r="A9855" t="str">
            <v>SR0001-S</v>
          </cell>
          <cell r="B9855" t="str">
            <v>R1</v>
          </cell>
          <cell r="C9855" t="str">
            <v>ซาติน สายเดี่ยว พื้นน้ำเงิน ลายทาง หลายสี S</v>
          </cell>
          <cell r="E9855">
            <v>0</v>
          </cell>
          <cell r="F9855">
            <v>890</v>
          </cell>
        </row>
        <row r="9856">
          <cell r="A9856" t="str">
            <v>SR0002-M</v>
          </cell>
          <cell r="B9856" t="str">
            <v>R2</v>
          </cell>
          <cell r="C9856" t="str">
            <v>ซาติน สายเดี่ยว ลายทาง ขาวดำ ระบายลูกไม้ M</v>
          </cell>
          <cell r="E9856">
            <v>0</v>
          </cell>
          <cell r="F9856">
            <v>890</v>
          </cell>
        </row>
        <row r="9857">
          <cell r="A9857" t="str">
            <v>SR0002-S</v>
          </cell>
          <cell r="B9857" t="str">
            <v>R2</v>
          </cell>
          <cell r="C9857" t="str">
            <v>ซาติน สายเดี่ยว ลายทาง ขาวดำ ระบายลูกไม้ S</v>
          </cell>
          <cell r="E9857">
            <v>0</v>
          </cell>
          <cell r="F9857">
            <v>890</v>
          </cell>
        </row>
        <row r="9858">
          <cell r="A9858" t="str">
            <v>SR0003-M</v>
          </cell>
          <cell r="B9858" t="str">
            <v>R3</v>
          </cell>
          <cell r="C9858" t="str">
            <v>ซาติน สายเดี่ยว ลายทาง ขาวดำ M</v>
          </cell>
          <cell r="E9858">
            <v>0</v>
          </cell>
          <cell r="F9858">
            <v>890</v>
          </cell>
        </row>
        <row r="9859">
          <cell r="A9859" t="str">
            <v>SR0003-S</v>
          </cell>
          <cell r="B9859" t="str">
            <v>R3</v>
          </cell>
          <cell r="C9859" t="str">
            <v>ซาติน สายเดี่ยว ลายทาง ขาวดำ S</v>
          </cell>
          <cell r="E9859">
            <v>0</v>
          </cell>
          <cell r="F9859">
            <v>890</v>
          </cell>
        </row>
        <row r="9860">
          <cell r="A9860" t="str">
            <v>SR0004-M</v>
          </cell>
          <cell r="B9860" t="str">
            <v>R4</v>
          </cell>
          <cell r="C9860" t="str">
            <v>ซาติน สายเดี่ยว+เสื้อคลุม พื้นชมพูอ่อน ดอกชมพู M</v>
          </cell>
          <cell r="E9860">
            <v>0</v>
          </cell>
          <cell r="F9860">
            <v>890</v>
          </cell>
        </row>
        <row r="9861">
          <cell r="A9861" t="str">
            <v>SR0004-S</v>
          </cell>
          <cell r="B9861" t="str">
            <v>R4</v>
          </cell>
          <cell r="C9861" t="str">
            <v>ซาติน สายเดี่ยว+เสื้อคลุม พื้นชมพูอ่อน ดอกชมพู S</v>
          </cell>
          <cell r="E9861">
            <v>0</v>
          </cell>
          <cell r="F9861">
            <v>890</v>
          </cell>
        </row>
        <row r="9862">
          <cell r="A9862" t="str">
            <v>SR0005-M</v>
          </cell>
          <cell r="B9862" t="str">
            <v>R5</v>
          </cell>
          <cell r="C9862" t="str">
            <v>ซาติน สายเดี่ยว+กางเกง ใบไม้เขียว ดอกแดง พื้นดำ M</v>
          </cell>
          <cell r="E9862">
            <v>0</v>
          </cell>
          <cell r="F9862">
            <v>890</v>
          </cell>
        </row>
        <row r="9863">
          <cell r="A9863" t="str">
            <v>SR0005-S</v>
          </cell>
          <cell r="B9863" t="str">
            <v>R5</v>
          </cell>
          <cell r="C9863" t="str">
            <v>ซาติน สายเดี่ยว+กางเกง ใบไม้เขียว ดอกแดง พื้นดำ S</v>
          </cell>
          <cell r="E9863">
            <v>0</v>
          </cell>
          <cell r="F9863">
            <v>890</v>
          </cell>
        </row>
        <row r="9864">
          <cell r="A9864" t="str">
            <v>SR0006-M</v>
          </cell>
          <cell r="B9864" t="str">
            <v>R6</v>
          </cell>
          <cell r="C9864" t="str">
            <v>ซาติน สายเดี่ยว+กางเกง พื้นกรมลาย ต้นมะพร้าว M</v>
          </cell>
          <cell r="E9864">
            <v>0</v>
          </cell>
          <cell r="F9864">
            <v>890</v>
          </cell>
        </row>
        <row r="9865">
          <cell r="A9865" t="str">
            <v>SR0006-S</v>
          </cell>
          <cell r="B9865" t="str">
            <v>R6</v>
          </cell>
          <cell r="C9865" t="str">
            <v>ซาติน สายเดี่ยว+กางเกง พื้นกรมลาย ต้นมะพร้าว S</v>
          </cell>
          <cell r="E9865">
            <v>0</v>
          </cell>
          <cell r="F9865">
            <v>890</v>
          </cell>
        </row>
        <row r="9866">
          <cell r="A9866" t="str">
            <v>SR0007-M</v>
          </cell>
          <cell r="B9866" t="str">
            <v>R7</v>
          </cell>
          <cell r="C9866" t="str">
            <v>ซาติน สายเดี่ยว+กางเกง สีเทา ลายพุ่มไผ่ M</v>
          </cell>
          <cell r="E9866">
            <v>0</v>
          </cell>
          <cell r="F9866">
            <v>890</v>
          </cell>
        </row>
        <row r="9867">
          <cell r="A9867" t="str">
            <v>SR0007-S</v>
          </cell>
          <cell r="B9867" t="str">
            <v>R7</v>
          </cell>
          <cell r="C9867" t="str">
            <v>ซาติน สายเดี่ยว+กางเกง สีเทา ลายพุ่มไผ่ S</v>
          </cell>
          <cell r="E9867">
            <v>0</v>
          </cell>
          <cell r="F9867">
            <v>890</v>
          </cell>
        </row>
        <row r="9868">
          <cell r="A9868" t="str">
            <v>SR0008-M</v>
          </cell>
          <cell r="B9868" t="str">
            <v>R8</v>
          </cell>
          <cell r="C9868" t="str">
            <v>ซาติน เซต3ชิ้น สายเดี่ยว+กางเกง พื้นดำ ลายทางเขียว M</v>
          </cell>
          <cell r="E9868">
            <v>0</v>
          </cell>
          <cell r="F9868">
            <v>890</v>
          </cell>
        </row>
        <row r="9869">
          <cell r="A9869" t="str">
            <v>SR0008-S</v>
          </cell>
          <cell r="B9869" t="str">
            <v>R8</v>
          </cell>
          <cell r="C9869" t="str">
            <v>ซาติน เซต3ชิ้น สายเดี่ยว+กางเกง พื้นดำ ลายทางเขียว S</v>
          </cell>
          <cell r="E9869">
            <v>0</v>
          </cell>
          <cell r="F9869">
            <v>890</v>
          </cell>
        </row>
        <row r="9870">
          <cell r="A9870" t="str">
            <v>SR0009-M</v>
          </cell>
          <cell r="B9870" t="str">
            <v>R9</v>
          </cell>
          <cell r="C9870" t="str">
            <v>ซาติน เซต3ชิ้น สายเดี่ยว+กางเกง ไอติม สีชมพู M</v>
          </cell>
          <cell r="E9870">
            <v>0</v>
          </cell>
          <cell r="F9870">
            <v>890</v>
          </cell>
        </row>
        <row r="9871">
          <cell r="A9871" t="str">
            <v>SR0009-S</v>
          </cell>
          <cell r="B9871" t="str">
            <v>R9</v>
          </cell>
          <cell r="C9871" t="str">
            <v>ซาติน เซต3ชิ้น สายเดี่ยว+กางเกง ไอติม สีชมพู S</v>
          </cell>
          <cell r="E9871">
            <v>0</v>
          </cell>
          <cell r="F9871">
            <v>890</v>
          </cell>
        </row>
        <row r="9872">
          <cell r="A9872" t="str">
            <v>SR0010-M</v>
          </cell>
          <cell r="B9872" t="str">
            <v>R10</v>
          </cell>
          <cell r="C9872" t="str">
            <v>ซาติน เซต3ชิ้น พื้นน้ำตาลเข้ม ดอกชมพู M</v>
          </cell>
          <cell r="E9872">
            <v>0</v>
          </cell>
          <cell r="F9872">
            <v>890</v>
          </cell>
        </row>
        <row r="9873">
          <cell r="A9873" t="str">
            <v>SR0010-S</v>
          </cell>
          <cell r="B9873" t="str">
            <v>R10</v>
          </cell>
          <cell r="C9873" t="str">
            <v>ซาติน เซต3ชิ้น พื้นน้ำตาลเข้ม ดอกชมพู S</v>
          </cell>
          <cell r="E9873">
            <v>0</v>
          </cell>
          <cell r="F9873">
            <v>890</v>
          </cell>
        </row>
        <row r="9874">
          <cell r="A9874" t="str">
            <v>SR0011-M</v>
          </cell>
          <cell r="B9874" t="str">
            <v>R11</v>
          </cell>
          <cell r="C9874" t="str">
            <v>ซาติน เซต3ชิ้น แขนยาวขายาว สีกรม ลายโซ่ M</v>
          </cell>
          <cell r="E9874">
            <v>0</v>
          </cell>
          <cell r="F9874">
            <v>890</v>
          </cell>
        </row>
        <row r="9875">
          <cell r="A9875" t="str">
            <v>SR0011-S</v>
          </cell>
          <cell r="B9875" t="str">
            <v>R11</v>
          </cell>
          <cell r="C9875" t="str">
            <v>ซาติน เซต3ชิ้น แขนยาวขายาว สีกรม ลายโซ่ S</v>
          </cell>
          <cell r="E9875">
            <v>0</v>
          </cell>
          <cell r="F9875">
            <v>890</v>
          </cell>
        </row>
        <row r="9876">
          <cell r="A9876" t="str">
            <v>SR0012-S</v>
          </cell>
          <cell r="B9876" t="str">
            <v>R12</v>
          </cell>
          <cell r="C9876" t="str">
            <v>ซาติน เซต3ชิ้น แขนยาวขายาว กระบองเพชร S</v>
          </cell>
          <cell r="E9876">
            <v>0</v>
          </cell>
          <cell r="F9876">
            <v>890</v>
          </cell>
        </row>
        <row r="9877">
          <cell r="A9877" t="str">
            <v>SR0012-XS</v>
          </cell>
          <cell r="B9877" t="str">
            <v>R12</v>
          </cell>
          <cell r="C9877" t="str">
            <v>ซาติน เซต3ชิ้น แขนยาวขายาว กระบองเพชร XS</v>
          </cell>
          <cell r="E9877">
            <v>0</v>
          </cell>
          <cell r="F9877">
            <v>890</v>
          </cell>
        </row>
        <row r="9878">
          <cell r="A9878" t="str">
            <v>SR0013-M</v>
          </cell>
          <cell r="B9878" t="str">
            <v>R13</v>
          </cell>
          <cell r="C9878" t="str">
            <v>ซาติน เซต3ชิ้น แขนยาวขายาว สีเหลือง ลายม้าลาย M</v>
          </cell>
          <cell r="E9878">
            <v>0</v>
          </cell>
          <cell r="F9878">
            <v>890</v>
          </cell>
        </row>
        <row r="9879">
          <cell r="A9879" t="str">
            <v>SR0013-S</v>
          </cell>
          <cell r="B9879" t="str">
            <v>R13</v>
          </cell>
          <cell r="C9879" t="str">
            <v>ซาติน เซต3ชิ้น แขนยาวขายาว สีเหลือง ลายม้าลาย S</v>
          </cell>
          <cell r="E9879">
            <v>0</v>
          </cell>
          <cell r="F9879">
            <v>890</v>
          </cell>
        </row>
        <row r="9880">
          <cell r="A9880" t="str">
            <v>SR0014-M</v>
          </cell>
          <cell r="B9880" t="str">
            <v>R14</v>
          </cell>
          <cell r="C9880" t="str">
            <v>ซาติน เซต3ชิ้น สายเดี่ยว+กางเกง ไอติม สีฟ้า M</v>
          </cell>
          <cell r="E9880">
            <v>0</v>
          </cell>
          <cell r="F9880">
            <v>890</v>
          </cell>
        </row>
        <row r="9881">
          <cell r="A9881" t="str">
            <v>SR0014-S</v>
          </cell>
          <cell r="B9881" t="str">
            <v>R14</v>
          </cell>
          <cell r="C9881" t="str">
            <v>ซาติน เซต3ชิ้น สายเดี่ยว+กางเกง ไอติม สีฟ้า S</v>
          </cell>
          <cell r="E9881">
            <v>0</v>
          </cell>
          <cell r="F9881">
            <v>890</v>
          </cell>
        </row>
        <row r="9882">
          <cell r="A9882" t="str">
            <v>SR0015-L</v>
          </cell>
          <cell r="B9882" t="str">
            <v>R15</v>
          </cell>
          <cell r="C9882" t="str">
            <v>ซาติน สายเดี่ยว ขายาว ซากุระ พื้นชมพู L</v>
          </cell>
          <cell r="E9882">
            <v>0</v>
          </cell>
          <cell r="F9882">
            <v>890</v>
          </cell>
        </row>
        <row r="9883">
          <cell r="A9883" t="str">
            <v>SR0015-M</v>
          </cell>
          <cell r="B9883" t="str">
            <v>R15</v>
          </cell>
          <cell r="C9883" t="str">
            <v>ซาติน สายเดี่ยว ขายาว ซากุระ พื้นชมพู M</v>
          </cell>
          <cell r="E9883">
            <v>0</v>
          </cell>
          <cell r="F9883">
            <v>890</v>
          </cell>
        </row>
        <row r="9884">
          <cell r="A9884" t="str">
            <v>SR0016-L</v>
          </cell>
          <cell r="B9884" t="str">
            <v>R16</v>
          </cell>
          <cell r="C9884" t="str">
            <v>ซาติน สายเดี่ยว ขายาว ซากุระ พื้นเขียว L</v>
          </cell>
          <cell r="E9884">
            <v>0</v>
          </cell>
          <cell r="F9884">
            <v>890</v>
          </cell>
        </row>
        <row r="9885">
          <cell r="A9885" t="str">
            <v>SR0016-M</v>
          </cell>
          <cell r="B9885" t="str">
            <v>R16</v>
          </cell>
          <cell r="C9885" t="str">
            <v>ซาติน สายเดี่ยว ขายาว ซากุระ พื้นเขียว M</v>
          </cell>
          <cell r="E9885">
            <v>0</v>
          </cell>
          <cell r="F9885">
            <v>890</v>
          </cell>
        </row>
        <row r="9886">
          <cell r="A9886" t="str">
            <v>SR0017-M</v>
          </cell>
          <cell r="B9886" t="str">
            <v>R17</v>
          </cell>
          <cell r="C9886" t="str">
            <v>ซาติน สายเดี่ยว กระโปรง พื้นเขียว เลมอน S</v>
          </cell>
          <cell r="E9886">
            <v>0</v>
          </cell>
          <cell r="F9886">
            <v>890</v>
          </cell>
        </row>
        <row r="9887">
          <cell r="A9887" t="str">
            <v>SR0017-S</v>
          </cell>
          <cell r="B9887" t="str">
            <v>R17</v>
          </cell>
          <cell r="C9887" t="str">
            <v>ซาติน สายเดี่ยว กระโปรง พื้นเขียว เลมอน M</v>
          </cell>
          <cell r="E9887">
            <v>0</v>
          </cell>
          <cell r="F9887">
            <v>890</v>
          </cell>
        </row>
        <row r="9888">
          <cell r="A9888" t="str">
            <v>SR0018-M</v>
          </cell>
          <cell r="B9888" t="str">
            <v>R18</v>
          </cell>
          <cell r="C9888" t="str">
            <v>ซาติน สายเดี่ยว ขาสั้น พื้นโอรส ลายจุด M</v>
          </cell>
          <cell r="E9888">
            <v>0</v>
          </cell>
          <cell r="F9888">
            <v>890</v>
          </cell>
        </row>
        <row r="9889">
          <cell r="A9889" t="str">
            <v>SR0018-S</v>
          </cell>
          <cell r="B9889" t="str">
            <v>R18</v>
          </cell>
          <cell r="C9889" t="str">
            <v>ซาติน สายเดี่ยว ขาสั้น พื้นโอรส ลายจุด S</v>
          </cell>
          <cell r="E9889">
            <v>0</v>
          </cell>
          <cell r="F9889">
            <v>890</v>
          </cell>
        </row>
        <row r="9890">
          <cell r="A9890" t="str">
            <v>SR0019-2XL</v>
          </cell>
          <cell r="B9890" t="str">
            <v>R19</v>
          </cell>
          <cell r="C9890" t="str">
            <v>ซาติน สายเดี่ยว ขายาว กล้วยไม้ พื้นชมพู 2XL</v>
          </cell>
          <cell r="E9890">
            <v>0</v>
          </cell>
          <cell r="F9890">
            <v>890</v>
          </cell>
        </row>
        <row r="9891">
          <cell r="A9891" t="str">
            <v>SR0019-L</v>
          </cell>
          <cell r="B9891" t="str">
            <v>R19</v>
          </cell>
          <cell r="C9891" t="str">
            <v>ซาติน สายเดี่ยว ขายาว กล้วยไม้ พื้นชมพู L</v>
          </cell>
          <cell r="E9891">
            <v>0</v>
          </cell>
          <cell r="F9891">
            <v>890</v>
          </cell>
        </row>
        <row r="9892">
          <cell r="A9892" t="str">
            <v>SR0019-M</v>
          </cell>
          <cell r="B9892" t="str">
            <v>R19</v>
          </cell>
          <cell r="C9892" t="str">
            <v>ซาติน สายเดี่ยว ขายาว กล้วยไม้ พื้นชมพู M</v>
          </cell>
          <cell r="E9892">
            <v>0</v>
          </cell>
          <cell r="F9892">
            <v>590</v>
          </cell>
        </row>
        <row r="9893">
          <cell r="A9893" t="str">
            <v>SR0019-XL</v>
          </cell>
          <cell r="B9893" t="str">
            <v>R19</v>
          </cell>
          <cell r="C9893" t="str">
            <v>ซาติน สายเดี่ยว ขายาว กล้วยไม้ พื้นชมพู XL</v>
          </cell>
          <cell r="E9893">
            <v>0</v>
          </cell>
          <cell r="F9893">
            <v>890</v>
          </cell>
        </row>
        <row r="9894">
          <cell r="A9894" t="str">
            <v>SR0020-L</v>
          </cell>
          <cell r="B9894" t="str">
            <v>R20</v>
          </cell>
          <cell r="C9894" t="str">
            <v>ซาติน สายเดี่ยว ขาสั้น Little Maid พื้นชมพู โบว์ขาว L (กปก)</v>
          </cell>
          <cell r="E9894">
            <v>0</v>
          </cell>
          <cell r="F9894">
            <v>890</v>
          </cell>
        </row>
        <row r="9895">
          <cell r="A9895" t="str">
            <v>SR0020-M</v>
          </cell>
          <cell r="B9895" t="str">
            <v>JR20</v>
          </cell>
          <cell r="C9895" t="str">
            <v>ซาติน สายเดี่ยว ขาสั้น Little Maid พื้นชมพู โบว์ขาว M (กปก) ตัวโชว์</v>
          </cell>
          <cell r="E9895">
            <v>0</v>
          </cell>
          <cell r="F9895">
            <v>790</v>
          </cell>
        </row>
        <row r="9896">
          <cell r="A9896" t="str">
            <v>SR0021-L</v>
          </cell>
          <cell r="B9896" t="str">
            <v>R21</v>
          </cell>
          <cell r="C9896" t="str">
            <v>ซาติน สายเดี่ยว ขาสั้น Little Maid พื้นขาว โบว์ดำ L (กปก)</v>
          </cell>
          <cell r="E9896">
            <v>0</v>
          </cell>
          <cell r="F9896">
            <v>790</v>
          </cell>
        </row>
        <row r="9897">
          <cell r="A9897" t="str">
            <v>SR0021-M</v>
          </cell>
          <cell r="B9897" t="str">
            <v>R21</v>
          </cell>
          <cell r="C9897" t="str">
            <v>ซาติน สายเดี่ยว ขาสั้น Little Maid พื้นขาว โบว์ดำ M (กปก)</v>
          </cell>
          <cell r="E9897">
            <v>0</v>
          </cell>
          <cell r="F9897">
            <v>790</v>
          </cell>
        </row>
        <row r="9898">
          <cell r="A9898" t="str">
            <v>SR0022-L</v>
          </cell>
          <cell r="B9898" t="str">
            <v>R22</v>
          </cell>
          <cell r="C9898" t="str">
            <v>ซาติน เดรส สายเดี่ยว ขายาว Paris กางเกงฟ้า L</v>
          </cell>
          <cell r="E9898">
            <v>0</v>
          </cell>
          <cell r="F9898">
            <v>890</v>
          </cell>
        </row>
        <row r="9899">
          <cell r="A9899" t="str">
            <v>SR0022-M</v>
          </cell>
          <cell r="B9899" t="str">
            <v>R22</v>
          </cell>
          <cell r="C9899" t="str">
            <v>ซาติน เดรส สายเดี่ยว ขายาว Paris กางเกงฟ้า M</v>
          </cell>
          <cell r="E9899">
            <v>0</v>
          </cell>
          <cell r="F9899">
            <v>890</v>
          </cell>
        </row>
        <row r="9900">
          <cell r="A9900" t="str">
            <v>SR0022-XL</v>
          </cell>
          <cell r="B9900" t="str">
            <v>R22</v>
          </cell>
          <cell r="C9900" t="str">
            <v>ซาติน เดรส สายเดี่ยว ขายาว Paris กางเกงฟ้า XL</v>
          </cell>
          <cell r="E9900">
            <v>0</v>
          </cell>
          <cell r="F9900">
            <v>890</v>
          </cell>
        </row>
        <row r="9901">
          <cell r="A9901" t="str">
            <v>SR0023-L</v>
          </cell>
          <cell r="B9901" t="str">
            <v>R23</v>
          </cell>
          <cell r="C9901" t="str">
            <v>ซาติน เดรส สายเดี่ยว ขายาว พื้นชมพู ดอกอัญชัน L</v>
          </cell>
          <cell r="E9901">
            <v>0</v>
          </cell>
          <cell r="F9901">
            <v>890</v>
          </cell>
        </row>
        <row r="9902">
          <cell r="A9902" t="str">
            <v>SR0023-M</v>
          </cell>
          <cell r="B9902" t="str">
            <v>R23</v>
          </cell>
          <cell r="C9902" t="str">
            <v>ซาติน เดรส สายเดี่ยว ขายาว พื้นชมพู ดอกอัญชัน M</v>
          </cell>
          <cell r="E9902">
            <v>0</v>
          </cell>
          <cell r="F9902">
            <v>590</v>
          </cell>
        </row>
        <row r="9903">
          <cell r="A9903" t="str">
            <v>SR0023-XL</v>
          </cell>
          <cell r="B9903" t="str">
            <v>R23</v>
          </cell>
          <cell r="C9903" t="str">
            <v>ซาติน เดรส สายเดี่ยว ขายาว พื้นชมพู ดอกอัญชัน XL</v>
          </cell>
          <cell r="E9903">
            <v>0</v>
          </cell>
          <cell r="F9903">
            <v>890</v>
          </cell>
        </row>
        <row r="9904">
          <cell r="A9904" t="str">
            <v>SR0024-2XL</v>
          </cell>
          <cell r="B9904" t="str">
            <v>R24</v>
          </cell>
          <cell r="C9904" t="str">
            <v>ซาติน เดรส สายเดี่ยว ขายาว Carnival 2XL</v>
          </cell>
          <cell r="E9904">
            <v>0</v>
          </cell>
          <cell r="F9904">
            <v>890</v>
          </cell>
        </row>
        <row r="9905">
          <cell r="A9905" t="str">
            <v>SR0024-L</v>
          </cell>
          <cell r="B9905" t="str">
            <v>R24</v>
          </cell>
          <cell r="C9905" t="str">
            <v>ซาติน เดรส สายเดี่ยว ขายาว Carnival L</v>
          </cell>
          <cell r="E9905">
            <v>0</v>
          </cell>
          <cell r="F9905">
            <v>890</v>
          </cell>
        </row>
        <row r="9906">
          <cell r="A9906" t="str">
            <v>SR0024-M</v>
          </cell>
          <cell r="B9906" t="str">
            <v>R24</v>
          </cell>
          <cell r="C9906" t="str">
            <v>ซาติน เดรส สายเดี่ยว ขายาว Carnival M</v>
          </cell>
          <cell r="E9906">
            <v>0</v>
          </cell>
          <cell r="F9906">
            <v>890</v>
          </cell>
        </row>
        <row r="9907">
          <cell r="A9907" t="str">
            <v>SR0024-XL</v>
          </cell>
          <cell r="B9907" t="str">
            <v>R24</v>
          </cell>
          <cell r="C9907" t="str">
            <v>ซาติน เดรส สายเดี่ยว ขายาว Carnival XL</v>
          </cell>
          <cell r="E9907">
            <v>0</v>
          </cell>
          <cell r="F9907">
            <v>890</v>
          </cell>
        </row>
        <row r="9908">
          <cell r="A9908" t="str">
            <v>SR0025-L</v>
          </cell>
          <cell r="B9908" t="str">
            <v>R25</v>
          </cell>
          <cell r="C9908" t="str">
            <v>ซาติน เดรส สายเดี่ยว ขายาว พื้นเขียว ดอกอัญชัน L</v>
          </cell>
          <cell r="E9908">
            <v>0</v>
          </cell>
          <cell r="F9908">
            <v>890</v>
          </cell>
        </row>
        <row r="9909">
          <cell r="A9909" t="str">
            <v>SR0025-M</v>
          </cell>
          <cell r="B9909" t="str">
            <v>R25</v>
          </cell>
          <cell r="C9909" t="str">
            <v>ซาติน เดรส สายเดี่ยว ขายาว พื้นเขียว ดอกอัญชัน M</v>
          </cell>
          <cell r="E9909">
            <v>0</v>
          </cell>
          <cell r="F9909">
            <v>890</v>
          </cell>
        </row>
        <row r="9910">
          <cell r="A9910" t="str">
            <v>SR0025-XL</v>
          </cell>
          <cell r="B9910" t="str">
            <v>R25</v>
          </cell>
          <cell r="C9910" t="str">
            <v>ซาติน เดรส สายเดี่ยว ขายาว พื้นเขียว ดอกอัญชัน XL</v>
          </cell>
          <cell r="E9910">
            <v>0</v>
          </cell>
          <cell r="F9910">
            <v>890</v>
          </cell>
        </row>
        <row r="9911">
          <cell r="A9911" t="str">
            <v>SR0026-L</v>
          </cell>
          <cell r="B9911" t="str">
            <v>R26</v>
          </cell>
          <cell r="C9911" t="str">
            <v>ซาติน เดรส สายเดี่ยว ขายาว หวานใจ หวานเย็น L</v>
          </cell>
          <cell r="E9911">
            <v>0</v>
          </cell>
          <cell r="F9911">
            <v>890</v>
          </cell>
        </row>
        <row r="9912">
          <cell r="A9912" t="str">
            <v>SR0026-M</v>
          </cell>
          <cell r="B9912" t="str">
            <v>R26</v>
          </cell>
          <cell r="C9912" t="str">
            <v>ซาติน เดรส สายเดี่ยว ขายาว หวานใจ หวานเย็น M</v>
          </cell>
          <cell r="E9912">
            <v>0</v>
          </cell>
          <cell r="F9912">
            <v>890</v>
          </cell>
        </row>
        <row r="9913">
          <cell r="A9913" t="str">
            <v>SR0026-XL</v>
          </cell>
          <cell r="B9913" t="str">
            <v>R26</v>
          </cell>
          <cell r="C9913" t="str">
            <v>ซาติน เดรส สายเดี่ยว ขายาว หวานใจ หวานเย็น XL</v>
          </cell>
          <cell r="E9913">
            <v>0</v>
          </cell>
          <cell r="F9913">
            <v>890</v>
          </cell>
        </row>
        <row r="9914">
          <cell r="A9914" t="str">
            <v>SR0027-L</v>
          </cell>
          <cell r="B9914" t="str">
            <v>R27</v>
          </cell>
          <cell r="C9914" t="str">
            <v>ซาติน เดรส สายเดี่ยว ขาสั้น พื้นชมพู ดอกอัญชัน L</v>
          </cell>
          <cell r="E9914">
            <v>0</v>
          </cell>
          <cell r="F9914">
            <v>790</v>
          </cell>
        </row>
        <row r="9915">
          <cell r="A9915" t="str">
            <v>SR0027-M</v>
          </cell>
          <cell r="B9915" t="str">
            <v>R27</v>
          </cell>
          <cell r="C9915" t="str">
            <v>ซาติน เดรส สายเดี่ยว ขาสั้น พื้นชมพู ดอกอัญชัน M</v>
          </cell>
          <cell r="E9915">
            <v>0</v>
          </cell>
          <cell r="F9915">
            <v>790</v>
          </cell>
        </row>
        <row r="9916">
          <cell r="A9916" t="str">
            <v>SR0027-XL</v>
          </cell>
          <cell r="B9916" t="str">
            <v>R27</v>
          </cell>
          <cell r="C9916" t="str">
            <v>ซาติน เดรส สายเดี่ยว ขาสั้น พื้นชมพู ดอกอัญชัน XL</v>
          </cell>
          <cell r="E9916">
            <v>0</v>
          </cell>
          <cell r="F9916">
            <v>790</v>
          </cell>
        </row>
        <row r="9917">
          <cell r="A9917" t="str">
            <v>SR0028-L</v>
          </cell>
          <cell r="B9917" t="str">
            <v>QR28</v>
          </cell>
          <cell r="C9917" t="str">
            <v>ซาติน เดรส สายเดี่ยว ขาสั้น พื้นเขียว ดอกอัญชัน L QC</v>
          </cell>
          <cell r="E9917">
            <v>0</v>
          </cell>
          <cell r="F9917">
            <v>790</v>
          </cell>
        </row>
        <row r="9918">
          <cell r="A9918" t="str">
            <v>SR0028-M</v>
          </cell>
          <cell r="B9918" t="str">
            <v>R28</v>
          </cell>
          <cell r="C9918" t="str">
            <v>ซาติน เดรส สายเดี่ยว ขาสั้น พื้นเขียว ดอกอัญชัน M</v>
          </cell>
          <cell r="E9918">
            <v>0</v>
          </cell>
          <cell r="F9918">
            <v>790</v>
          </cell>
        </row>
        <row r="9919">
          <cell r="A9919" t="str">
            <v>SR0028-XL</v>
          </cell>
          <cell r="B9919" t="str">
            <v>R28</v>
          </cell>
          <cell r="C9919" t="str">
            <v>ซาติน เดรส สายเดี่ยว ขาสั้น พื้นเขียว ดอกอัญชัน XL</v>
          </cell>
          <cell r="E9919">
            <v>0</v>
          </cell>
          <cell r="F9919">
            <v>790</v>
          </cell>
        </row>
        <row r="9920">
          <cell r="A9920" t="str">
            <v>SR0029-L</v>
          </cell>
          <cell r="B9920" t="str">
            <v>R29</v>
          </cell>
          <cell r="C9920" t="str">
            <v>ซาติน เดรส สายเดี่ยว ขายาว Paris กางเกงเชือก ฟ้า L</v>
          </cell>
          <cell r="E9920">
            <v>0</v>
          </cell>
          <cell r="F9920">
            <v>590</v>
          </cell>
        </row>
        <row r="9921">
          <cell r="A9921" t="str">
            <v>SR0029-M</v>
          </cell>
          <cell r="B9921" t="str">
            <v>QR29</v>
          </cell>
          <cell r="C9921" t="str">
            <v>ซาติน เดรส สายเดี่ยว ขายาว Paris กางเกงเชือก ฟ้า M QC</v>
          </cell>
          <cell r="E9921">
            <v>0</v>
          </cell>
          <cell r="F9921">
            <v>890</v>
          </cell>
        </row>
        <row r="9922">
          <cell r="A9922" t="str">
            <v>SR0029-XL</v>
          </cell>
          <cell r="B9922" t="str">
            <v>R29</v>
          </cell>
          <cell r="C9922" t="str">
            <v>ซาติน เดรส สายเดี่ยว ขายาว Paris กางเกงเชือก ฟ้า XL</v>
          </cell>
          <cell r="E9922">
            <v>0</v>
          </cell>
          <cell r="F9922">
            <v>890</v>
          </cell>
        </row>
        <row r="9923">
          <cell r="A9923" t="str">
            <v>SR0030-2XL</v>
          </cell>
          <cell r="B9923" t="str">
            <v>R30</v>
          </cell>
          <cell r="C9923" t="str">
            <v>ซาติน เดรส สายเดี่ยว ขายาว ดอกไม้ขาว พื้นฟ้า 2XL</v>
          </cell>
          <cell r="E9923">
            <v>0</v>
          </cell>
          <cell r="F9923">
            <v>890</v>
          </cell>
        </row>
        <row r="9924">
          <cell r="A9924" t="str">
            <v>SR0030-L</v>
          </cell>
          <cell r="B9924" t="str">
            <v>R30</v>
          </cell>
          <cell r="C9924" t="str">
            <v>ซาติน เดรส สายเดี่ยว ขายาว ดอกไม้ขาว พื้นฟ้า L</v>
          </cell>
          <cell r="E9924">
            <v>0</v>
          </cell>
          <cell r="F9924">
            <v>890</v>
          </cell>
        </row>
        <row r="9925">
          <cell r="A9925" t="str">
            <v>SR0030-M</v>
          </cell>
          <cell r="B9925" t="str">
            <v>R30</v>
          </cell>
          <cell r="C9925" t="str">
            <v>ซาติน เดรส สายเดี่ยว ขายาว ดอกไม้ขาว พื้นฟ้า M</v>
          </cell>
          <cell r="E9925">
            <v>0</v>
          </cell>
          <cell r="F9925">
            <v>890</v>
          </cell>
        </row>
        <row r="9926">
          <cell r="A9926" t="str">
            <v>SR0030-XL</v>
          </cell>
          <cell r="B9926" t="str">
            <v>R30</v>
          </cell>
          <cell r="C9926" t="str">
            <v>ซาติน เดรส สายเดี่ยว ขายาว ดอกไม้ขาว พื้นฟ้า XL</v>
          </cell>
          <cell r="E9926">
            <v>0</v>
          </cell>
          <cell r="F9926">
            <v>890</v>
          </cell>
        </row>
        <row r="9927">
          <cell r="A9927" t="str">
            <v>SR0031-2XL</v>
          </cell>
          <cell r="B9927" t="str">
            <v>R31</v>
          </cell>
          <cell r="C9927" t="str">
            <v>ซาติน เดรส สายเดี่ยว ขายาว Blue Palace 2XL</v>
          </cell>
          <cell r="E9927">
            <v>0</v>
          </cell>
          <cell r="F9927">
            <v>890</v>
          </cell>
        </row>
        <row r="9928">
          <cell r="A9928" t="str">
            <v>SR0031-L</v>
          </cell>
          <cell r="B9928" t="str">
            <v>R31</v>
          </cell>
          <cell r="C9928" t="str">
            <v>ซาติน เดรส สายเดี่ยว ขายาว Blue Palace L</v>
          </cell>
          <cell r="E9928">
            <v>0</v>
          </cell>
          <cell r="F9928">
            <v>890</v>
          </cell>
        </row>
        <row r="9929">
          <cell r="A9929" t="str">
            <v>SR0031-M</v>
          </cell>
          <cell r="B9929" t="str">
            <v>R31</v>
          </cell>
          <cell r="C9929" t="str">
            <v>ซาติน เดรส สายเดี่ยว ขายาว Blue Palace M</v>
          </cell>
          <cell r="E9929">
            <v>0</v>
          </cell>
          <cell r="F9929">
            <v>890</v>
          </cell>
        </row>
        <row r="9930">
          <cell r="A9930" t="str">
            <v>SR0031-XL</v>
          </cell>
          <cell r="B9930" t="str">
            <v>R31</v>
          </cell>
          <cell r="C9930" t="str">
            <v>ซาติน เดรส สายเดี่ยว ขายาว Blue Palace XL</v>
          </cell>
          <cell r="E9930">
            <v>0</v>
          </cell>
          <cell r="F9930">
            <v>890</v>
          </cell>
        </row>
        <row r="9931">
          <cell r="A9931" t="str">
            <v>SR0032-2XL</v>
          </cell>
          <cell r="B9931" t="str">
            <v>R32</v>
          </cell>
          <cell r="C9931" t="str">
            <v>ซาติน เดรส สายเดี่ยว ขาสั้น ดอกไม้ขาว พื้นฟ้า 2XL</v>
          </cell>
          <cell r="E9931">
            <v>0</v>
          </cell>
          <cell r="F9931">
            <v>790</v>
          </cell>
        </row>
        <row r="9932">
          <cell r="A9932" t="str">
            <v>SR0032-L</v>
          </cell>
          <cell r="B9932" t="str">
            <v>R32</v>
          </cell>
          <cell r="C9932" t="str">
            <v>ซาติน เดรส สายเดี่ยว ขาสั้น ดอกไม้ขาว พื้นฟ้า L</v>
          </cell>
          <cell r="E9932">
            <v>0</v>
          </cell>
          <cell r="F9932">
            <v>590</v>
          </cell>
        </row>
        <row r="9933">
          <cell r="A9933" t="str">
            <v>SR0032-M</v>
          </cell>
          <cell r="B9933" t="str">
            <v>R32</v>
          </cell>
          <cell r="C9933" t="str">
            <v>ซาติน เดรส สายเดี่ยว ขาสั้น ดอกไม้ขาว พื้นฟ้า M</v>
          </cell>
          <cell r="E9933">
            <v>0</v>
          </cell>
          <cell r="F9933">
            <v>790</v>
          </cell>
        </row>
        <row r="9934">
          <cell r="A9934" t="str">
            <v>SR0032-XL</v>
          </cell>
          <cell r="B9934" t="str">
            <v>R32</v>
          </cell>
          <cell r="C9934" t="str">
            <v>ซาติน เดรส สายเดี่ยว ขาสั้น ดอกไม้ขาว พื้นฟ้า XL</v>
          </cell>
          <cell r="E9934">
            <v>0</v>
          </cell>
          <cell r="F9934">
            <v>790</v>
          </cell>
        </row>
        <row r="9935">
          <cell r="A9935" t="str">
            <v>SR0033-2XL</v>
          </cell>
          <cell r="B9935" t="str">
            <v>R33</v>
          </cell>
          <cell r="C9935" t="str">
            <v>ซาติน เดรส สายเดี่ยว ขาสั้น พื้นขาวลายคราม 2XL</v>
          </cell>
          <cell r="E9935">
            <v>0</v>
          </cell>
          <cell r="F9935">
            <v>790</v>
          </cell>
        </row>
        <row r="9936">
          <cell r="A9936" t="str">
            <v>SR0033-L</v>
          </cell>
          <cell r="B9936" t="str">
            <v>R33</v>
          </cell>
          <cell r="C9936" t="str">
            <v>ซาติน เดรส สายเดี่ยว ขาสั้น พื้นขาวลายคราม L</v>
          </cell>
          <cell r="E9936">
            <v>0</v>
          </cell>
          <cell r="F9936">
            <v>790</v>
          </cell>
        </row>
        <row r="9937">
          <cell r="A9937" t="str">
            <v>SR0033-M</v>
          </cell>
          <cell r="B9937" t="str">
            <v>R33</v>
          </cell>
          <cell r="C9937" t="str">
            <v>ซาติน เดรส สายเดี่ยว ขาสั้น พื้นขาวลายคราม M</v>
          </cell>
          <cell r="E9937">
            <v>0</v>
          </cell>
          <cell r="F9937">
            <v>790</v>
          </cell>
        </row>
        <row r="9938">
          <cell r="A9938" t="str">
            <v>SR0033-XL</v>
          </cell>
          <cell r="B9938" t="str">
            <v>R33</v>
          </cell>
          <cell r="C9938" t="str">
            <v>ซาติน เดรส สายเดี่ยว ขาสั้น พื้นขาวลายคราม XL</v>
          </cell>
          <cell r="E9938">
            <v>0</v>
          </cell>
          <cell r="F9938">
            <v>790</v>
          </cell>
        </row>
        <row r="9939">
          <cell r="A9939" t="str">
            <v>SR0034-2XL</v>
          </cell>
          <cell r="B9939" t="str">
            <v>R34</v>
          </cell>
          <cell r="C9939" t="str">
            <v>ซาติน เดรส สายเดี่ยว ขาสั้น Garder And Sea 2XL</v>
          </cell>
          <cell r="E9939">
            <v>0</v>
          </cell>
          <cell r="F9939">
            <v>790</v>
          </cell>
        </row>
        <row r="9940">
          <cell r="A9940" t="str">
            <v>SR0034-L</v>
          </cell>
          <cell r="B9940" t="str">
            <v>R34</v>
          </cell>
          <cell r="C9940" t="str">
            <v>ซาติน เดรส สายเดี่ยว ขาสั้น Garder And Sea L</v>
          </cell>
          <cell r="E9940">
            <v>0</v>
          </cell>
          <cell r="F9940">
            <v>790</v>
          </cell>
        </row>
        <row r="9941">
          <cell r="A9941" t="str">
            <v>SR0034-M</v>
          </cell>
          <cell r="B9941" t="str">
            <v>R34</v>
          </cell>
          <cell r="C9941" t="str">
            <v>ซาติน เดรส สายเดี่ยว ขาสั้น Garder And Sea M</v>
          </cell>
          <cell r="E9941">
            <v>0</v>
          </cell>
          <cell r="F9941">
            <v>790</v>
          </cell>
        </row>
        <row r="9942">
          <cell r="A9942" t="str">
            <v>SR0034-XL</v>
          </cell>
          <cell r="B9942" t="str">
            <v>R34</v>
          </cell>
          <cell r="C9942" t="str">
            <v>ซาติน เดรส สายเดี่ยว ขาสั้น Garder And Sea XL</v>
          </cell>
          <cell r="E9942">
            <v>0</v>
          </cell>
          <cell r="F9942">
            <v>790</v>
          </cell>
        </row>
        <row r="9943">
          <cell r="A9943" t="str">
            <v>SR0035-2XL</v>
          </cell>
          <cell r="B9943" t="str">
            <v>R35</v>
          </cell>
          <cell r="C9943" t="str">
            <v>ซาติน เดรส สายเดี่ยว ขายาว ลายทาง เขียวชมพู 2XL</v>
          </cell>
          <cell r="E9943">
            <v>0</v>
          </cell>
          <cell r="F9943">
            <v>890</v>
          </cell>
        </row>
        <row r="9944">
          <cell r="A9944" t="str">
            <v>SR0035-L</v>
          </cell>
          <cell r="B9944" t="str">
            <v>R35</v>
          </cell>
          <cell r="C9944" t="str">
            <v>ซาติน เดรส สายเดี่ยว ขายาว ลายทาง เขียวชมพู L</v>
          </cell>
          <cell r="E9944">
            <v>0</v>
          </cell>
          <cell r="F9944">
            <v>890</v>
          </cell>
        </row>
        <row r="9945">
          <cell r="A9945" t="str">
            <v>SR0035-M</v>
          </cell>
          <cell r="B9945" t="str">
            <v>R35</v>
          </cell>
          <cell r="C9945" t="str">
            <v>ซาติน เดรส สายเดี่ยว ขายาว ลายทาง เขียวชมพู M</v>
          </cell>
          <cell r="E9945">
            <v>0</v>
          </cell>
          <cell r="F9945">
            <v>890</v>
          </cell>
        </row>
        <row r="9946">
          <cell r="A9946" t="str">
            <v>SR0035-XL</v>
          </cell>
          <cell r="B9946" t="str">
            <v>R35</v>
          </cell>
          <cell r="C9946" t="str">
            <v>ซาติน เดรส สายเดี่ยว ขายาว ลายทาง เขียวชมพู XL</v>
          </cell>
          <cell r="E9946">
            <v>0</v>
          </cell>
          <cell r="F9946">
            <v>890</v>
          </cell>
        </row>
        <row r="9947">
          <cell r="A9947" t="str">
            <v>SR0036-2XL</v>
          </cell>
          <cell r="B9947" t="str">
            <v>R36</v>
          </cell>
          <cell r="C9947" t="str">
            <v>ซาติน เดรส สายเดี่ยว ขายาว pink folorel ปลายขาลูกไม้ 2XL</v>
          </cell>
          <cell r="E9947">
            <v>0</v>
          </cell>
          <cell r="F9947">
            <v>890</v>
          </cell>
        </row>
        <row r="9948">
          <cell r="A9948" t="str">
            <v>SR0036-L</v>
          </cell>
          <cell r="B9948" t="str">
            <v>R36</v>
          </cell>
          <cell r="C9948" t="str">
            <v>ซาติน เดรส สายเดี่ยว ขายาว pink folorel ปลายขาลูกไม้ L</v>
          </cell>
          <cell r="E9948">
            <v>0</v>
          </cell>
          <cell r="F9948">
            <v>890</v>
          </cell>
        </row>
        <row r="9949">
          <cell r="A9949" t="str">
            <v>SR0036-M</v>
          </cell>
          <cell r="B9949" t="str">
            <v>R36</v>
          </cell>
          <cell r="C9949" t="str">
            <v>ซาติน เดรส สายเดี่ยว ขายาว pink folorel ปลายขาลูกไม้ M</v>
          </cell>
          <cell r="E9949">
            <v>0</v>
          </cell>
          <cell r="F9949">
            <v>590</v>
          </cell>
        </row>
        <row r="9950">
          <cell r="A9950" t="str">
            <v>SR0036-XL</v>
          </cell>
          <cell r="B9950" t="str">
            <v>R36</v>
          </cell>
          <cell r="C9950" t="str">
            <v>ซาติน เดรส สายเดี่ยว ขายาว pink folorel ปลายขาลูกไม้ XL</v>
          </cell>
          <cell r="E9950">
            <v>0</v>
          </cell>
          <cell r="F9950">
            <v>890</v>
          </cell>
        </row>
        <row r="9951">
          <cell r="A9951" t="str">
            <v>SR0037-2XL</v>
          </cell>
          <cell r="B9951" t="str">
            <v>R37</v>
          </cell>
          <cell r="C9951" t="str">
            <v>ซาติน เดรส สายเดี่ยว ขายาว Garder And Sea 2XL</v>
          </cell>
          <cell r="E9951">
            <v>0</v>
          </cell>
          <cell r="F9951">
            <v>890</v>
          </cell>
        </row>
        <row r="9952">
          <cell r="A9952" t="str">
            <v>SR0037-L</v>
          </cell>
          <cell r="B9952" t="str">
            <v>R37</v>
          </cell>
          <cell r="C9952" t="str">
            <v>ซาติน เดรส สายเดี่ยว ขายาว Garder And Sea L</v>
          </cell>
          <cell r="E9952">
            <v>0</v>
          </cell>
          <cell r="F9952">
            <v>890</v>
          </cell>
        </row>
        <row r="9953">
          <cell r="A9953" t="str">
            <v>SR0037-M</v>
          </cell>
          <cell r="B9953" t="str">
            <v>R37</v>
          </cell>
          <cell r="C9953" t="str">
            <v>ซาติน เดรส สายเดี่ยว ขายาว Garder And Sea M</v>
          </cell>
          <cell r="E9953">
            <v>0</v>
          </cell>
          <cell r="F9953">
            <v>890</v>
          </cell>
        </row>
        <row r="9954">
          <cell r="A9954" t="str">
            <v>SR0037-XL</v>
          </cell>
          <cell r="B9954" t="str">
            <v>R37</v>
          </cell>
          <cell r="C9954" t="str">
            <v>ซาติน เดรส สายเดี่ยว ขายาว Garder And Sea XL</v>
          </cell>
          <cell r="E9954">
            <v>0</v>
          </cell>
          <cell r="F9954">
            <v>890</v>
          </cell>
        </row>
        <row r="9955">
          <cell r="A9955" t="str">
            <v>SR0038-2XL</v>
          </cell>
          <cell r="B9955" t="str">
            <v>R38</v>
          </cell>
          <cell r="C9955" t="str">
            <v>ซาติน เดรส สายเดี่ยว ขาสั้น ดอกไม้ขาว พื้นชมพู 2XL</v>
          </cell>
          <cell r="E9955">
            <v>0</v>
          </cell>
          <cell r="F9955">
            <v>790</v>
          </cell>
        </row>
        <row r="9956">
          <cell r="A9956" t="str">
            <v>SR0038-L</v>
          </cell>
          <cell r="B9956" t="str">
            <v>R38</v>
          </cell>
          <cell r="C9956" t="str">
            <v>ซาติน เดรส สายเดี่ยว ขาสั้น ดอกไม้ขาว พื้นชมพู L</v>
          </cell>
          <cell r="E9956">
            <v>0</v>
          </cell>
          <cell r="F9956">
            <v>790</v>
          </cell>
        </row>
        <row r="9957">
          <cell r="A9957" t="str">
            <v>SR0038-M</v>
          </cell>
          <cell r="B9957" t="str">
            <v>R38</v>
          </cell>
          <cell r="C9957" t="str">
            <v>ซาติน เดรส สายเดี่ยว ขาสั้น ดอกไม้ขาว พื้นชมพู M</v>
          </cell>
          <cell r="E9957">
            <v>0</v>
          </cell>
          <cell r="F9957">
            <v>790</v>
          </cell>
        </row>
        <row r="9958">
          <cell r="A9958" t="str">
            <v>SR0038-XL</v>
          </cell>
          <cell r="B9958" t="str">
            <v>R38</v>
          </cell>
          <cell r="C9958" t="str">
            <v>ซาติน เดรส สายเดี่ยว ขาสั้น ดอกไม้ขาว พื้นชมพู XL</v>
          </cell>
          <cell r="E9958">
            <v>0</v>
          </cell>
          <cell r="F9958">
            <v>790</v>
          </cell>
        </row>
        <row r="9959">
          <cell r="A9959" t="str">
            <v>SR0039-2XL</v>
          </cell>
          <cell r="B9959" t="str">
            <v>R39</v>
          </cell>
          <cell r="C9959" t="str">
            <v>ซาติน เดรส สายเดี่ยว ขายาว ดอกไม้ขาว พื้นชมพู 2XL</v>
          </cell>
          <cell r="E9959">
            <v>0</v>
          </cell>
          <cell r="F9959">
            <v>890</v>
          </cell>
        </row>
        <row r="9960">
          <cell r="A9960" t="str">
            <v>SR0039-L</v>
          </cell>
          <cell r="B9960" t="str">
            <v>R39</v>
          </cell>
          <cell r="C9960" t="str">
            <v>ซาติน เดรส สายเดี่ยว ขายาว ดอกไม้ขาว พื้นชมพู L</v>
          </cell>
          <cell r="E9960">
            <v>0</v>
          </cell>
          <cell r="F9960">
            <v>890</v>
          </cell>
        </row>
        <row r="9961">
          <cell r="A9961" t="str">
            <v>SR0039-M</v>
          </cell>
          <cell r="B9961" t="str">
            <v>R39</v>
          </cell>
          <cell r="C9961" t="str">
            <v>ซาติน เดรส สายเดี่ยว ขายาว ดอกไม้ขาว พื้นชมพู M</v>
          </cell>
          <cell r="E9961">
            <v>0</v>
          </cell>
          <cell r="F9961">
            <v>890</v>
          </cell>
        </row>
        <row r="9962">
          <cell r="A9962" t="str">
            <v>SR0039-XL</v>
          </cell>
          <cell r="B9962" t="str">
            <v>R39</v>
          </cell>
          <cell r="C9962" t="str">
            <v>ซาติน เดรส สายเดี่ยว ขายาว ดอกไม้ขาว พื้นชมพู XL</v>
          </cell>
          <cell r="E9962">
            <v>0</v>
          </cell>
          <cell r="F9962">
            <v>890</v>
          </cell>
        </row>
        <row r="9963">
          <cell r="A9963" t="str">
            <v>SR0040-M</v>
          </cell>
          <cell r="B9963" t="str">
            <v>R40</v>
          </cell>
          <cell r="C9963" t="str">
            <v>ซาติน เดรส สายเดี่ยว ขาสั้น พื้นเขียว ดอกลาเวนเดอร์ M</v>
          </cell>
          <cell r="E9963">
            <v>0</v>
          </cell>
          <cell r="F9963">
            <v>890</v>
          </cell>
        </row>
        <row r="9964">
          <cell r="A9964" t="str">
            <v>SR0041-2XL</v>
          </cell>
          <cell r="B9964" t="str">
            <v>R41</v>
          </cell>
          <cell r="C9964" t="str">
            <v>ซาติน เดรส สายเดี่ยว ขายาว พื้นเขียว ดอกลาเวนเดอร์ 2XL</v>
          </cell>
          <cell r="E9964">
            <v>0</v>
          </cell>
          <cell r="F9964">
            <v>590</v>
          </cell>
        </row>
        <row r="9965">
          <cell r="A9965" t="str">
            <v>SR0041-L</v>
          </cell>
          <cell r="B9965" t="str">
            <v>R41</v>
          </cell>
          <cell r="C9965" t="str">
            <v>ซาติน เดรส สายเดี่ยว ขายาว พื้นเขียว ดอกลาเวนเดอร์ L</v>
          </cell>
          <cell r="E9965">
            <v>0</v>
          </cell>
          <cell r="F9965">
            <v>890</v>
          </cell>
        </row>
        <row r="9966">
          <cell r="A9966" t="str">
            <v>SR0041-M</v>
          </cell>
          <cell r="B9966" t="str">
            <v>R41</v>
          </cell>
          <cell r="C9966" t="str">
            <v>ซาติน เดรส สายเดี่ยว ขายาว พื้นเขียว ดอกลาเวนเดอร์ M</v>
          </cell>
          <cell r="E9966">
            <v>0</v>
          </cell>
          <cell r="F9966">
            <v>890</v>
          </cell>
        </row>
        <row r="9967">
          <cell r="A9967" t="str">
            <v>SR0041-XL</v>
          </cell>
          <cell r="B9967" t="str">
            <v>R41</v>
          </cell>
          <cell r="C9967" t="str">
            <v>ซาติน เดรส สายเดี่ยว ขายาว พื้นเขียว ดอกลาเวนเดอร์ XL</v>
          </cell>
          <cell r="E9967">
            <v>0</v>
          </cell>
          <cell r="F9967">
            <v>890</v>
          </cell>
        </row>
        <row r="9968">
          <cell r="A9968" t="str">
            <v>SR0042-L</v>
          </cell>
          <cell r="B9968" t="str">
            <v>R42</v>
          </cell>
          <cell r="C9968" t="str">
            <v>ซาติน สายเดี่ยว  Cloundy Sunset L</v>
          </cell>
          <cell r="E9968">
            <v>0</v>
          </cell>
          <cell r="F9968">
            <v>890</v>
          </cell>
        </row>
        <row r="9969">
          <cell r="A9969" t="str">
            <v>SR0042-M</v>
          </cell>
          <cell r="B9969" t="str">
            <v>R42</v>
          </cell>
          <cell r="C9969" t="str">
            <v>ซาติน สายเดี่ยว  Cloundy Sunset M</v>
          </cell>
          <cell r="E9969">
            <v>0</v>
          </cell>
          <cell r="F9969">
            <v>890</v>
          </cell>
        </row>
        <row r="9970">
          <cell r="A9970" t="str">
            <v>SR0042-S</v>
          </cell>
          <cell r="B9970" t="str">
            <v>R42</v>
          </cell>
          <cell r="C9970" t="str">
            <v>ซาติน สายเดี่ยว  Cloundy Sunset S</v>
          </cell>
          <cell r="E9970">
            <v>0</v>
          </cell>
          <cell r="F9970">
            <v>890</v>
          </cell>
        </row>
        <row r="9971">
          <cell r="A9971" t="str">
            <v>SR0042-XL</v>
          </cell>
          <cell r="B9971" t="str">
            <v>R42</v>
          </cell>
          <cell r="C9971" t="str">
            <v>ซาติน สายเดี่ยว  Cloundy Sunset XL</v>
          </cell>
          <cell r="E9971">
            <v>0</v>
          </cell>
          <cell r="F9971">
            <v>890</v>
          </cell>
        </row>
        <row r="9972">
          <cell r="A9972" t="str">
            <v>SR0043-2XL</v>
          </cell>
          <cell r="B9972" t="str">
            <v>R43</v>
          </cell>
          <cell r="C9972" t="str">
            <v>ซาติน สายเดี่ยว ขาสั้น กล้วยไม้ พื้นชมพู 2XL</v>
          </cell>
          <cell r="E9972">
            <v>0</v>
          </cell>
          <cell r="F9972">
            <v>890</v>
          </cell>
        </row>
        <row r="9973">
          <cell r="A9973" t="str">
            <v>SR0043-L</v>
          </cell>
          <cell r="B9973" t="str">
            <v>R43</v>
          </cell>
          <cell r="C9973" t="str">
            <v>ซาติน สายเดี่ยว ขาสั้น กล้วยไม้ พื้นชมพู L</v>
          </cell>
          <cell r="E9973">
            <v>0</v>
          </cell>
          <cell r="F9973">
            <v>890</v>
          </cell>
        </row>
        <row r="9974">
          <cell r="A9974" t="str">
            <v>SR0043-M</v>
          </cell>
          <cell r="B9974" t="str">
            <v>R43</v>
          </cell>
          <cell r="C9974" t="str">
            <v>ซาติน สายเดี่ยว ขาสั้น กล้วยไม้ พื้นชมพู M</v>
          </cell>
          <cell r="E9974">
            <v>0</v>
          </cell>
          <cell r="F9974">
            <v>890</v>
          </cell>
        </row>
        <row r="9975">
          <cell r="A9975" t="str">
            <v>SR0043-XL</v>
          </cell>
          <cell r="B9975" t="str">
            <v>R43</v>
          </cell>
          <cell r="C9975" t="str">
            <v>ซาติน สายเดี่ยว ขาสั้น กล้วยไม้ พื้นชมพู XL</v>
          </cell>
          <cell r="E9975">
            <v>0</v>
          </cell>
          <cell r="F9975">
            <v>890</v>
          </cell>
        </row>
        <row r="9976">
          <cell r="A9976" t="str">
            <v>SR0128-L</v>
          </cell>
          <cell r="B9976" t="str">
            <v>R128</v>
          </cell>
          <cell r="C9976" t="str">
            <v>ซาติน สายเดี่ยวขายาว ผีเสื้อดอกไม้ เขียว L</v>
          </cell>
          <cell r="E9976">
            <v>0</v>
          </cell>
          <cell r="F9976">
            <v>890</v>
          </cell>
        </row>
        <row r="9977">
          <cell r="A9977" t="str">
            <v>SR0128-M</v>
          </cell>
          <cell r="B9977" t="str">
            <v>R128</v>
          </cell>
          <cell r="C9977" t="str">
            <v>ซาติน สายเดี่ยวขายาว ผีเสื้อดอกไม้ พื้นเขียว M</v>
          </cell>
          <cell r="E9977">
            <v>0</v>
          </cell>
          <cell r="F9977">
            <v>890</v>
          </cell>
        </row>
        <row r="9978">
          <cell r="A9978" t="str">
            <v>SR0128-XL</v>
          </cell>
          <cell r="B9978" t="str">
            <v>R128</v>
          </cell>
          <cell r="C9978" t="str">
            <v>ซาติน สายเดี่ยวขายาว ผีเสื้อดอกไม้ เขียว XL</v>
          </cell>
          <cell r="E9978">
            <v>0</v>
          </cell>
          <cell r="F9978">
            <v>890</v>
          </cell>
        </row>
        <row r="9979">
          <cell r="A9979" t="str">
            <v>SR0330-L</v>
          </cell>
          <cell r="B9979" t="str">
            <v>R330</v>
          </cell>
          <cell r="C9979" t="str">
            <v>ซาติน สายเดี่ยวขายา ปีกัสโซ่ L</v>
          </cell>
          <cell r="E9979">
            <v>0</v>
          </cell>
          <cell r="F9979">
            <v>890</v>
          </cell>
        </row>
        <row r="9980">
          <cell r="A9980" t="str">
            <v>SR0330-M</v>
          </cell>
          <cell r="B9980" t="str">
            <v>R330</v>
          </cell>
          <cell r="C9980" t="str">
            <v>ซาติน สายเดี่ยวขายา ปีกัสโซ่ M</v>
          </cell>
          <cell r="E9980">
            <v>0</v>
          </cell>
          <cell r="F9980">
            <v>890</v>
          </cell>
        </row>
        <row r="9981">
          <cell r="A9981" t="str">
            <v>SR0330-XL</v>
          </cell>
          <cell r="B9981" t="str">
            <v>R330</v>
          </cell>
          <cell r="C9981" t="str">
            <v>ซาติน สายเดี่ยวขายาว ปีกัสโซ่ XL</v>
          </cell>
          <cell r="E9981">
            <v>0</v>
          </cell>
          <cell r="F9981">
            <v>890</v>
          </cell>
        </row>
        <row r="9982">
          <cell r="A9982" t="str">
            <v>SR0331-L</v>
          </cell>
          <cell r="B9982" t="str">
            <v>R331</v>
          </cell>
          <cell r="C9982" t="str">
            <v>ซาติน สายเดี่ยวขายาว ผีเสื้อดอกไม้ พื้นชมพู L</v>
          </cell>
          <cell r="E9982">
            <v>0</v>
          </cell>
          <cell r="F9982">
            <v>890</v>
          </cell>
        </row>
        <row r="9983">
          <cell r="A9983" t="str">
            <v>SR0331-M</v>
          </cell>
          <cell r="B9983" t="str">
            <v>R331</v>
          </cell>
          <cell r="C9983" t="str">
            <v>ซาติน สายเดี่ยวขายาว ผีเสื้อดอกไม้ ชมพู M</v>
          </cell>
          <cell r="E9983">
            <v>0</v>
          </cell>
          <cell r="F9983">
            <v>890</v>
          </cell>
        </row>
        <row r="9984">
          <cell r="A9984" t="str">
            <v>SR0332-L</v>
          </cell>
          <cell r="B9984" t="str">
            <v>R332</v>
          </cell>
          <cell r="C9984" t="str">
            <v>ซาติน สายเดี่ยวขาสั้น ผู้หญิงแตงโมแมว L</v>
          </cell>
          <cell r="E9984">
            <v>0</v>
          </cell>
          <cell r="F9984">
            <v>890</v>
          </cell>
        </row>
        <row r="9985">
          <cell r="A9985" t="str">
            <v>SR0332-M</v>
          </cell>
          <cell r="B9985" t="str">
            <v>R332</v>
          </cell>
          <cell r="C9985" t="str">
            <v>ซาติน สายเดี่ยวขาสั้น ผู้หญิงแตงโมแมว M</v>
          </cell>
          <cell r="E9985">
            <v>0</v>
          </cell>
          <cell r="F9985">
            <v>890</v>
          </cell>
        </row>
        <row r="9986">
          <cell r="A9986" t="str">
            <v>SR0333-L</v>
          </cell>
          <cell r="B9986" t="str">
            <v>R333</v>
          </cell>
          <cell r="C9986" t="str">
            <v>ซาติน สายเดี่ยวขายาว ผู้หญิงแตงโมแมว L</v>
          </cell>
          <cell r="E9986">
            <v>0</v>
          </cell>
          <cell r="F9986">
            <v>890</v>
          </cell>
        </row>
        <row r="9987">
          <cell r="A9987" t="str">
            <v>SR0333-M</v>
          </cell>
          <cell r="B9987" t="str">
            <v>R333</v>
          </cell>
          <cell r="C9987" t="str">
            <v>ซาติน สายเดี่ยวขายาว ผู้หญิงแตงโมแมว M</v>
          </cell>
          <cell r="E9987">
            <v>0</v>
          </cell>
          <cell r="F9987">
            <v>890</v>
          </cell>
        </row>
        <row r="9988">
          <cell r="A9988" t="str">
            <v>SR0334-L</v>
          </cell>
          <cell r="B9988" t="str">
            <v>R334</v>
          </cell>
          <cell r="C9988" t="str">
            <v>ซาติน สายเดี่ยว ขาสั้น กำไลเขียว L</v>
          </cell>
          <cell r="E9988">
            <v>0</v>
          </cell>
          <cell r="F9988">
            <v>890</v>
          </cell>
        </row>
        <row r="9989">
          <cell r="A9989" t="str">
            <v>SR0334-M</v>
          </cell>
          <cell r="B9989" t="str">
            <v>R334</v>
          </cell>
          <cell r="C9989" t="str">
            <v>ซาติน สายเดี่ยว ขาสั้น กำไลเขียว M</v>
          </cell>
          <cell r="E9989">
            <v>0</v>
          </cell>
          <cell r="F9989">
            <v>890</v>
          </cell>
        </row>
        <row r="9990">
          <cell r="A9990" t="str">
            <v>SR0334-XL</v>
          </cell>
          <cell r="B9990" t="str">
            <v>R334</v>
          </cell>
          <cell r="C9990" t="str">
            <v>ซาติน สายเดี่ยว ขาสั้น  กำไลเขียว XL</v>
          </cell>
          <cell r="E9990">
            <v>0</v>
          </cell>
          <cell r="F9990">
            <v>890</v>
          </cell>
        </row>
        <row r="9991">
          <cell r="A9991" t="str">
            <v>SR0335-L</v>
          </cell>
          <cell r="B9991" t="str">
            <v>R335</v>
          </cell>
          <cell r="C9991" t="str">
            <v>ซาติน สายเดี่ยว ขายาว นกกระยาง พื้นฟ้า L</v>
          </cell>
          <cell r="E9991">
            <v>0</v>
          </cell>
          <cell r="F9991">
            <v>890</v>
          </cell>
        </row>
        <row r="9992">
          <cell r="A9992" t="str">
            <v>SR0335-M</v>
          </cell>
          <cell r="B9992" t="str">
            <v>R335</v>
          </cell>
          <cell r="C9992" t="str">
            <v>ซาติน สายเดี่ยว ขายาว นกกระยาง พื้นฟ้า M</v>
          </cell>
          <cell r="E9992">
            <v>0</v>
          </cell>
          <cell r="F9992">
            <v>890</v>
          </cell>
        </row>
        <row r="9993">
          <cell r="A9993" t="str">
            <v>SR0335-XL</v>
          </cell>
          <cell r="B9993" t="str">
            <v>R335</v>
          </cell>
          <cell r="C9993" t="str">
            <v>ซาติน สายเดี่ยว ขายาว นกกระยาง พื้นฟ้า XL</v>
          </cell>
          <cell r="E9993">
            <v>0</v>
          </cell>
          <cell r="F9993">
            <v>890</v>
          </cell>
        </row>
        <row r="9994">
          <cell r="A9994" t="str">
            <v>SR0336-L</v>
          </cell>
          <cell r="B9994" t="str">
            <v>R336</v>
          </cell>
          <cell r="C9994" t="str">
            <v>ซาติน สายเดี่ยว ขายาว กำไลเขียว L</v>
          </cell>
          <cell r="E9994">
            <v>0</v>
          </cell>
          <cell r="F9994">
            <v>890</v>
          </cell>
        </row>
        <row r="9995">
          <cell r="A9995" t="str">
            <v>SR0336-M</v>
          </cell>
          <cell r="B9995" t="str">
            <v>R336</v>
          </cell>
          <cell r="C9995" t="str">
            <v>ซาติน สายเดี่ยว ขายาว กำไลเขียว M</v>
          </cell>
          <cell r="E9995">
            <v>0</v>
          </cell>
          <cell r="F9995">
            <v>890</v>
          </cell>
        </row>
        <row r="9996">
          <cell r="A9996" t="str">
            <v>SR0336-XL</v>
          </cell>
          <cell r="B9996" t="str">
            <v>R336</v>
          </cell>
          <cell r="C9996" t="str">
            <v>ซาติน สายเดี่ยว ขายาว กำไลเขียว XL</v>
          </cell>
          <cell r="E9996">
            <v>0</v>
          </cell>
          <cell r="F9996">
            <v>890</v>
          </cell>
        </row>
        <row r="9997">
          <cell r="A9997" t="str">
            <v>SR0339-F</v>
          </cell>
          <cell r="B9997" t="str">
            <v>R339</v>
          </cell>
          <cell r="C9997" t="str">
            <v>ซาติน เดรส สายเดี่ยว White Maid Black Bow F</v>
          </cell>
          <cell r="E9997">
            <v>0</v>
          </cell>
          <cell r="F9997">
            <v>890</v>
          </cell>
        </row>
        <row r="9998">
          <cell r="A9998" t="str">
            <v>SR0340-F</v>
          </cell>
          <cell r="B9998" t="str">
            <v>R340</v>
          </cell>
          <cell r="C9998" t="str">
            <v>ซาติน เดรส สายเดี่ยว Pink Maid White Bow F</v>
          </cell>
          <cell r="E9998">
            <v>0</v>
          </cell>
          <cell r="F9998">
            <v>890</v>
          </cell>
        </row>
        <row r="9999">
          <cell r="A9999" t="str">
            <v>SR0341-L</v>
          </cell>
          <cell r="B9999" t="str">
            <v>R341</v>
          </cell>
          <cell r="C9999" t="str">
            <v>ซาติน เดรส สายเดี่ยว ขายาว สวยดอกไม้ พื้นเขียว L</v>
          </cell>
          <cell r="E9999">
            <v>0</v>
          </cell>
          <cell r="F9999">
            <v>890</v>
          </cell>
        </row>
        <row r="10000">
          <cell r="A10000" t="str">
            <v>SR0341-XL</v>
          </cell>
          <cell r="B10000" t="str">
            <v>R341</v>
          </cell>
          <cell r="C10000" t="str">
            <v>ซาติน เดรส สายเดี่ยว ขายาว สวยดอกไม้ พื้นเขียว XL</v>
          </cell>
          <cell r="E10000">
            <v>0</v>
          </cell>
          <cell r="F10000">
            <v>890</v>
          </cell>
        </row>
        <row r="10001">
          <cell r="A10001" t="str">
            <v>SR0342-L</v>
          </cell>
          <cell r="B10001" t="str">
            <v>R342</v>
          </cell>
          <cell r="C10001" t="str">
            <v>ซาติน เดรส สายเดี่ยว ขาสั้น Paris กางเกงฟ้า L</v>
          </cell>
          <cell r="E10001">
            <v>0</v>
          </cell>
          <cell r="F10001">
            <v>590</v>
          </cell>
        </row>
        <row r="10002">
          <cell r="A10002" t="str">
            <v>SR0342-M</v>
          </cell>
          <cell r="B10002" t="str">
            <v>R342</v>
          </cell>
          <cell r="C10002" t="str">
            <v>ซาติน เดรส สายเดี่ยว ขาสั้น Paris กางเกงฟ้า M</v>
          </cell>
          <cell r="E10002">
            <v>0</v>
          </cell>
          <cell r="F10002">
            <v>790</v>
          </cell>
        </row>
        <row r="10003">
          <cell r="A10003" t="str">
            <v>SR0342-XL</v>
          </cell>
          <cell r="B10003" t="str">
            <v>R342</v>
          </cell>
          <cell r="C10003" t="str">
            <v>ซาติน เดรส สายเดี่ยว ขาสั้น Paris กางเกงฟ้า XL</v>
          </cell>
          <cell r="E10003">
            <v>0</v>
          </cell>
          <cell r="F10003">
            <v>790</v>
          </cell>
        </row>
        <row r="10004">
          <cell r="A10004" t="str">
            <v>SR0343-L</v>
          </cell>
          <cell r="B10004" t="str">
            <v>R343</v>
          </cell>
          <cell r="C10004" t="str">
            <v>ซาติน เดรส สายเดี่ยว ขาสั้น ผีเสิ้อ ชมพู L</v>
          </cell>
          <cell r="E10004">
            <v>0</v>
          </cell>
          <cell r="F10004">
            <v>890</v>
          </cell>
        </row>
        <row r="10005">
          <cell r="A10005" t="str">
            <v>SR0344-L</v>
          </cell>
          <cell r="B10005" t="str">
            <v>R344</v>
          </cell>
          <cell r="C10005" t="str">
            <v>ซาติน เดรส สายเดี่ยว ขาสั้น ผีเสิ้อ ฟ้า L</v>
          </cell>
          <cell r="E10005">
            <v>0</v>
          </cell>
          <cell r="F10005">
            <v>890</v>
          </cell>
        </row>
        <row r="10006">
          <cell r="A10006" t="str">
            <v>SR1070-2XL</v>
          </cell>
          <cell r="B10006" t="str">
            <v>R1070</v>
          </cell>
          <cell r="C10006" t="str">
            <v>ซาติน เดรส สายเดี่ยว ขายาว กางเกงกราฟฟิคดอกไม้ส้ม 2XL</v>
          </cell>
          <cell r="E10006">
            <v>0</v>
          </cell>
          <cell r="F10006">
            <v>890</v>
          </cell>
        </row>
        <row r="10007">
          <cell r="A10007" t="str">
            <v>SR1070-L</v>
          </cell>
          <cell r="B10007" t="str">
            <v>R1070</v>
          </cell>
          <cell r="C10007" t="str">
            <v>ซาติน เดรส สายเดี่ยว ขายาว กางเกงกราฟฟิคดอกไม้ส้ม L</v>
          </cell>
          <cell r="E10007">
            <v>0</v>
          </cell>
          <cell r="F10007">
            <v>890</v>
          </cell>
        </row>
        <row r="10008">
          <cell r="A10008" t="str">
            <v>SR1070-M</v>
          </cell>
          <cell r="B10008" t="str">
            <v>R1070</v>
          </cell>
          <cell r="C10008" t="str">
            <v>ซาติน เดรส สายเดี่ยว ขายาว กางเกงกราฟฟิคดอกไม้ส้ม M</v>
          </cell>
          <cell r="E10008">
            <v>0</v>
          </cell>
          <cell r="F10008">
            <v>890</v>
          </cell>
        </row>
        <row r="10009">
          <cell r="A10009" t="str">
            <v>SR1070-XL</v>
          </cell>
          <cell r="B10009" t="str">
            <v>R1070</v>
          </cell>
          <cell r="C10009" t="str">
            <v>ซาติน เดรส สายเดี่ยว ขายาว กางเกงกราฟฟิคดอกไม้ส้ม XL</v>
          </cell>
          <cell r="E10009">
            <v>0</v>
          </cell>
          <cell r="F10009">
            <v>890</v>
          </cell>
        </row>
        <row r="10010">
          <cell r="A10010" t="str">
            <v>SR1071-2XL</v>
          </cell>
          <cell r="B10010" t="str">
            <v>R1071</v>
          </cell>
          <cell r="C10010" t="str">
            <v>ซาติน เดรส สายเดี่ยว ขายาว ระบายสีพาสเทล 2XL</v>
          </cell>
          <cell r="E10010">
            <v>0</v>
          </cell>
          <cell r="F10010">
            <v>890</v>
          </cell>
        </row>
        <row r="10011">
          <cell r="A10011" t="str">
            <v>SR1071-K</v>
          </cell>
          <cell r="B10011" t="str">
            <v>R1071</v>
          </cell>
          <cell r="C10011" t="str">
            <v>ซาติน เดรส สายเดี่ยว ขายาว ระบายสีพาสเทล M</v>
          </cell>
          <cell r="E10011">
            <v>0</v>
          </cell>
          <cell r="F10011">
            <v>890</v>
          </cell>
        </row>
        <row r="10012">
          <cell r="A10012" t="str">
            <v>SR1071-L</v>
          </cell>
          <cell r="B10012" t="str">
            <v>R1071</v>
          </cell>
          <cell r="C10012" t="str">
            <v>ซาติน เดรส สายเดี่ยว ขายาว ระบายสีพาสเทล L</v>
          </cell>
          <cell r="E10012">
            <v>0</v>
          </cell>
          <cell r="F10012">
            <v>590</v>
          </cell>
        </row>
        <row r="10013">
          <cell r="A10013" t="str">
            <v>SR1071-XL</v>
          </cell>
          <cell r="B10013" t="str">
            <v>R1071</v>
          </cell>
          <cell r="C10013" t="str">
            <v>ซาติน เดรส สายเดี่ยว ขายาว ระบายสีพาสเทล XL</v>
          </cell>
          <cell r="E10013">
            <v>0</v>
          </cell>
          <cell r="F10013">
            <v>890</v>
          </cell>
        </row>
        <row r="10014">
          <cell r="A10014" t="str">
            <v>SR1072-2XL</v>
          </cell>
          <cell r="B10014" t="str">
            <v>R1072</v>
          </cell>
          <cell r="C10014" t="str">
            <v>ซาติน เดรส สายเดี่ยว ขายาว ลายผ้าไทย 2XL</v>
          </cell>
          <cell r="E10014">
            <v>0</v>
          </cell>
          <cell r="F10014">
            <v>890</v>
          </cell>
        </row>
        <row r="10015">
          <cell r="A10015" t="str">
            <v>SR1072-L</v>
          </cell>
          <cell r="B10015" t="str">
            <v>R1072</v>
          </cell>
          <cell r="C10015" t="str">
            <v>ซาติน เดรส สายเดี่ยว ขายาว ลายผ้าไทย L</v>
          </cell>
          <cell r="E10015">
            <v>0</v>
          </cell>
          <cell r="F10015">
            <v>890</v>
          </cell>
        </row>
        <row r="10016">
          <cell r="A10016" t="str">
            <v>SR1072-M</v>
          </cell>
          <cell r="B10016" t="str">
            <v>R1072</v>
          </cell>
          <cell r="C10016" t="str">
            <v>ซาติน เดรส สายเดี่ยว ขายาว ลายผ้าไทย M</v>
          </cell>
          <cell r="E10016">
            <v>0</v>
          </cell>
          <cell r="F10016">
            <v>890</v>
          </cell>
        </row>
        <row r="10017">
          <cell r="A10017" t="str">
            <v>SR1072-XL</v>
          </cell>
          <cell r="B10017" t="str">
            <v>R1072</v>
          </cell>
          <cell r="C10017" t="str">
            <v>ซาติน เดรส สายเดี่ยว ขายาว ลายผ้าไทย XL</v>
          </cell>
          <cell r="E10017">
            <v>0</v>
          </cell>
          <cell r="F10017">
            <v>890</v>
          </cell>
        </row>
        <row r="10018">
          <cell r="A10018" t="str">
            <v>SR1073-2XL</v>
          </cell>
          <cell r="B10018" t="str">
            <v>R1073</v>
          </cell>
          <cell r="C10018" t="str">
            <v>ซาติน เดรส สายเดี่ยว ขายาว ต้นไม้ซากุระสีฟ้า 2XL</v>
          </cell>
          <cell r="E10018">
            <v>0</v>
          </cell>
          <cell r="F10018">
            <v>890</v>
          </cell>
        </row>
        <row r="10019">
          <cell r="A10019" t="str">
            <v>SR1073-L</v>
          </cell>
          <cell r="B10019" t="str">
            <v>R1073</v>
          </cell>
          <cell r="C10019" t="str">
            <v>ซาติน เดรส สายเดี่ยว ขายาว ต้นไม้ซากุระสีฟ้า L</v>
          </cell>
          <cell r="E10019">
            <v>0</v>
          </cell>
          <cell r="F10019">
            <v>590</v>
          </cell>
        </row>
        <row r="10020">
          <cell r="A10020" t="str">
            <v>SR1073-M</v>
          </cell>
          <cell r="B10020" t="str">
            <v>R1073</v>
          </cell>
          <cell r="C10020" t="str">
            <v>ซาติน เดรส สายเดี่ยว ขายาว ต้นไม้ซากุระสีฟ้า M</v>
          </cell>
          <cell r="E10020">
            <v>0</v>
          </cell>
          <cell r="F10020">
            <v>890</v>
          </cell>
        </row>
        <row r="10021">
          <cell r="A10021" t="str">
            <v>SR1073-XL</v>
          </cell>
          <cell r="B10021" t="str">
            <v>R1073</v>
          </cell>
          <cell r="C10021" t="str">
            <v>ซาติน เดรส สายเดี่ยว ขายาว ต้นไม้ซากุระสีฟ้า XL</v>
          </cell>
          <cell r="E10021">
            <v>0</v>
          </cell>
          <cell r="F10021">
            <v>890</v>
          </cell>
        </row>
        <row r="10022">
          <cell r="A10022" t="str">
            <v>SR1074-2XL</v>
          </cell>
          <cell r="B10022" t="str">
            <v>R1074</v>
          </cell>
          <cell r="C10022" t="str">
            <v>ซาติน เดรส สายเดี่ยว ขายาว ต้นไม้ซากุระสีชมพู 2XL</v>
          </cell>
          <cell r="E10022">
            <v>0</v>
          </cell>
          <cell r="F10022">
            <v>890</v>
          </cell>
        </row>
        <row r="10023">
          <cell r="A10023" t="str">
            <v>SR1074-L</v>
          </cell>
          <cell r="B10023" t="str">
            <v>R1074</v>
          </cell>
          <cell r="C10023" t="str">
            <v>ซาติน เดรส สายเดี่ยว ขายาว ต้นไม้ซากุระสีชมพู L</v>
          </cell>
          <cell r="E10023">
            <v>0</v>
          </cell>
          <cell r="F10023">
            <v>890</v>
          </cell>
        </row>
        <row r="10024">
          <cell r="A10024" t="str">
            <v>SR1074-M</v>
          </cell>
          <cell r="B10024" t="str">
            <v>R1074</v>
          </cell>
          <cell r="C10024" t="str">
            <v>ซาติน เดรส สายเดี่ยว ขายาว ต้นไม้ซากุระสีชมพู M</v>
          </cell>
          <cell r="E10024">
            <v>0</v>
          </cell>
          <cell r="F10024">
            <v>890</v>
          </cell>
        </row>
        <row r="10025">
          <cell r="A10025" t="str">
            <v>SR1074-XL</v>
          </cell>
          <cell r="B10025" t="str">
            <v>R1074</v>
          </cell>
          <cell r="C10025" t="str">
            <v>ซาติน เดรส สายเดี่ยว ขายาว ต้นไม้ซากุระสีชมพู XL</v>
          </cell>
          <cell r="E10025">
            <v>0</v>
          </cell>
          <cell r="F10025">
            <v>890</v>
          </cell>
        </row>
        <row r="10026">
          <cell r="A10026" t="str">
            <v>SR1075-2XL</v>
          </cell>
          <cell r="B10026" t="str">
            <v>R1075</v>
          </cell>
          <cell r="C10026" t="str">
            <v>ซาติน เดรส สายเดี่ยว ขายาว โอโรส กางเกง pink rose 2XL</v>
          </cell>
          <cell r="E10026">
            <v>0</v>
          </cell>
          <cell r="F10026">
            <v>890</v>
          </cell>
        </row>
        <row r="10027">
          <cell r="A10027" t="str">
            <v>SR1075-L</v>
          </cell>
          <cell r="B10027" t="str">
            <v>R1075</v>
          </cell>
          <cell r="C10027" t="str">
            <v>ซาติน เดรส สายเดี่ยว ขายาว โอโรส กางเกง pink rose L</v>
          </cell>
          <cell r="E10027">
            <v>0</v>
          </cell>
          <cell r="F10027">
            <v>890</v>
          </cell>
        </row>
        <row r="10028">
          <cell r="A10028" t="str">
            <v>SR1075-M</v>
          </cell>
          <cell r="B10028" t="str">
            <v>R1075</v>
          </cell>
          <cell r="C10028" t="str">
            <v>ซาติน เดรส สายเดี่ยว ขายาว โอโรส กางเกง pink rose M</v>
          </cell>
          <cell r="E10028">
            <v>0</v>
          </cell>
          <cell r="F10028">
            <v>890</v>
          </cell>
        </row>
        <row r="10029">
          <cell r="A10029" t="str">
            <v>SR1075-XL</v>
          </cell>
          <cell r="B10029" t="str">
            <v>R1075</v>
          </cell>
          <cell r="C10029" t="str">
            <v>ซาติน เดรส สายเดี่ยว ขายาว โอโรส กางเกง pink rose XL</v>
          </cell>
          <cell r="E10029">
            <v>0</v>
          </cell>
          <cell r="F10029">
            <v>890</v>
          </cell>
        </row>
        <row r="10030">
          <cell r="A10030" t="str">
            <v>SR1076-2XL</v>
          </cell>
          <cell r="B10030" t="str">
            <v>R1076</v>
          </cell>
          <cell r="C10030" t="str">
            <v>ซาติน เดรส สายเดี่ยว ขายาว เขียวาสเทลทุ่งลาเวนเดอร์ 2XL</v>
          </cell>
          <cell r="E10030">
            <v>0</v>
          </cell>
          <cell r="F10030">
            <v>890</v>
          </cell>
        </row>
        <row r="10031">
          <cell r="A10031" t="str">
            <v>SR1076-L</v>
          </cell>
          <cell r="B10031" t="str">
            <v>R1076</v>
          </cell>
          <cell r="C10031" t="str">
            <v>ซาติน เดรส สายเดี่ยว ขายาว เขียวาสเทลทุ่งลาเวนเดอร์ L</v>
          </cell>
          <cell r="E10031">
            <v>0</v>
          </cell>
          <cell r="F10031">
            <v>890</v>
          </cell>
        </row>
        <row r="10032">
          <cell r="A10032" t="str">
            <v>SR1076-M</v>
          </cell>
          <cell r="B10032" t="str">
            <v>R1076</v>
          </cell>
          <cell r="C10032" t="str">
            <v>ซาติน เดรส สายเดี่ยว ขายาว เขียวาสเทลทุ่งลาเวนเดอร์ M</v>
          </cell>
          <cell r="E10032">
            <v>0</v>
          </cell>
          <cell r="F10032">
            <v>890</v>
          </cell>
        </row>
        <row r="10033">
          <cell r="A10033" t="str">
            <v>SR1076-XL</v>
          </cell>
          <cell r="B10033" t="str">
            <v>R1076</v>
          </cell>
          <cell r="C10033" t="str">
            <v>ซาติน เดรส สายเดี่ยว ขายาว เขียวาสเทลทุ่งลาเวนเดอร์ XL</v>
          </cell>
          <cell r="E10033">
            <v>0</v>
          </cell>
          <cell r="F10033">
            <v>890</v>
          </cell>
        </row>
        <row r="10034">
          <cell r="A10034" t="str">
            <v>SR1101-2XL</v>
          </cell>
          <cell r="B10034" t="str">
            <v>R1101</v>
          </cell>
          <cell r="C10034" t="str">
            <v>ซาติน เดรส สายเดี่ยว ขายาว ดอกไม้หลากสี พื้นครีม 2XL</v>
          </cell>
          <cell r="E10034">
            <v>0</v>
          </cell>
          <cell r="F10034">
            <v>890</v>
          </cell>
        </row>
        <row r="10035">
          <cell r="A10035" t="str">
            <v>SR1101-L</v>
          </cell>
          <cell r="B10035" t="str">
            <v>R1101</v>
          </cell>
          <cell r="C10035" t="str">
            <v>ซาติน เดรส สายเดี่ยว ขายาว ดอกไม้หลากสี พื้นครีม L</v>
          </cell>
          <cell r="E10035">
            <v>0</v>
          </cell>
          <cell r="F10035">
            <v>890</v>
          </cell>
        </row>
        <row r="10036">
          <cell r="A10036" t="str">
            <v>SR1101-M</v>
          </cell>
          <cell r="B10036" t="str">
            <v>R1101</v>
          </cell>
          <cell r="C10036" t="str">
            <v>ซาติน เดรส สายเดี่ยว ขายาว ดอกไม้หลากสี พื้นครีม M</v>
          </cell>
          <cell r="E10036">
            <v>0</v>
          </cell>
          <cell r="F10036">
            <v>890</v>
          </cell>
        </row>
        <row r="10037">
          <cell r="A10037" t="str">
            <v>SR1101-XL</v>
          </cell>
          <cell r="B10037" t="str">
            <v>R1101</v>
          </cell>
          <cell r="C10037" t="str">
            <v>ซาติน เดรส สายเดี่ยว ขายาว ดอกไม้หลากสี พื้นครีม XL</v>
          </cell>
          <cell r="E10037">
            <v>0</v>
          </cell>
          <cell r="F10037">
            <v>890</v>
          </cell>
        </row>
        <row r="10038">
          <cell r="A10038" t="str">
            <v>SR1123-2XL</v>
          </cell>
          <cell r="B10038" t="str">
            <v>R1123</v>
          </cell>
          <cell r="C10038" t="str">
            <v>ซาติน เดรส สายเดี่ยว ขายาว ดอกไม้หลากสี พื้นชมพู 2XL</v>
          </cell>
          <cell r="E10038">
            <v>0</v>
          </cell>
          <cell r="F10038">
            <v>890</v>
          </cell>
        </row>
        <row r="10039">
          <cell r="A10039" t="str">
            <v>SR1123-L</v>
          </cell>
          <cell r="B10039" t="str">
            <v>QR1123</v>
          </cell>
          <cell r="C10039" t="str">
            <v>ซาติน เดรส สายเดี่ยว ขายาว ดอกไม้หลากสี พื้นชมพู L QC</v>
          </cell>
          <cell r="E10039">
            <v>0</v>
          </cell>
          <cell r="F10039">
            <v>890</v>
          </cell>
        </row>
        <row r="10040">
          <cell r="A10040" t="str">
            <v>SR1123-M</v>
          </cell>
          <cell r="B10040" t="str">
            <v>QR1123</v>
          </cell>
          <cell r="C10040" t="str">
            <v>ซาติน เดรส สายเดี่ยว ขายาว ดอกไม้หลากสี พื้นชมพู M QC</v>
          </cell>
          <cell r="E10040">
            <v>0</v>
          </cell>
          <cell r="F10040">
            <v>890</v>
          </cell>
        </row>
        <row r="10041">
          <cell r="A10041" t="str">
            <v>SR1123-XL</v>
          </cell>
          <cell r="B10041" t="str">
            <v>R1123</v>
          </cell>
          <cell r="C10041" t="str">
            <v>ซาติน เดรส สายเดี่ยว ขายาว ดอกไม้หลากสี พื้นชมพู XL</v>
          </cell>
          <cell r="E10041">
            <v>0</v>
          </cell>
          <cell r="F10041">
            <v>890</v>
          </cell>
        </row>
        <row r="10042">
          <cell r="A10042" t="str">
            <v>SR1171-2XL</v>
          </cell>
          <cell r="B10042" t="str">
            <v>R1171</v>
          </cell>
          <cell r="C10042" t="str">
            <v>ซาติน สายเดี่ยวขาสั้น ใบไม้ขาว พื้นเทา 2XL</v>
          </cell>
          <cell r="E10042">
            <v>0</v>
          </cell>
          <cell r="F10042">
            <v>790</v>
          </cell>
        </row>
        <row r="10043">
          <cell r="A10043" t="str">
            <v>SR1171-L</v>
          </cell>
          <cell r="B10043" t="str">
            <v>R1171</v>
          </cell>
          <cell r="C10043" t="str">
            <v>ซาติน สายเดี่ยวขาสั้น ใบไม้ขาว พื้นเทา L</v>
          </cell>
          <cell r="E10043">
            <v>0</v>
          </cell>
          <cell r="F10043">
            <v>890</v>
          </cell>
        </row>
        <row r="10044">
          <cell r="A10044" t="str">
            <v>SR1171-M</v>
          </cell>
          <cell r="B10044" t="str">
            <v>R1171</v>
          </cell>
          <cell r="C10044" t="str">
            <v>ซาติน สายเดี่ยวขาสั้น ใบไม้ขาว พื้นเทา M</v>
          </cell>
          <cell r="E10044">
            <v>0</v>
          </cell>
          <cell r="F10044">
            <v>890</v>
          </cell>
        </row>
        <row r="10045">
          <cell r="A10045" t="str">
            <v>SR1171-XL</v>
          </cell>
          <cell r="B10045" t="str">
            <v>R1171</v>
          </cell>
          <cell r="C10045" t="str">
            <v>ซาติน สายเดี่ยวขาสั้น ใบไม้ขาว พื้นเทา XL</v>
          </cell>
          <cell r="E10045">
            <v>0</v>
          </cell>
          <cell r="F10045">
            <v>790</v>
          </cell>
        </row>
        <row r="10046">
          <cell r="A10046" t="str">
            <v>SR1172-2XL</v>
          </cell>
          <cell r="B10046" t="str">
            <v>R1172</v>
          </cell>
          <cell r="C10046" t="str">
            <v>ซาติน สายเดี่ยวขายาว ใบไม้ขาว พื้นเทา 2XL</v>
          </cell>
          <cell r="E10046">
            <v>0</v>
          </cell>
          <cell r="F10046">
            <v>890</v>
          </cell>
        </row>
        <row r="10047">
          <cell r="A10047" t="str">
            <v>SR1172-L</v>
          </cell>
          <cell r="B10047" t="str">
            <v>R1172</v>
          </cell>
          <cell r="C10047" t="str">
            <v>ซาติน สายเดี่ยวขายาว ใบไม้ขาว พื้นเทา L</v>
          </cell>
          <cell r="E10047">
            <v>0</v>
          </cell>
          <cell r="F10047">
            <v>890</v>
          </cell>
        </row>
        <row r="10048">
          <cell r="A10048" t="str">
            <v>SR1172-M</v>
          </cell>
          <cell r="B10048" t="str">
            <v>R1172</v>
          </cell>
          <cell r="C10048" t="str">
            <v>ซาติน สายเดี่ยวขายาว ใบไม้ขาว พื้นเทา M</v>
          </cell>
          <cell r="E10048">
            <v>0</v>
          </cell>
          <cell r="F10048">
            <v>890</v>
          </cell>
        </row>
        <row r="10049">
          <cell r="A10049" t="str">
            <v>SR1172-XL</v>
          </cell>
          <cell r="B10049" t="str">
            <v>R1172</v>
          </cell>
          <cell r="C10049" t="str">
            <v>ซาติน สายเดี่ยวขายาว ใบไม้ขาว พื้นเทา XL</v>
          </cell>
          <cell r="E10049">
            <v>0</v>
          </cell>
          <cell r="F10049">
            <v>890</v>
          </cell>
        </row>
        <row r="10050">
          <cell r="A10050" t="str">
            <v>SR1173-2XL</v>
          </cell>
          <cell r="B10050" t="str">
            <v>R1173</v>
          </cell>
          <cell r="C10050" t="str">
            <v>ซาติน สายเดี่ยวขายาว ทิวลิปชมพู พื้นม่วง 2XL</v>
          </cell>
          <cell r="E10050">
            <v>0</v>
          </cell>
          <cell r="F10050">
            <v>890</v>
          </cell>
        </row>
        <row r="10051">
          <cell r="A10051" t="str">
            <v>SR1173-L</v>
          </cell>
          <cell r="B10051" t="str">
            <v>R1173</v>
          </cell>
          <cell r="C10051" t="str">
            <v>ซาติน สายเดี่ยวขายาว ทิวลิปชมพู พื้นม่วง L</v>
          </cell>
          <cell r="E10051">
            <v>0</v>
          </cell>
          <cell r="F10051">
            <v>890</v>
          </cell>
        </row>
        <row r="10052">
          <cell r="A10052" t="str">
            <v>SR1173-M</v>
          </cell>
          <cell r="B10052" t="str">
            <v>R1173</v>
          </cell>
          <cell r="C10052" t="str">
            <v>ซาติน สายเดี่ยวขายาว ทิวลิปชมพู พื้นม่วง M</v>
          </cell>
          <cell r="E10052">
            <v>0</v>
          </cell>
          <cell r="F10052">
            <v>890</v>
          </cell>
        </row>
        <row r="10053">
          <cell r="A10053" t="str">
            <v>SR1173-XL</v>
          </cell>
          <cell r="B10053" t="str">
            <v>R1173</v>
          </cell>
          <cell r="C10053" t="str">
            <v>ซาติน สายเดี่ยวขายาว ทิวลิปชมพู พื้นม่วง XL</v>
          </cell>
          <cell r="E10053">
            <v>0</v>
          </cell>
          <cell r="F10053">
            <v>890</v>
          </cell>
        </row>
        <row r="10054">
          <cell r="A10054" t="str">
            <v>SR1174-2XL</v>
          </cell>
          <cell r="B10054" t="str">
            <v>R1174</v>
          </cell>
          <cell r="C10054" t="str">
            <v>ซาติน สายเดี่ยวขายาว Flower Two Tone Green White 2XL</v>
          </cell>
          <cell r="E10054">
            <v>0</v>
          </cell>
          <cell r="F10054">
            <v>890</v>
          </cell>
        </row>
        <row r="10055">
          <cell r="A10055" t="str">
            <v>SR1174-L</v>
          </cell>
          <cell r="B10055" t="str">
            <v>QR1174</v>
          </cell>
          <cell r="C10055" t="str">
            <v>ซาติน สายเดี่ยวขายาว Flower Two Tone Green White L QC</v>
          </cell>
          <cell r="E10055">
            <v>0</v>
          </cell>
          <cell r="F10055">
            <v>890</v>
          </cell>
        </row>
        <row r="10056">
          <cell r="A10056" t="str">
            <v>SR1174-M</v>
          </cell>
          <cell r="B10056" t="str">
            <v>QR1174</v>
          </cell>
          <cell r="C10056" t="str">
            <v>ซาติน สายเดี่ยวขายาว Flower Two Tone Green White M QC</v>
          </cell>
          <cell r="E10056">
            <v>0</v>
          </cell>
          <cell r="F10056">
            <v>890</v>
          </cell>
        </row>
        <row r="10057">
          <cell r="A10057" t="str">
            <v>SR1174-XL</v>
          </cell>
          <cell r="B10057" t="str">
            <v>R1174</v>
          </cell>
          <cell r="C10057" t="str">
            <v>ซาติน สายเดี่ยวขายาว Flower Two Tone Green White XL</v>
          </cell>
          <cell r="E10057">
            <v>0</v>
          </cell>
          <cell r="F10057">
            <v>890</v>
          </cell>
        </row>
        <row r="10058">
          <cell r="A10058" t="str">
            <v>SR1181-2XL</v>
          </cell>
          <cell r="B10058" t="str">
            <v>R1181</v>
          </cell>
          <cell r="C10058" t="str">
            <v>ซาติน สายเดี่ยว กางเกง ดอกสีน้ำ พื้นเขียว 2XL</v>
          </cell>
          <cell r="E10058">
            <v>0</v>
          </cell>
          <cell r="F10058">
            <v>790</v>
          </cell>
        </row>
        <row r="10059">
          <cell r="A10059" t="str">
            <v>SR1181-L</v>
          </cell>
          <cell r="B10059" t="str">
            <v>R1181</v>
          </cell>
          <cell r="C10059" t="str">
            <v>ซาติน สายเดี่ยว กางเกง ดอกสีน้ำ พื้นเขียว L</v>
          </cell>
          <cell r="E10059">
            <v>0</v>
          </cell>
          <cell r="F10059">
            <v>790</v>
          </cell>
        </row>
        <row r="10060">
          <cell r="A10060" t="str">
            <v>SR1181-M</v>
          </cell>
          <cell r="B10060" t="str">
            <v>R1181</v>
          </cell>
          <cell r="C10060" t="str">
            <v>ซาติน สายเดี่ยว กางเกง ดอกสีน้ำ พื้นเขียว M</v>
          </cell>
          <cell r="E10060">
            <v>0</v>
          </cell>
          <cell r="F10060">
            <v>790</v>
          </cell>
        </row>
        <row r="10061">
          <cell r="A10061" t="str">
            <v>SR1181-XL</v>
          </cell>
          <cell r="B10061" t="str">
            <v>R1181</v>
          </cell>
          <cell r="C10061" t="str">
            <v>ซาติน สายเดี่ยว กางเกง ดอกสีน้ำ พื้นเขียว XL</v>
          </cell>
          <cell r="E10061">
            <v>0</v>
          </cell>
          <cell r="F10061">
            <v>790</v>
          </cell>
        </row>
        <row r="10062">
          <cell r="A10062" t="str">
            <v>SR1185-2XL</v>
          </cell>
          <cell r="B10062" t="str">
            <v>R1185</v>
          </cell>
          <cell r="C10062" t="str">
            <v>ซาติน สายเดี่ยว ขาสั้น ลูกไม้ขาว 2XL</v>
          </cell>
          <cell r="E10062">
            <v>0</v>
          </cell>
          <cell r="F10062">
            <v>790</v>
          </cell>
        </row>
        <row r="10063">
          <cell r="A10063" t="str">
            <v>SR1185-L</v>
          </cell>
          <cell r="B10063" t="str">
            <v>R1185</v>
          </cell>
          <cell r="C10063" t="str">
            <v>ซาติน สายเดี่ยว ขาสั้น ลูกไม้ขาว L</v>
          </cell>
          <cell r="E10063">
            <v>0</v>
          </cell>
          <cell r="F10063">
            <v>790</v>
          </cell>
        </row>
        <row r="10064">
          <cell r="A10064" t="str">
            <v>SR1185-M</v>
          </cell>
          <cell r="B10064" t="str">
            <v>QR1185</v>
          </cell>
          <cell r="C10064" t="str">
            <v>ซาติน สายเดี่ยว ขาสั้น ลูกไม้ขาว M QC</v>
          </cell>
          <cell r="E10064">
            <v>0</v>
          </cell>
          <cell r="F10064">
            <v>790</v>
          </cell>
        </row>
        <row r="10065">
          <cell r="A10065" t="str">
            <v>SR1185-XL</v>
          </cell>
          <cell r="B10065" t="str">
            <v>QR1185</v>
          </cell>
          <cell r="C10065" t="str">
            <v>ซาติน สายเดี่ยว ขาสั้น ลูกไม้ขาว XL QC</v>
          </cell>
          <cell r="E10065">
            <v>0</v>
          </cell>
          <cell r="F10065">
            <v>790</v>
          </cell>
        </row>
        <row r="10066">
          <cell r="A10066" t="str">
            <v>SR1187-2XL</v>
          </cell>
          <cell r="B10066" t="str">
            <v>R1187</v>
          </cell>
          <cell r="C10066" t="str">
            <v>ซาติน สายเดี่ยว ขายาว ลูกไม้ขาว 2XL</v>
          </cell>
          <cell r="E10066">
            <v>0</v>
          </cell>
          <cell r="F10066">
            <v>890</v>
          </cell>
        </row>
        <row r="10067">
          <cell r="A10067" t="str">
            <v>SR1187-L</v>
          </cell>
          <cell r="B10067" t="str">
            <v>R1187</v>
          </cell>
          <cell r="C10067" t="str">
            <v>ซาติน สายเดี่ยว ขายาว ลูกไม้ขาว L</v>
          </cell>
          <cell r="E10067">
            <v>0</v>
          </cell>
          <cell r="F10067">
            <v>890</v>
          </cell>
        </row>
        <row r="10068">
          <cell r="A10068" t="str">
            <v>SR1187-M</v>
          </cell>
          <cell r="B10068" t="str">
            <v>R1187</v>
          </cell>
          <cell r="C10068" t="str">
            <v>ซาติน สายเดี่ยว ขายาว ลูกไม้ขาว M</v>
          </cell>
          <cell r="E10068">
            <v>0</v>
          </cell>
          <cell r="F10068">
            <v>890</v>
          </cell>
        </row>
        <row r="10069">
          <cell r="A10069" t="str">
            <v>SR1187-XL</v>
          </cell>
          <cell r="B10069" t="str">
            <v>R1187</v>
          </cell>
          <cell r="C10069" t="str">
            <v>ซาติน สายเดี่ยว ขายาว ลูกไม้ขาว XL</v>
          </cell>
          <cell r="E10069">
            <v>0</v>
          </cell>
          <cell r="F10069">
            <v>890</v>
          </cell>
        </row>
        <row r="10070">
          <cell r="A10070" t="str">
            <v>ST0001-2XL</v>
          </cell>
          <cell r="B10070" t="str">
            <v>T1</v>
          </cell>
          <cell r="C10070" t="str">
            <v>ซาติน แขนสั้นขายาว ผีเสื้อ 2XL</v>
          </cell>
          <cell r="E10070">
            <v>0</v>
          </cell>
          <cell r="F10070">
            <v>890</v>
          </cell>
        </row>
        <row r="10071">
          <cell r="A10071" t="str">
            <v>ST0001-L</v>
          </cell>
          <cell r="B10071" t="str">
            <v>T1</v>
          </cell>
          <cell r="C10071" t="str">
            <v>ซาติน แขนสั้นขายาว ผีเสื้อ L</v>
          </cell>
          <cell r="E10071">
            <v>0</v>
          </cell>
          <cell r="F10071">
            <v>890</v>
          </cell>
        </row>
        <row r="10072">
          <cell r="A10072" t="str">
            <v>ST0001-M</v>
          </cell>
          <cell r="B10072" t="str">
            <v>T1</v>
          </cell>
          <cell r="C10072" t="str">
            <v>ซาติน แขนสั้นขายาว ผีเสื้อ M</v>
          </cell>
          <cell r="E10072">
            <v>0</v>
          </cell>
          <cell r="F10072">
            <v>890</v>
          </cell>
        </row>
        <row r="10073">
          <cell r="A10073" t="str">
            <v>ST0001-XL</v>
          </cell>
          <cell r="B10073" t="str">
            <v>T1</v>
          </cell>
          <cell r="C10073" t="str">
            <v>ซาติน แขนสั้นขายาว ผีเสื้อ XL</v>
          </cell>
          <cell r="E10073">
            <v>0</v>
          </cell>
          <cell r="F10073">
            <v>890</v>
          </cell>
        </row>
        <row r="10074">
          <cell r="A10074" t="str">
            <v>ST0006-2XL</v>
          </cell>
          <cell r="B10074" t="str">
            <v>T6</v>
          </cell>
          <cell r="C10074" t="str">
            <v>ซาติน แขนสั้นขายาว Pancake And Flowers 2XL</v>
          </cell>
          <cell r="E10074">
            <v>0</v>
          </cell>
          <cell r="F10074">
            <v>890</v>
          </cell>
        </row>
        <row r="10075">
          <cell r="A10075" t="str">
            <v>ST0006-3XL</v>
          </cell>
          <cell r="B10075" t="str">
            <v>T6</v>
          </cell>
          <cell r="C10075" t="str">
            <v>ซาติน แขนสั้นขายาว Pancake And Flowers 3XL</v>
          </cell>
          <cell r="E10075">
            <v>0</v>
          </cell>
          <cell r="F10075">
            <v>890</v>
          </cell>
        </row>
        <row r="10076">
          <cell r="A10076" t="str">
            <v>ST0006-L</v>
          </cell>
          <cell r="B10076" t="str">
            <v>T6</v>
          </cell>
          <cell r="C10076" t="str">
            <v>ซาติน แขนสั้นขายาว Pancake And Flowers L</v>
          </cell>
          <cell r="E10076">
            <v>0</v>
          </cell>
          <cell r="F10076">
            <v>890</v>
          </cell>
        </row>
        <row r="10077">
          <cell r="A10077" t="str">
            <v>ST0006-M</v>
          </cell>
          <cell r="B10077" t="str">
            <v>T6</v>
          </cell>
          <cell r="C10077" t="str">
            <v>ซาติน แขนสั้นขายาว Pancake And Flowers M</v>
          </cell>
          <cell r="E10077">
            <v>0</v>
          </cell>
          <cell r="F10077">
            <v>890</v>
          </cell>
        </row>
        <row r="10078">
          <cell r="A10078" t="str">
            <v>ST0006-XL</v>
          </cell>
          <cell r="B10078" t="str">
            <v>T6</v>
          </cell>
          <cell r="C10078" t="str">
            <v>ซาติน แขนสั้นขายาว Pancake And Flowers XL</v>
          </cell>
          <cell r="E10078">
            <v>0</v>
          </cell>
          <cell r="F10078">
            <v>890</v>
          </cell>
        </row>
        <row r="10079">
          <cell r="A10079" t="str">
            <v>ST0010-2XL</v>
          </cell>
          <cell r="B10079" t="str">
            <v>QT10</v>
          </cell>
          <cell r="C10079" t="str">
            <v>ซาติน แขนสั้นขายาว Totoro พื้นฟ้า 2XL (กปก) QC</v>
          </cell>
          <cell r="E10079">
            <v>0</v>
          </cell>
          <cell r="F10079">
            <v>890</v>
          </cell>
        </row>
        <row r="10080">
          <cell r="A10080" t="str">
            <v>ST0010-L</v>
          </cell>
          <cell r="B10080" t="str">
            <v>QT10</v>
          </cell>
          <cell r="C10080" t="str">
            <v>ซาติน แขนสั้นขายาว Totoro พื้นฟ้า L (กปก) QC</v>
          </cell>
          <cell r="E10080">
            <v>0</v>
          </cell>
          <cell r="F10080">
            <v>890</v>
          </cell>
        </row>
        <row r="10081">
          <cell r="A10081" t="str">
            <v>ST0010-M</v>
          </cell>
          <cell r="B10081" t="str">
            <v>T10</v>
          </cell>
          <cell r="C10081" t="str">
            <v>ซาติน แขนสั้นขายาว Totoro พื้นฟ้า M (กปก)</v>
          </cell>
          <cell r="E10081">
            <v>0</v>
          </cell>
          <cell r="F10081">
            <v>890</v>
          </cell>
        </row>
        <row r="10082">
          <cell r="A10082" t="str">
            <v>ST0010-XL</v>
          </cell>
          <cell r="B10082" t="str">
            <v>T10</v>
          </cell>
          <cell r="C10082" t="str">
            <v>ซาติน แขนสั้นขายาว Totoro พื้นฟ้า XL (กปก)</v>
          </cell>
          <cell r="E10082">
            <v>0</v>
          </cell>
          <cell r="F10082">
            <v>890</v>
          </cell>
        </row>
        <row r="10083">
          <cell r="A10083" t="str">
            <v>ST0011-2XL</v>
          </cell>
          <cell r="B10083" t="str">
            <v>T11</v>
          </cell>
          <cell r="C10083" t="str">
            <v>ซาติน แขนสั้นขายาว Totoroชมพู 2XL (กปก)</v>
          </cell>
          <cell r="E10083">
            <v>0</v>
          </cell>
          <cell r="F10083">
            <v>890</v>
          </cell>
        </row>
        <row r="10084">
          <cell r="A10084" t="str">
            <v>ST0011-L</v>
          </cell>
          <cell r="B10084" t="str">
            <v>T11</v>
          </cell>
          <cell r="C10084" t="str">
            <v>ซาติน แขนสั้นขายาว Totoroชมพู L (กปก)</v>
          </cell>
          <cell r="E10084">
            <v>0</v>
          </cell>
          <cell r="F10084">
            <v>890</v>
          </cell>
        </row>
        <row r="10085">
          <cell r="A10085" t="str">
            <v>ST0011-M</v>
          </cell>
          <cell r="B10085" t="str">
            <v>T11</v>
          </cell>
          <cell r="C10085" t="str">
            <v>ซาติน แขนสั้นขายาว Totoroชมพู M (กปก)</v>
          </cell>
          <cell r="E10085">
            <v>0</v>
          </cell>
          <cell r="F10085">
            <v>890</v>
          </cell>
        </row>
        <row r="10086">
          <cell r="A10086" t="str">
            <v>ST0011-XL</v>
          </cell>
          <cell r="B10086" t="str">
            <v>T11</v>
          </cell>
          <cell r="C10086" t="str">
            <v>ซาติน แขนสั้นขายาว Totoroชมพู XL (กปก)</v>
          </cell>
          <cell r="E10086">
            <v>0</v>
          </cell>
          <cell r="F10086">
            <v>890</v>
          </cell>
        </row>
        <row r="10087">
          <cell r="A10087" t="str">
            <v>ST0022-L</v>
          </cell>
          <cell r="B10087" t="str">
            <v>T22</v>
          </cell>
          <cell r="C10087" t="str">
            <v>ซาติน แขนสั้นขายาว ดอกไม้ส้ม พื้นขาว L</v>
          </cell>
          <cell r="E10087">
            <v>0</v>
          </cell>
          <cell r="F10087">
            <v>890</v>
          </cell>
        </row>
        <row r="10088">
          <cell r="A10088" t="str">
            <v>ST0022-M</v>
          </cell>
          <cell r="B10088" t="str">
            <v>T22</v>
          </cell>
          <cell r="C10088" t="str">
            <v>ซาติน แขนสั้นขายาว ดอกไม้ส้ม พื้นขาว M</v>
          </cell>
          <cell r="E10088">
            <v>0</v>
          </cell>
          <cell r="F10088">
            <v>890</v>
          </cell>
        </row>
        <row r="10089">
          <cell r="A10089" t="str">
            <v>ST0027-L</v>
          </cell>
          <cell r="B10089" t="str">
            <v>T27</v>
          </cell>
          <cell r="C10089" t="str">
            <v>ซาติน แขนสั้นขายาว ดอกไม้ ส้มฟ้า L</v>
          </cell>
          <cell r="E10089">
            <v>0</v>
          </cell>
          <cell r="F10089">
            <v>890</v>
          </cell>
        </row>
        <row r="10090">
          <cell r="A10090" t="str">
            <v>ST0027-M</v>
          </cell>
          <cell r="B10090" t="str">
            <v>T27</v>
          </cell>
          <cell r="C10090" t="str">
            <v>ซาติน แขนสั้นขายาว ดอกไม้ ส้มฟ้า M</v>
          </cell>
          <cell r="E10090">
            <v>0</v>
          </cell>
          <cell r="F10090">
            <v>890</v>
          </cell>
        </row>
        <row r="10091">
          <cell r="A10091" t="str">
            <v>ST0028-L</v>
          </cell>
          <cell r="B10091" t="str">
            <v>T28</v>
          </cell>
          <cell r="C10091" t="str">
            <v>ซาติน แขนสั้นขายาว ดอกไม้ นกฟ้า L</v>
          </cell>
          <cell r="E10091">
            <v>0</v>
          </cell>
          <cell r="F10091">
            <v>890</v>
          </cell>
        </row>
        <row r="10092">
          <cell r="A10092" t="str">
            <v>ST0028-M</v>
          </cell>
          <cell r="B10092" t="str">
            <v>T28</v>
          </cell>
          <cell r="C10092" t="str">
            <v>ซาติน แขนสั้นขายาว ดอกไม้ นกฟ้า M</v>
          </cell>
          <cell r="E10092">
            <v>0</v>
          </cell>
          <cell r="F10092">
            <v>890</v>
          </cell>
        </row>
        <row r="10093">
          <cell r="A10093" t="str">
            <v>ST0029-L</v>
          </cell>
          <cell r="B10093" t="str">
            <v>T29</v>
          </cell>
          <cell r="C10093" t="str">
            <v>ซาติน แขนสั้นขายาว ดอกทานตะวัน L</v>
          </cell>
          <cell r="E10093">
            <v>0</v>
          </cell>
          <cell r="F10093">
            <v>890</v>
          </cell>
        </row>
        <row r="10094">
          <cell r="A10094" t="str">
            <v>ST0029-M</v>
          </cell>
          <cell r="B10094" t="str">
            <v>T29</v>
          </cell>
          <cell r="C10094" t="str">
            <v>ซาติน แขนสั้นขายาว ดอกทานตะวัน M</v>
          </cell>
          <cell r="E10094">
            <v>0</v>
          </cell>
          <cell r="F10094">
            <v>890</v>
          </cell>
        </row>
        <row r="10095">
          <cell r="A10095" t="str">
            <v>ST0030-F</v>
          </cell>
          <cell r="B10095" t="str">
            <v>T30</v>
          </cell>
          <cell r="C10095" t="str">
            <v>ซาติน แขนสั้นขายาว ส้มดอกไม้ส้ม ฟรีไซด์</v>
          </cell>
          <cell r="E10095">
            <v>0</v>
          </cell>
          <cell r="F10095">
            <v>890</v>
          </cell>
        </row>
        <row r="10096">
          <cell r="A10096" t="str">
            <v>ST0033-L</v>
          </cell>
          <cell r="B10096" t="str">
            <v>T33</v>
          </cell>
          <cell r="C10096" t="str">
            <v>ซาติน แขนสั้นขายาว ผลส้ม L</v>
          </cell>
          <cell r="E10096">
            <v>0</v>
          </cell>
          <cell r="F10096">
            <v>890</v>
          </cell>
        </row>
        <row r="10097">
          <cell r="A10097" t="str">
            <v>ST0033-M</v>
          </cell>
          <cell r="B10097" t="str">
            <v>T33</v>
          </cell>
          <cell r="C10097" t="str">
            <v>ซาติน แขนสั้นขายาว ผลส้ม M</v>
          </cell>
          <cell r="E10097">
            <v>0</v>
          </cell>
          <cell r="F10097">
            <v>890</v>
          </cell>
        </row>
        <row r="10098">
          <cell r="A10098" t="str">
            <v>ST0034-F</v>
          </cell>
          <cell r="B10098" t="str">
            <v>T34</v>
          </cell>
          <cell r="C10098" t="str">
            <v>ซาติน แขนสั้นขายาว สัปปะรดส้ม ฟรีไซด์</v>
          </cell>
          <cell r="E10098">
            <v>0</v>
          </cell>
          <cell r="F10098">
            <v>890</v>
          </cell>
        </row>
        <row r="10099">
          <cell r="A10099" t="str">
            <v>ST0037-L</v>
          </cell>
          <cell r="B10099" t="str">
            <v>T37</v>
          </cell>
          <cell r="C10099" t="str">
            <v>ซาติน แขนสั้นขายาว สีครีม L</v>
          </cell>
          <cell r="E10099">
            <v>0</v>
          </cell>
          <cell r="F10099">
            <v>890</v>
          </cell>
        </row>
        <row r="10100">
          <cell r="A10100" t="str">
            <v>ST0037-M</v>
          </cell>
          <cell r="B10100" t="str">
            <v>T37</v>
          </cell>
          <cell r="C10100" t="str">
            <v>ซาติน แขนสั้นขายาว สีครีม M</v>
          </cell>
          <cell r="E10100">
            <v>0</v>
          </cell>
          <cell r="F10100">
            <v>890</v>
          </cell>
        </row>
        <row r="10101">
          <cell r="A10101" t="str">
            <v>ST0038-L</v>
          </cell>
          <cell r="B10101" t="str">
            <v>T38</v>
          </cell>
          <cell r="C10101" t="str">
            <v>ซาติน แขนสั้นขายาว สีครีม ขอบดำ (กปก) L</v>
          </cell>
          <cell r="E10101">
            <v>0</v>
          </cell>
          <cell r="F10101">
            <v>890</v>
          </cell>
        </row>
        <row r="10102">
          <cell r="A10102" t="str">
            <v>ST0038-M</v>
          </cell>
          <cell r="B10102" t="str">
            <v>T38</v>
          </cell>
          <cell r="C10102" t="str">
            <v>ซาติน แขนสั้นขายาว สีครีม ขอบดำ (กปก) M</v>
          </cell>
          <cell r="E10102">
            <v>0</v>
          </cell>
          <cell r="F10102">
            <v>590</v>
          </cell>
        </row>
        <row r="10103">
          <cell r="A10103" t="str">
            <v>ST0040-L</v>
          </cell>
          <cell r="B10103" t="str">
            <v>T40</v>
          </cell>
          <cell r="C10103" t="str">
            <v>ซาติน แขนสั้นขายาว สีขาว ขอบชมพู L</v>
          </cell>
          <cell r="E10103">
            <v>0</v>
          </cell>
          <cell r="F10103">
            <v>890</v>
          </cell>
        </row>
        <row r="10104">
          <cell r="A10104" t="str">
            <v>ST0040-M</v>
          </cell>
          <cell r="B10104" t="str">
            <v>T40</v>
          </cell>
          <cell r="C10104" t="str">
            <v>ซาติน แขนสั้นขายาว สีขาวขอบชมพู M</v>
          </cell>
          <cell r="E10104">
            <v>0</v>
          </cell>
          <cell r="F10104">
            <v>890</v>
          </cell>
        </row>
        <row r="10105">
          <cell r="A10105" t="str">
            <v>ST0041-L</v>
          </cell>
          <cell r="B10105" t="str">
            <v>T41</v>
          </cell>
          <cell r="C10105" t="str">
            <v>ซาติน แขนสั้นขายาว สีขาว ขอบดำ L</v>
          </cell>
          <cell r="E10105">
            <v>0</v>
          </cell>
          <cell r="F10105">
            <v>890</v>
          </cell>
        </row>
        <row r="10106">
          <cell r="A10106" t="str">
            <v>ST0041-M</v>
          </cell>
          <cell r="B10106" t="str">
            <v>T41</v>
          </cell>
          <cell r="C10106" t="str">
            <v>ซาติน แขนสั้นขายาว สีขาว ขอบดำ M</v>
          </cell>
          <cell r="E10106">
            <v>0</v>
          </cell>
          <cell r="F10106">
            <v>890</v>
          </cell>
        </row>
        <row r="10107">
          <cell r="A10107" t="str">
            <v>ST0045-2XL</v>
          </cell>
          <cell r="B10107" t="str">
            <v>T45</v>
          </cell>
          <cell r="C10107" t="str">
            <v>ซาติน แขนสั้นขายาว สีชมพู นู้ด ขอบเงิน 2XL</v>
          </cell>
          <cell r="E10107">
            <v>0</v>
          </cell>
          <cell r="F10107">
            <v>890</v>
          </cell>
        </row>
        <row r="10108">
          <cell r="A10108" t="str">
            <v>ST0045-L</v>
          </cell>
          <cell r="B10108" t="str">
            <v>T45</v>
          </cell>
          <cell r="C10108" t="str">
            <v>ซาติน แขนสั้นขายาว สีชมพู  นู้ด ขอบเงิน L (กปก)</v>
          </cell>
          <cell r="E10108">
            <v>0</v>
          </cell>
          <cell r="F10108">
            <v>890</v>
          </cell>
        </row>
        <row r="10109">
          <cell r="A10109" t="str">
            <v>ST0045-M</v>
          </cell>
          <cell r="B10109" t="str">
            <v>T45</v>
          </cell>
          <cell r="C10109" t="str">
            <v>ซาติน แขนสั้นขายาว สีชมพู นู้ด ขอบเงิน M (กปก)</v>
          </cell>
          <cell r="E10109">
            <v>0</v>
          </cell>
          <cell r="F10109">
            <v>890</v>
          </cell>
        </row>
        <row r="10110">
          <cell r="A10110" t="str">
            <v>ST0045-XL</v>
          </cell>
          <cell r="B10110" t="str">
            <v>T45</v>
          </cell>
          <cell r="C10110" t="str">
            <v>ซาติน แขนสั้นขายาว สีชมพู นู้ด ขอบเงิน XL</v>
          </cell>
          <cell r="E10110">
            <v>0</v>
          </cell>
          <cell r="F10110">
            <v>890</v>
          </cell>
        </row>
        <row r="10111">
          <cell r="A10111" t="str">
            <v>ST0047-L</v>
          </cell>
          <cell r="B10111" t="str">
            <v>T47</v>
          </cell>
          <cell r="C10111" t="str">
            <v>ซาติน แขนสั้นขายาว สีกรม ขอบขาว (กปก) L</v>
          </cell>
          <cell r="E10111">
            <v>0</v>
          </cell>
          <cell r="F10111">
            <v>890</v>
          </cell>
        </row>
        <row r="10112">
          <cell r="A10112" t="str">
            <v>ST0047-M</v>
          </cell>
          <cell r="B10112" t="str">
            <v>T47</v>
          </cell>
          <cell r="C10112" t="str">
            <v>ซาติน แขนสั้นขายาว สีกรม ขอบขาว (กปก) M</v>
          </cell>
          <cell r="E10112">
            <v>0</v>
          </cell>
          <cell r="F10112">
            <v>590</v>
          </cell>
        </row>
        <row r="10113">
          <cell r="A10113" t="str">
            <v>ST0048-2XL</v>
          </cell>
          <cell r="B10113" t="str">
            <v>T48</v>
          </cell>
          <cell r="C10113" t="str">
            <v>ซาติน แขนสั้นขายาว สีกรม ขอบชมพู 2XL (กปก)</v>
          </cell>
          <cell r="E10113">
            <v>0</v>
          </cell>
          <cell r="F10113">
            <v>890</v>
          </cell>
        </row>
        <row r="10114">
          <cell r="A10114" t="str">
            <v>ST0048-L</v>
          </cell>
          <cell r="B10114" t="str">
            <v>T48</v>
          </cell>
          <cell r="C10114" t="str">
            <v>ซาติน แขนสั้นขายาว สีกรม ขอบชมพู L (กปก)</v>
          </cell>
          <cell r="E10114">
            <v>0</v>
          </cell>
          <cell r="F10114">
            <v>590</v>
          </cell>
        </row>
        <row r="10115">
          <cell r="A10115" t="str">
            <v>ST0048-M</v>
          </cell>
          <cell r="B10115" t="str">
            <v>T48</v>
          </cell>
          <cell r="C10115" t="str">
            <v>ซาติน แขนสั้นขายาว สีกรม ขอบชมพู M (กปก)</v>
          </cell>
          <cell r="E10115">
            <v>0</v>
          </cell>
          <cell r="F10115">
            <v>890</v>
          </cell>
        </row>
        <row r="10116">
          <cell r="A10116" t="str">
            <v>ST0048-XL</v>
          </cell>
          <cell r="B10116" t="str">
            <v>T48</v>
          </cell>
          <cell r="C10116" t="str">
            <v>ซาติน แขนสั้นขายาว สีกรม ขอบชมพู XL (กปก)</v>
          </cell>
          <cell r="E10116">
            <v>0</v>
          </cell>
          <cell r="F10116">
            <v>890</v>
          </cell>
        </row>
        <row r="10117">
          <cell r="A10117" t="str">
            <v>ST0056-L</v>
          </cell>
          <cell r="B10117" t="str">
            <v>T56</v>
          </cell>
          <cell r="C10117" t="str">
            <v>ซาติน แขนสั้นขายาว ขาว ปกหัวใจ L</v>
          </cell>
          <cell r="E10117">
            <v>0</v>
          </cell>
          <cell r="F10117">
            <v>890</v>
          </cell>
        </row>
        <row r="10118">
          <cell r="A10118" t="str">
            <v>ST0056-M</v>
          </cell>
          <cell r="B10118" t="str">
            <v>T56</v>
          </cell>
          <cell r="C10118" t="str">
            <v>ซาติน แขนสั้นขายาว ขาว ปกหัวใจ M</v>
          </cell>
          <cell r="E10118">
            <v>0</v>
          </cell>
          <cell r="F10118">
            <v>890</v>
          </cell>
        </row>
        <row r="10119">
          <cell r="A10119" t="str">
            <v>ST0057-L</v>
          </cell>
          <cell r="B10119" t="str">
            <v>T57</v>
          </cell>
          <cell r="C10119" t="str">
            <v>ซาติน แขนสั้นขายาว ชมพู ปกหัวใจ L (กปก)</v>
          </cell>
          <cell r="E10119">
            <v>0</v>
          </cell>
          <cell r="F10119">
            <v>890</v>
          </cell>
        </row>
        <row r="10120">
          <cell r="A10120" t="str">
            <v>ST0057-M</v>
          </cell>
          <cell r="B10120" t="str">
            <v>T57</v>
          </cell>
          <cell r="C10120" t="str">
            <v>ซาติน แขนสั้นขายาว ชมพู ปกหัวใจ M</v>
          </cell>
          <cell r="E10120">
            <v>0</v>
          </cell>
          <cell r="F10120">
            <v>890</v>
          </cell>
        </row>
        <row r="10121">
          <cell r="A10121" t="str">
            <v>ST0058-2XL</v>
          </cell>
          <cell r="B10121" t="str">
            <v>T58</v>
          </cell>
          <cell r="C10121" t="str">
            <v>ซาติน แขนสั้นขายาว ลายตารางกรมขอบขาว 2XL</v>
          </cell>
          <cell r="E10121">
            <v>0</v>
          </cell>
          <cell r="F10121">
            <v>890</v>
          </cell>
        </row>
        <row r="10122">
          <cell r="A10122" t="str">
            <v>ST0058-F</v>
          </cell>
          <cell r="B10122" t="str">
            <v>T58</v>
          </cell>
          <cell r="C10122" t="str">
            <v>ซาติน แขนสั้นขายาว ลายตารางกรมขอบขาว ฟรีไซด์</v>
          </cell>
          <cell r="E10122">
            <v>0</v>
          </cell>
          <cell r="F10122">
            <v>890</v>
          </cell>
        </row>
        <row r="10123">
          <cell r="A10123" t="str">
            <v>ST0058-L</v>
          </cell>
          <cell r="B10123" t="str">
            <v>T58</v>
          </cell>
          <cell r="C10123" t="str">
            <v>ซาติน แขนสั้นขายาว ลายตารางกรมขอบขาว L</v>
          </cell>
          <cell r="E10123">
            <v>0</v>
          </cell>
          <cell r="F10123">
            <v>890</v>
          </cell>
        </row>
        <row r="10124">
          <cell r="A10124" t="str">
            <v>ST0058-M</v>
          </cell>
          <cell r="B10124" t="str">
            <v>T58</v>
          </cell>
          <cell r="C10124" t="str">
            <v>ซาติน แขนสั้นขายาว ลายตารางกรมขอบขาว M</v>
          </cell>
          <cell r="E10124">
            <v>0</v>
          </cell>
          <cell r="F10124">
            <v>890</v>
          </cell>
        </row>
        <row r="10125">
          <cell r="A10125" t="str">
            <v>ST0058-XL</v>
          </cell>
          <cell r="B10125" t="str">
            <v>T58</v>
          </cell>
          <cell r="C10125" t="str">
            <v>ซาติน แขนสั้นขายาว ลายตารางกรมขอบขาว XL</v>
          </cell>
          <cell r="E10125">
            <v>0</v>
          </cell>
          <cell r="F10125">
            <v>890</v>
          </cell>
        </row>
        <row r="10126">
          <cell r="A10126" t="str">
            <v>ST0059-F</v>
          </cell>
          <cell r="B10126" t="str">
            <v>T59</v>
          </cell>
          <cell r="C10126" t="str">
            <v>ซาติน แขนสั้นขายาว ลายตารางชมพูขอบขาว ฟรีไซด์</v>
          </cell>
          <cell r="E10126">
            <v>0</v>
          </cell>
          <cell r="F10126">
            <v>890</v>
          </cell>
        </row>
        <row r="10127">
          <cell r="A10127" t="str">
            <v>ST0061-2XL</v>
          </cell>
          <cell r="B10127" t="str">
            <v>JT61</v>
          </cell>
          <cell r="C10127" t="str">
            <v>ซาติน แขนสั้นขายาว ชมพู ส้ม 2XL (กปก) ตัวโชว์</v>
          </cell>
          <cell r="E10127">
            <v>0</v>
          </cell>
          <cell r="F10127">
            <v>890</v>
          </cell>
        </row>
        <row r="10128">
          <cell r="A10128" t="str">
            <v>ST0061-L</v>
          </cell>
          <cell r="B10128" t="str">
            <v>JT61</v>
          </cell>
          <cell r="C10128" t="str">
            <v>ซาติน แขนสั้นขายาว ชมพู ส้ม L (กปก) ตัวโชว์</v>
          </cell>
          <cell r="E10128">
            <v>0</v>
          </cell>
          <cell r="F10128">
            <v>890</v>
          </cell>
        </row>
        <row r="10129">
          <cell r="A10129" t="str">
            <v>ST0061-M</v>
          </cell>
          <cell r="B10129" t="str">
            <v>ป6</v>
          </cell>
          <cell r="C10129" t="str">
            <v>ซาติน แขนสั้นขายาว ชมพู ส้ม M (กปก)</v>
          </cell>
          <cell r="E10129">
            <v>0</v>
          </cell>
          <cell r="F10129">
            <v>890</v>
          </cell>
        </row>
        <row r="10130">
          <cell r="A10130" t="str">
            <v>ST0061-XL</v>
          </cell>
          <cell r="B10130" t="str">
            <v>JT61</v>
          </cell>
          <cell r="C10130" t="str">
            <v>ซาติน แขนสั้นขายาว ชมพู ส้ม XL (กปก) ตัวโชว์</v>
          </cell>
          <cell r="E10130">
            <v>0</v>
          </cell>
          <cell r="F10130">
            <v>890</v>
          </cell>
        </row>
        <row r="10131">
          <cell r="A10131" t="str">
            <v>ST01146-2XL</v>
          </cell>
          <cell r="B10131" t="str">
            <v>T1146</v>
          </cell>
          <cell r="C10131" t="str">
            <v>ซาติน แขนสั้นขายาว Pinky Flowers คอปกชมพูอ่อน 2XL (กปก)</v>
          </cell>
          <cell r="E10131">
            <v>0</v>
          </cell>
          <cell r="F10131">
            <v>890</v>
          </cell>
        </row>
        <row r="10132">
          <cell r="A10132" t="str">
            <v>ST01146-L</v>
          </cell>
          <cell r="B10132" t="str">
            <v>T1146</v>
          </cell>
          <cell r="C10132" t="str">
            <v>ซาติน แขนสั้นขายาว Pinky Flowers คอปกชมพูอ่อน L (กปก)</v>
          </cell>
          <cell r="E10132">
            <v>0</v>
          </cell>
          <cell r="F10132">
            <v>890</v>
          </cell>
        </row>
        <row r="10133">
          <cell r="A10133" t="str">
            <v>ST01146-M</v>
          </cell>
          <cell r="B10133" t="str">
            <v>T1146</v>
          </cell>
          <cell r="C10133" t="str">
            <v>ซาติน แขนสั้นขายาว Pinky Flowers คอปกชมพูอ่อน M (กปก)</v>
          </cell>
          <cell r="E10133">
            <v>0</v>
          </cell>
          <cell r="F10133">
            <v>890</v>
          </cell>
        </row>
        <row r="10134">
          <cell r="A10134" t="str">
            <v>ST01146-XL</v>
          </cell>
          <cell r="B10134" t="str">
            <v>T1146</v>
          </cell>
          <cell r="C10134" t="str">
            <v>ซาติน แขนสั้นขายาว Pinky Flowers คอปกชมพูอ่อน XL (กปก)</v>
          </cell>
          <cell r="E10134">
            <v>0</v>
          </cell>
          <cell r="F10134">
            <v>890</v>
          </cell>
        </row>
        <row r="10135">
          <cell r="A10135" t="str">
            <v>ST0117-L</v>
          </cell>
          <cell r="B10135" t="str">
            <v>T117</v>
          </cell>
          <cell r="C10135" t="str">
            <v>ซาติน แขนสั้นขายาว คอบัว สีครีมม่วง L</v>
          </cell>
          <cell r="E10135">
            <v>0</v>
          </cell>
          <cell r="F10135">
            <v>890</v>
          </cell>
        </row>
        <row r="10136">
          <cell r="A10136" t="str">
            <v>ST0117-M</v>
          </cell>
          <cell r="B10136" t="str">
            <v>T117</v>
          </cell>
          <cell r="C10136" t="str">
            <v>ซาติน แขนสั้นขายาว คอบัว สีครีมม่วง M</v>
          </cell>
          <cell r="E10136">
            <v>0</v>
          </cell>
          <cell r="F10136">
            <v>890</v>
          </cell>
        </row>
        <row r="10137">
          <cell r="A10137" t="str">
            <v>ST0117-XL</v>
          </cell>
          <cell r="B10137" t="str">
            <v>T117</v>
          </cell>
          <cell r="C10137" t="str">
            <v>ซาติน แขนสั้นขายาว คอบัว สีครีมม่วง XL</v>
          </cell>
          <cell r="E10137">
            <v>0</v>
          </cell>
          <cell r="F10137">
            <v>890</v>
          </cell>
        </row>
        <row r="10138">
          <cell r="A10138" t="str">
            <v>ST0127-L</v>
          </cell>
          <cell r="B10138" t="str">
            <v>T127</v>
          </cell>
          <cell r="C10138" t="str">
            <v>ซาติน แขนสั้นขายาว สิงโต พื้นดำ L</v>
          </cell>
          <cell r="E10138">
            <v>0</v>
          </cell>
          <cell r="F10138">
            <v>890</v>
          </cell>
        </row>
        <row r="10139">
          <cell r="A10139" t="str">
            <v>ST0127-M</v>
          </cell>
          <cell r="B10139" t="str">
            <v>T127</v>
          </cell>
          <cell r="C10139" t="str">
            <v>ซาติน แขนสั้นขายาว สิงโต พื้นดำ M</v>
          </cell>
          <cell r="E10139">
            <v>0</v>
          </cell>
          <cell r="F10139">
            <v>890</v>
          </cell>
        </row>
        <row r="10140">
          <cell r="A10140" t="str">
            <v>ST0128-2XL</v>
          </cell>
          <cell r="B10140" t="str">
            <v>T128</v>
          </cell>
          <cell r="C10140" t="str">
            <v>ซาติน แขนสั้นขายาว ผีเสื้อดอกไม้ เขียว 2XL  (กปก)</v>
          </cell>
          <cell r="E10140">
            <v>0</v>
          </cell>
          <cell r="F10140">
            <v>890</v>
          </cell>
        </row>
        <row r="10141">
          <cell r="A10141" t="str">
            <v>ST0128-3XL</v>
          </cell>
          <cell r="B10141" t="str">
            <v>T128</v>
          </cell>
          <cell r="C10141" t="str">
            <v>ซาติน แขนสั้นขายาว ผีเสื้อดอกไม้ เขียว 3XL  (กปก)</v>
          </cell>
          <cell r="E10141">
            <v>0</v>
          </cell>
          <cell r="F10141">
            <v>890</v>
          </cell>
        </row>
        <row r="10142">
          <cell r="A10142" t="str">
            <v>ST0128-L</v>
          </cell>
          <cell r="B10142" t="str">
            <v>T128</v>
          </cell>
          <cell r="C10142" t="str">
            <v>ซาติน แขนสั้นขายาว ผีเสื้อดอกไม้ เขียว L (กปก)</v>
          </cell>
          <cell r="E10142">
            <v>0</v>
          </cell>
          <cell r="F10142">
            <v>890</v>
          </cell>
        </row>
        <row r="10143">
          <cell r="A10143" t="str">
            <v>ST0128-M</v>
          </cell>
          <cell r="B10143" t="str">
            <v>T128</v>
          </cell>
          <cell r="C10143" t="str">
            <v>ซาติน แขนสั้นขายาว ผีเสื้อดอกไม้ เขียว M (กปก)</v>
          </cell>
          <cell r="E10143">
            <v>0</v>
          </cell>
          <cell r="F10143">
            <v>890</v>
          </cell>
        </row>
        <row r="10144">
          <cell r="A10144" t="str">
            <v>ST0128-XL</v>
          </cell>
          <cell r="B10144" t="str">
            <v>T128</v>
          </cell>
          <cell r="C10144" t="str">
            <v>ซาติน แขนสั้นขายาว ผีเสื้อดอกไม้ เขียว XL (กปก)</v>
          </cell>
          <cell r="E10144">
            <v>0</v>
          </cell>
          <cell r="F10144">
            <v>890</v>
          </cell>
        </row>
        <row r="10145">
          <cell r="A10145" t="str">
            <v>ST0131-F</v>
          </cell>
          <cell r="B10145" t="str">
            <v>T131</v>
          </cell>
          <cell r="C10145" t="str">
            <v>ซาติน แขนสั้นขายาว หมีพื้นฟ้า Freesize</v>
          </cell>
          <cell r="E10145">
            <v>0</v>
          </cell>
          <cell r="F10145">
            <v>890</v>
          </cell>
        </row>
        <row r="10146">
          <cell r="A10146" t="str">
            <v>ST0132-F</v>
          </cell>
          <cell r="B10146" t="str">
            <v>T132</v>
          </cell>
          <cell r="C10146" t="str">
            <v>ซาติน แขนสั้นขายาว หมีพื้นครีม Freesize</v>
          </cell>
          <cell r="E10146">
            <v>0</v>
          </cell>
          <cell r="F10146">
            <v>890</v>
          </cell>
        </row>
        <row r="10147">
          <cell r="A10147" t="str">
            <v>ST0135-L</v>
          </cell>
          <cell r="B10147" t="str">
            <v>T135</v>
          </cell>
          <cell r="C10147" t="str">
            <v>ซาติน แขนสั้นขายาว สนูปปี้ สีชมพู L</v>
          </cell>
          <cell r="E10147">
            <v>0</v>
          </cell>
          <cell r="F10147">
            <v>890</v>
          </cell>
        </row>
        <row r="10148">
          <cell r="A10148" t="str">
            <v>ST0135-M</v>
          </cell>
          <cell r="B10148" t="str">
            <v>T135</v>
          </cell>
          <cell r="C10148" t="str">
            <v>ซาติน แขนสั้นขายาว สนูปปี้ สีชมพู M</v>
          </cell>
          <cell r="E10148">
            <v>0</v>
          </cell>
          <cell r="F10148">
            <v>890</v>
          </cell>
        </row>
        <row r="10149">
          <cell r="A10149" t="str">
            <v>ST0136-L</v>
          </cell>
          <cell r="B10149" t="str">
            <v>T136</v>
          </cell>
          <cell r="C10149" t="str">
            <v>ซาติน แขนสั้นขายาว สนูปปี้ สีเขียว L</v>
          </cell>
          <cell r="E10149">
            <v>0</v>
          </cell>
          <cell r="F10149">
            <v>890</v>
          </cell>
        </row>
        <row r="10150">
          <cell r="A10150" t="str">
            <v>ST0136-M</v>
          </cell>
          <cell r="B10150" t="str">
            <v>T136</v>
          </cell>
          <cell r="C10150" t="str">
            <v>ซาติน แขนสั้นขายาว สนูปปี้ สีเขียว M</v>
          </cell>
          <cell r="E10150">
            <v>0</v>
          </cell>
          <cell r="F10150">
            <v>890</v>
          </cell>
        </row>
        <row r="10151">
          <cell r="A10151" t="str">
            <v>ST0139-L</v>
          </cell>
          <cell r="B10151" t="str">
            <v>T139</v>
          </cell>
          <cell r="C10151" t="str">
            <v>ซาติน แขนสั้นขายาว พื้นเขียว คอเหลี่ยม L</v>
          </cell>
          <cell r="E10151">
            <v>0</v>
          </cell>
          <cell r="F10151">
            <v>890</v>
          </cell>
        </row>
        <row r="10152">
          <cell r="A10152" t="str">
            <v>ST0139-M</v>
          </cell>
          <cell r="B10152" t="str">
            <v>T139</v>
          </cell>
          <cell r="C10152" t="str">
            <v>ซาติน แขนสั้นขายาว พื้นเขียว คอเหลี่ยม M</v>
          </cell>
          <cell r="E10152">
            <v>0</v>
          </cell>
          <cell r="F10152">
            <v>890</v>
          </cell>
        </row>
        <row r="10153">
          <cell r="A10153" t="str">
            <v>ST0140-L</v>
          </cell>
          <cell r="B10153" t="str">
            <v>T140</v>
          </cell>
          <cell r="C10153" t="str">
            <v>ซาติน แขนสั้นขายาว พื้นขาว คอเหลี่ยม L</v>
          </cell>
          <cell r="E10153">
            <v>0</v>
          </cell>
          <cell r="F10153">
            <v>890</v>
          </cell>
        </row>
        <row r="10154">
          <cell r="A10154" t="str">
            <v>ST0140-M</v>
          </cell>
          <cell r="B10154" t="str">
            <v>T140</v>
          </cell>
          <cell r="C10154" t="str">
            <v>ซาติน แขนสั้นขายาว พื้นขาว คอเหลี่ยม M</v>
          </cell>
          <cell r="E10154">
            <v>0</v>
          </cell>
          <cell r="F10154">
            <v>890</v>
          </cell>
        </row>
        <row r="10155">
          <cell r="A10155" t="str">
            <v>ST0141-L</v>
          </cell>
          <cell r="B10155" t="str">
            <v>T141</v>
          </cell>
          <cell r="C10155" t="str">
            <v>ซาติน แขนสั้นขายาว พื้นชมพู คอเหลี่ยม L</v>
          </cell>
          <cell r="E10155">
            <v>0</v>
          </cell>
          <cell r="F10155">
            <v>890</v>
          </cell>
        </row>
        <row r="10156">
          <cell r="A10156" t="str">
            <v>ST0141-M</v>
          </cell>
          <cell r="B10156" t="str">
            <v>T141</v>
          </cell>
          <cell r="C10156" t="str">
            <v>ซาติน แขนสั้นขายาว พื้นชมพู คอเหลี่ยม M</v>
          </cell>
          <cell r="E10156">
            <v>0</v>
          </cell>
          <cell r="F10156">
            <v>890</v>
          </cell>
        </row>
        <row r="10157">
          <cell r="A10157" t="str">
            <v>ST0142-L</v>
          </cell>
          <cell r="B10157" t="str">
            <v>T142</v>
          </cell>
          <cell r="C10157" t="str">
            <v>ซาติน แขนสั้นขายาว เหลืองขอบเขียว ลายหัวใจ L</v>
          </cell>
          <cell r="E10157">
            <v>0</v>
          </cell>
          <cell r="F10157">
            <v>890</v>
          </cell>
        </row>
        <row r="10158">
          <cell r="A10158" t="str">
            <v>ST0142-M</v>
          </cell>
          <cell r="B10158" t="str">
            <v>T142</v>
          </cell>
          <cell r="C10158" t="str">
            <v>ซาติน แขนสั้นขายาว เหลืองขอบเขียว ลายหัวใจ M</v>
          </cell>
          <cell r="E10158">
            <v>0</v>
          </cell>
          <cell r="F10158">
            <v>890</v>
          </cell>
        </row>
        <row r="10159">
          <cell r="A10159" t="str">
            <v>ST0181-L</v>
          </cell>
          <cell r="B10159" t="str">
            <v>T181</v>
          </cell>
          <cell r="C10159" t="str">
            <v>ซาติน แขนสั้นขายาว สีครีม ขอบเงิน L (กปก)</v>
          </cell>
          <cell r="E10159">
            <v>0</v>
          </cell>
          <cell r="F10159">
            <v>890</v>
          </cell>
        </row>
        <row r="10160">
          <cell r="A10160" t="str">
            <v>ST0181-M</v>
          </cell>
          <cell r="B10160" t="str">
            <v>T181</v>
          </cell>
          <cell r="C10160" t="str">
            <v>ซาติน แขนสั้นขายาว สีครีม ขอบเงิน M (กปก)</v>
          </cell>
          <cell r="E10160">
            <v>0</v>
          </cell>
          <cell r="F10160">
            <v>890</v>
          </cell>
        </row>
        <row r="10161">
          <cell r="A10161" t="str">
            <v>ST0187-L</v>
          </cell>
          <cell r="B10161" t="str">
            <v>T187</v>
          </cell>
          <cell r="C10161" t="str">
            <v>ซาตินแขนสั้นขายาว สีฟ้า ขอบชมพู L (กปก)</v>
          </cell>
          <cell r="E10161">
            <v>0</v>
          </cell>
          <cell r="F10161">
            <v>890</v>
          </cell>
        </row>
        <row r="10162">
          <cell r="A10162" t="str">
            <v>ST0187-M</v>
          </cell>
          <cell r="B10162" t="str">
            <v>T187</v>
          </cell>
          <cell r="C10162" t="str">
            <v>ซาตินแขนสั้นขายาว สีฟ้า ขอบชมพู M (กปก)</v>
          </cell>
          <cell r="E10162">
            <v>0</v>
          </cell>
          <cell r="F10162">
            <v>890</v>
          </cell>
        </row>
        <row r="10163">
          <cell r="A10163" t="str">
            <v>ST0194-F</v>
          </cell>
          <cell r="B10163" t="str">
            <v>T194</v>
          </cell>
          <cell r="C10163" t="str">
            <v>ซาติน แขนสั้นขายาว แมวเหลือง ปกแดง ฟรีไซส์</v>
          </cell>
          <cell r="E10163">
            <v>0</v>
          </cell>
          <cell r="F10163">
            <v>890</v>
          </cell>
        </row>
        <row r="10164">
          <cell r="A10164" t="str">
            <v>ST0195-F</v>
          </cell>
          <cell r="B10164" t="str">
            <v>T195</v>
          </cell>
          <cell r="C10164" t="str">
            <v>ซาติน แขนสั้นขายาว แมวเขียว ปกเหลือง ฟรีไซส์</v>
          </cell>
          <cell r="E10164">
            <v>0</v>
          </cell>
          <cell r="F10164">
            <v>890</v>
          </cell>
        </row>
        <row r="10165">
          <cell r="A10165" t="str">
            <v>ST0206-F</v>
          </cell>
          <cell r="B10165" t="str">
            <v>T206</v>
          </cell>
          <cell r="C10165" t="str">
            <v>ซาติน แขนห้าส่วน ขายาว เห็ดส้ม พื้นขาว ฟรีไซส์</v>
          </cell>
          <cell r="E10165">
            <v>0</v>
          </cell>
          <cell r="F10165">
            <v>890</v>
          </cell>
        </row>
        <row r="10166">
          <cell r="A10166" t="str">
            <v>ST0207-F</v>
          </cell>
          <cell r="B10166" t="str">
            <v>T207</v>
          </cell>
          <cell r="C10166" t="str">
            <v>ซาตินแขนสั้นขายาว กระต่ายชมพู ฟรีไซส์</v>
          </cell>
          <cell r="E10166">
            <v>0</v>
          </cell>
          <cell r="F10166">
            <v>890</v>
          </cell>
        </row>
        <row r="10167">
          <cell r="A10167" t="str">
            <v>ST0213-2XL</v>
          </cell>
          <cell r="B10167" t="str">
            <v>JT213</v>
          </cell>
          <cell r="C10167" t="str">
            <v>ซาติน แขนสั้นขายาว สีโอรสขอบเงินลายหัวใจ 2XL  (กปก) ตัวโชว์</v>
          </cell>
          <cell r="E10167">
            <v>0</v>
          </cell>
          <cell r="F10167">
            <v>890</v>
          </cell>
        </row>
        <row r="10168">
          <cell r="A10168" t="str">
            <v>ST0213-L</v>
          </cell>
          <cell r="B10168" t="str">
            <v>JT213</v>
          </cell>
          <cell r="C10168" t="str">
            <v>ซาติน แขนสั้นขายาว สีโอรสขอบเงินลายหัวใจ L (กปก) ตัวโชว์</v>
          </cell>
          <cell r="E10168">
            <v>0</v>
          </cell>
          <cell r="F10168">
            <v>890</v>
          </cell>
        </row>
        <row r="10169">
          <cell r="A10169" t="str">
            <v>ST0213-M</v>
          </cell>
          <cell r="B10169" t="str">
            <v>JT213</v>
          </cell>
          <cell r="C10169" t="str">
            <v>ซาติน แขนสั้นขายาว สีโอรสขอบเงินลายหัวใจ M (กปก) ตัวโชว์</v>
          </cell>
          <cell r="E10169">
            <v>0</v>
          </cell>
          <cell r="F10169">
            <v>890</v>
          </cell>
        </row>
        <row r="10170">
          <cell r="A10170" t="str">
            <v>ST0213-XL</v>
          </cell>
          <cell r="B10170" t="str">
            <v>JT213</v>
          </cell>
          <cell r="C10170" t="str">
            <v>ซาติน แขนสั้นขายาว สีโอรสขอบเงินลายหัวใจ XL (กปก) ตัวโชว์</v>
          </cell>
          <cell r="E10170">
            <v>0</v>
          </cell>
          <cell r="F10170">
            <v>890</v>
          </cell>
        </row>
        <row r="10171">
          <cell r="A10171" t="str">
            <v>ST0214-L</v>
          </cell>
          <cell r="B10171" t="str">
            <v>T214</v>
          </cell>
          <cell r="C10171" t="str">
            <v>ซาติน แขนสั้นขายาว สีชมพูนู๊ดขอบเงินลายหัวใจ L</v>
          </cell>
          <cell r="E10171">
            <v>0</v>
          </cell>
          <cell r="F10171">
            <v>890</v>
          </cell>
        </row>
        <row r="10172">
          <cell r="A10172" t="str">
            <v>ST0214-M</v>
          </cell>
          <cell r="B10172" t="str">
            <v>T214</v>
          </cell>
          <cell r="C10172" t="str">
            <v>ซาติน แขนสั้นขายาว สีชมพูนู๊ดขอบเงินลายหัวใจ M</v>
          </cell>
          <cell r="E10172">
            <v>0</v>
          </cell>
          <cell r="F10172">
            <v>890</v>
          </cell>
        </row>
        <row r="10173">
          <cell r="A10173" t="str">
            <v>ST0214-XL</v>
          </cell>
          <cell r="B10173" t="str">
            <v>T214</v>
          </cell>
          <cell r="C10173" t="str">
            <v>ซาติน แขนสั้นขายาว สีชมพูนู๊ดขอบเงินลายหัวใจ XL</v>
          </cell>
          <cell r="E10173">
            <v>0</v>
          </cell>
          <cell r="F10173">
            <v>890</v>
          </cell>
        </row>
        <row r="10174">
          <cell r="A10174" t="str">
            <v>ST0216-L</v>
          </cell>
          <cell r="B10174" t="str">
            <v>T216</v>
          </cell>
          <cell r="C10174" t="str">
            <v>ซาติน แขนสั้นขายาว ดอกไม้ ปกเขียว L</v>
          </cell>
          <cell r="E10174">
            <v>0</v>
          </cell>
          <cell r="F10174">
            <v>890</v>
          </cell>
        </row>
        <row r="10175">
          <cell r="A10175" t="str">
            <v>ST0216-M</v>
          </cell>
          <cell r="B10175" t="str">
            <v>T216</v>
          </cell>
          <cell r="C10175" t="str">
            <v>ซาติน แขนสั้นขายาว ดอกไม้ ปกเขียว M</v>
          </cell>
          <cell r="E10175">
            <v>0</v>
          </cell>
          <cell r="F10175">
            <v>890</v>
          </cell>
        </row>
        <row r="10176">
          <cell r="A10176" t="str">
            <v>ST0216-XL</v>
          </cell>
          <cell r="B10176" t="str">
            <v>T216</v>
          </cell>
          <cell r="C10176" t="str">
            <v>ซาติน แขนสั้นขายาว ดอกไม้ ปกเขียว XL</v>
          </cell>
          <cell r="E10176">
            <v>0</v>
          </cell>
          <cell r="F10176">
            <v>890</v>
          </cell>
        </row>
        <row r="10177">
          <cell r="A10177" t="str">
            <v>ST0237-2XL</v>
          </cell>
          <cell r="B10177" t="str">
            <v>T237</v>
          </cell>
          <cell r="C10177" t="str">
            <v>ซาติน แขนสั้นขายาว ภาพวาด 2XL</v>
          </cell>
          <cell r="E10177">
            <v>0</v>
          </cell>
          <cell r="F10177">
            <v>890</v>
          </cell>
        </row>
        <row r="10178">
          <cell r="A10178" t="str">
            <v>ST0237-L</v>
          </cell>
          <cell r="B10178" t="str">
            <v>T237</v>
          </cell>
          <cell r="C10178" t="str">
            <v>ซาติน แขนสั้นขายาว ภาพวาด L</v>
          </cell>
          <cell r="E10178">
            <v>0</v>
          </cell>
          <cell r="F10178">
            <v>890</v>
          </cell>
        </row>
        <row r="10179">
          <cell r="A10179" t="str">
            <v>ST0237-M</v>
          </cell>
          <cell r="B10179" t="str">
            <v>T237</v>
          </cell>
          <cell r="C10179" t="str">
            <v>ซาติน แขนสั้นขายาว ภาพวาด M</v>
          </cell>
          <cell r="E10179">
            <v>0</v>
          </cell>
          <cell r="F10179">
            <v>890</v>
          </cell>
        </row>
        <row r="10180">
          <cell r="A10180" t="str">
            <v>ST0237-XL</v>
          </cell>
          <cell r="B10180" t="str">
            <v>T237</v>
          </cell>
          <cell r="C10180" t="str">
            <v>ซาติน แขนสั้นขายาว ภาพวาด XL</v>
          </cell>
          <cell r="E10180">
            <v>0</v>
          </cell>
          <cell r="F10180">
            <v>890</v>
          </cell>
        </row>
        <row r="10181">
          <cell r="A10181" t="str">
            <v>ST0240-L</v>
          </cell>
          <cell r="B10181" t="str">
            <v>T240</v>
          </cell>
          <cell r="C10181" t="str">
            <v>ซาติน  แขนสั้นขายาว จุดดำ พื้นครีม L</v>
          </cell>
          <cell r="E10181">
            <v>0</v>
          </cell>
          <cell r="F10181">
            <v>890</v>
          </cell>
        </row>
        <row r="10182">
          <cell r="A10182" t="str">
            <v>ST0240-M</v>
          </cell>
          <cell r="B10182" t="str">
            <v>T240</v>
          </cell>
          <cell r="C10182" t="str">
            <v>ซาติน  แขนสั้นขายาว จุดดำ พื้นครีม M</v>
          </cell>
          <cell r="E10182">
            <v>0</v>
          </cell>
          <cell r="F10182">
            <v>890</v>
          </cell>
        </row>
        <row r="10183">
          <cell r="A10183" t="str">
            <v>ST0240-S</v>
          </cell>
          <cell r="B10183" t="str">
            <v>T240</v>
          </cell>
          <cell r="C10183" t="str">
            <v>ซาติน  แขนสั้นขายาว จุดดำ พื้นครีม S</v>
          </cell>
          <cell r="E10183">
            <v>0</v>
          </cell>
          <cell r="F10183">
            <v>890</v>
          </cell>
        </row>
        <row r="10184">
          <cell r="A10184" t="str">
            <v>ST0246-2XL</v>
          </cell>
          <cell r="B10184" t="str">
            <v>T246</v>
          </cell>
          <cell r="C10184" t="str">
            <v>ซาติน แขนสั้นขายาว เสือ พื้นชมพู 2XL (กปก)</v>
          </cell>
          <cell r="E10184">
            <v>0</v>
          </cell>
          <cell r="F10184">
            <v>890</v>
          </cell>
        </row>
        <row r="10185">
          <cell r="A10185" t="str">
            <v>ST0246-L</v>
          </cell>
          <cell r="B10185" t="str">
            <v>T246</v>
          </cell>
          <cell r="C10185" t="str">
            <v>ซาติน แขนสั้นขายาว เสือ พื้นชมพู L (กปก)</v>
          </cell>
          <cell r="E10185">
            <v>0</v>
          </cell>
          <cell r="F10185">
            <v>890</v>
          </cell>
        </row>
        <row r="10186">
          <cell r="A10186" t="str">
            <v>ST0246-M</v>
          </cell>
          <cell r="B10186" t="str">
            <v>T246</v>
          </cell>
          <cell r="C10186" t="str">
            <v>ซาติน แขนสั้นขายาว เสือ พื้นชมพู M (กปก)</v>
          </cell>
          <cell r="E10186">
            <v>0</v>
          </cell>
          <cell r="F10186">
            <v>890</v>
          </cell>
        </row>
        <row r="10187">
          <cell r="A10187" t="str">
            <v>ST0246-XL</v>
          </cell>
          <cell r="B10187" t="str">
            <v>T246</v>
          </cell>
          <cell r="C10187" t="str">
            <v>ซาติน แขนสั้นขายาว เสือ พื้นชมพู XL (กปก)</v>
          </cell>
          <cell r="E10187">
            <v>0</v>
          </cell>
          <cell r="F10187">
            <v>890</v>
          </cell>
        </row>
        <row r="10188">
          <cell r="A10188" t="str">
            <v>ST0255-2XL</v>
          </cell>
          <cell r="B10188" t="str">
            <v>T255</v>
          </cell>
          <cell r="C10188" t="str">
            <v>ซาติน แขนสั้นขายาว ซากูระขาว พื้นเขียว 2XL</v>
          </cell>
          <cell r="E10188">
            <v>0</v>
          </cell>
          <cell r="F10188">
            <v>890</v>
          </cell>
        </row>
        <row r="10189">
          <cell r="A10189" t="str">
            <v>ST0255-L</v>
          </cell>
          <cell r="B10189" t="str">
            <v>T255</v>
          </cell>
          <cell r="C10189" t="str">
            <v>ซาติน แขนสั้นขายาว ซากูระขาว พื้นเขียว L</v>
          </cell>
          <cell r="E10189">
            <v>0</v>
          </cell>
          <cell r="F10189">
            <v>890</v>
          </cell>
        </row>
        <row r="10190">
          <cell r="A10190" t="str">
            <v>ST0255-M</v>
          </cell>
          <cell r="B10190" t="str">
            <v>T255</v>
          </cell>
          <cell r="C10190" t="str">
            <v>ซาติน แขนสั้นขายาว ซากูระขาว พื้นเขียว M</v>
          </cell>
          <cell r="E10190">
            <v>0</v>
          </cell>
          <cell r="F10190">
            <v>890</v>
          </cell>
        </row>
        <row r="10191">
          <cell r="A10191" t="str">
            <v>ST0255-XL</v>
          </cell>
          <cell r="B10191" t="str">
            <v>T255</v>
          </cell>
          <cell r="C10191" t="str">
            <v>ซาติน แขนสั้นขายาว ซากูระขาว พื้นเขียว XL</v>
          </cell>
          <cell r="E10191">
            <v>0</v>
          </cell>
          <cell r="F10191">
            <v>890</v>
          </cell>
        </row>
        <row r="10192">
          <cell r="A10192" t="str">
            <v>ST0256-L</v>
          </cell>
          <cell r="B10192" t="str">
            <v>T256</v>
          </cell>
          <cell r="C10192" t="str">
            <v>ซาติน แขนสั้นขายาว ซากูระชมพู L</v>
          </cell>
          <cell r="E10192">
            <v>0</v>
          </cell>
          <cell r="F10192">
            <v>890</v>
          </cell>
        </row>
        <row r="10193">
          <cell r="A10193" t="str">
            <v>ST0256-M</v>
          </cell>
          <cell r="B10193" t="str">
            <v>T256</v>
          </cell>
          <cell r="C10193" t="str">
            <v>ซาติน แขนสั้นขายาว ซากูระชมพู M</v>
          </cell>
          <cell r="E10193">
            <v>0</v>
          </cell>
          <cell r="F10193">
            <v>890</v>
          </cell>
        </row>
        <row r="10194">
          <cell r="A10194" t="str">
            <v>ST0256-XL</v>
          </cell>
          <cell r="B10194" t="str">
            <v>T256</v>
          </cell>
          <cell r="C10194" t="str">
            <v>ซาติน แขนสั้นขายาว ซากูระชมพู XL</v>
          </cell>
          <cell r="E10194">
            <v>0</v>
          </cell>
          <cell r="F10194">
            <v>890</v>
          </cell>
        </row>
        <row r="10195">
          <cell r="A10195" t="str">
            <v>ST0269-2XL</v>
          </cell>
          <cell r="B10195" t="str">
            <v>T269</v>
          </cell>
          <cell r="C10195" t="str">
            <v>ซาติน แขนสั้นขายาว เสือดำ 2XL</v>
          </cell>
          <cell r="E10195">
            <v>0</v>
          </cell>
          <cell r="F10195">
            <v>890</v>
          </cell>
        </row>
        <row r="10196">
          <cell r="A10196" t="str">
            <v>ST0269-L</v>
          </cell>
          <cell r="B10196" t="str">
            <v>T269</v>
          </cell>
          <cell r="C10196" t="str">
            <v>ซาติน แขนสั้นขายาว เสือดำ L</v>
          </cell>
          <cell r="E10196">
            <v>0</v>
          </cell>
          <cell r="F10196">
            <v>890</v>
          </cell>
        </row>
        <row r="10197">
          <cell r="A10197" t="str">
            <v>ST0269-M</v>
          </cell>
          <cell r="B10197" t="str">
            <v>T269</v>
          </cell>
          <cell r="C10197" t="str">
            <v>ซาติน แขนสั้นขายาว เสือดำ M</v>
          </cell>
          <cell r="E10197">
            <v>0</v>
          </cell>
          <cell r="F10197">
            <v>890</v>
          </cell>
        </row>
        <row r="10198">
          <cell r="A10198" t="str">
            <v>ST0269-XL</v>
          </cell>
          <cell r="B10198" t="str">
            <v>T269</v>
          </cell>
          <cell r="C10198" t="str">
            <v>ซาติน แขนสั้นขายาว เสือดำ XL</v>
          </cell>
          <cell r="E10198">
            <v>0</v>
          </cell>
          <cell r="F10198">
            <v>890</v>
          </cell>
        </row>
        <row r="10199">
          <cell r="A10199" t="str">
            <v>ST0270-L</v>
          </cell>
          <cell r="B10199" t="str">
            <v>T270</v>
          </cell>
          <cell r="C10199" t="str">
            <v>ซาติน แขนสั้นขายาว จุดขาวใหญ่ พื้นชมพู L</v>
          </cell>
          <cell r="E10199">
            <v>0</v>
          </cell>
          <cell r="F10199">
            <v>890</v>
          </cell>
        </row>
        <row r="10200">
          <cell r="A10200" t="str">
            <v>ST0270-M</v>
          </cell>
          <cell r="B10200" t="str">
            <v>T270</v>
          </cell>
          <cell r="C10200" t="str">
            <v>ซาติน แขนสั้นขายาว จุดขาวใหญ่ พื้นชมพู M</v>
          </cell>
          <cell r="E10200">
            <v>0</v>
          </cell>
          <cell r="F10200">
            <v>890</v>
          </cell>
        </row>
        <row r="10201">
          <cell r="A10201" t="str">
            <v>ST0271-L</v>
          </cell>
          <cell r="B10201" t="str">
            <v>T271</v>
          </cell>
          <cell r="C10201" t="str">
            <v>ซาติน แขนสั้นขายาว จุดกรมใหญ่ พื้นม่วง L</v>
          </cell>
          <cell r="E10201">
            <v>0</v>
          </cell>
          <cell r="F10201">
            <v>890</v>
          </cell>
        </row>
        <row r="10202">
          <cell r="A10202" t="str">
            <v>ST0271-M</v>
          </cell>
          <cell r="B10202" t="str">
            <v>T271</v>
          </cell>
          <cell r="C10202" t="str">
            <v>ซาติน แขนสั้นขายาว จุดกรมใหญ่ พื้นม่วง M</v>
          </cell>
          <cell r="E10202">
            <v>0</v>
          </cell>
          <cell r="F10202">
            <v>890</v>
          </cell>
        </row>
        <row r="10203">
          <cell r="A10203" t="str">
            <v>ST0272-L</v>
          </cell>
          <cell r="B10203" t="str">
            <v>T272</v>
          </cell>
          <cell r="C10203" t="str">
            <v>ซาติน แขนสั้นขายาว อลิส ชุดแดง พื้นชมพู L</v>
          </cell>
          <cell r="E10203">
            <v>0</v>
          </cell>
          <cell r="F10203">
            <v>890</v>
          </cell>
        </row>
        <row r="10204">
          <cell r="A10204" t="str">
            <v>ST0272-M</v>
          </cell>
          <cell r="B10204" t="str">
            <v>T272</v>
          </cell>
          <cell r="C10204" t="str">
            <v>ซาติน แขนสั้นขายาว อลิส ชุดแดง พื้นชมพู M</v>
          </cell>
          <cell r="E10204">
            <v>0</v>
          </cell>
          <cell r="F10204">
            <v>890</v>
          </cell>
        </row>
        <row r="10205">
          <cell r="A10205" t="str">
            <v>ST0272-XL</v>
          </cell>
          <cell r="B10205" t="str">
            <v>T272</v>
          </cell>
          <cell r="C10205" t="str">
            <v>ซาติน แขนสั้นขายาว อลิส ชุดแดง พื้นชมพู XL</v>
          </cell>
          <cell r="E10205">
            <v>0</v>
          </cell>
          <cell r="F10205">
            <v>890</v>
          </cell>
        </row>
        <row r="10206">
          <cell r="A10206" t="str">
            <v>ST0273-L</v>
          </cell>
          <cell r="B10206" t="str">
            <v>T273</v>
          </cell>
          <cell r="C10206" t="str">
            <v>ซาติน แขนสั้นขายาว ผู้สาวคนงาม กับผู้บ่าวกินแมว L</v>
          </cell>
          <cell r="E10206">
            <v>0</v>
          </cell>
          <cell r="F10206">
            <v>890</v>
          </cell>
        </row>
        <row r="10207">
          <cell r="A10207" t="str">
            <v>ST0273-M</v>
          </cell>
          <cell r="B10207" t="str">
            <v>T273</v>
          </cell>
          <cell r="C10207" t="str">
            <v>ซาติน แขนสั้นขายาว ผู้สาวคนงาม กับผู้บ่าวกินแมว M</v>
          </cell>
          <cell r="E10207">
            <v>0</v>
          </cell>
          <cell r="F10207">
            <v>890</v>
          </cell>
        </row>
        <row r="10208">
          <cell r="A10208" t="str">
            <v>ST0273-XL</v>
          </cell>
          <cell r="B10208" t="str">
            <v>T273</v>
          </cell>
          <cell r="C10208" t="str">
            <v>ซาติน แขนสั้นขายาว ผู้สาวคนงาม กับผู้บ่าวกินแมว XL</v>
          </cell>
          <cell r="E10208">
            <v>0</v>
          </cell>
          <cell r="F10208">
            <v>890</v>
          </cell>
        </row>
        <row r="10209">
          <cell r="A10209" t="str">
            <v>ST0279-S</v>
          </cell>
          <cell r="B10209" t="str">
            <v>T279</v>
          </cell>
          <cell r="C10209" t="str">
            <v>ซาติน แขนสั้นขายาว จุด ขอบเขียว S</v>
          </cell>
          <cell r="E10209">
            <v>0</v>
          </cell>
          <cell r="F10209">
            <v>890</v>
          </cell>
        </row>
        <row r="10210">
          <cell r="A10210" t="str">
            <v>ST0298-2XL</v>
          </cell>
          <cell r="B10210" t="str">
            <v>JT298</v>
          </cell>
          <cell r="C10210" t="str">
            <v>ซาติน แขนสั้นขายาว teddy bear พื้นน้ำตาล 2XL (กปก) ตัวโชว์</v>
          </cell>
          <cell r="E10210">
            <v>0</v>
          </cell>
          <cell r="F10210">
            <v>890</v>
          </cell>
        </row>
        <row r="10211">
          <cell r="A10211" t="str">
            <v>ST0298-L</v>
          </cell>
          <cell r="B10211" t="str">
            <v>JT298</v>
          </cell>
          <cell r="C10211" t="str">
            <v>ซาติน แขนสั้นขายาว teddy bear พื้นน้ำตาล L (กปก) ตัวโชว์</v>
          </cell>
          <cell r="E10211">
            <v>0</v>
          </cell>
          <cell r="F10211">
            <v>890</v>
          </cell>
        </row>
        <row r="10212">
          <cell r="A10212" t="str">
            <v>ST0298-M</v>
          </cell>
          <cell r="B10212" t="str">
            <v>JT298</v>
          </cell>
          <cell r="C10212" t="str">
            <v>ซาติน แขนสั้นขายาว teddy bear พื้นน้ำตาล M (กปก) ตัวโชว์</v>
          </cell>
          <cell r="E10212">
            <v>0</v>
          </cell>
          <cell r="F10212">
            <v>890</v>
          </cell>
        </row>
        <row r="10213">
          <cell r="A10213" t="str">
            <v>ST0298-XL</v>
          </cell>
          <cell r="B10213" t="str">
            <v>JT298</v>
          </cell>
          <cell r="C10213" t="str">
            <v>ซาติน แขนสั้นขายาว teddy bear พื้นน้ำตาล XL (กปก) ตัวโชว์</v>
          </cell>
          <cell r="E10213">
            <v>0</v>
          </cell>
          <cell r="F10213">
            <v>890</v>
          </cell>
        </row>
        <row r="10214">
          <cell r="A10214" t="str">
            <v>ST0300-2XL</v>
          </cell>
          <cell r="B10214" t="str">
            <v>T300</v>
          </cell>
          <cell r="C10214" t="str">
            <v>ซาติน แขนสั้นขายาว บอนไซ พื้นครีม 2XL</v>
          </cell>
          <cell r="E10214">
            <v>0</v>
          </cell>
          <cell r="F10214">
            <v>890</v>
          </cell>
        </row>
        <row r="10215">
          <cell r="A10215" t="str">
            <v>ST0300-L</v>
          </cell>
          <cell r="B10215" t="str">
            <v>T300</v>
          </cell>
          <cell r="C10215" t="str">
            <v>ซาติน แขนสั้นขายาว บอนไซ พื้นครีม L</v>
          </cell>
          <cell r="E10215">
            <v>0</v>
          </cell>
          <cell r="F10215">
            <v>890</v>
          </cell>
        </row>
        <row r="10216">
          <cell r="A10216" t="str">
            <v>ST0300-M</v>
          </cell>
          <cell r="B10216" t="str">
            <v>T300</v>
          </cell>
          <cell r="C10216" t="str">
            <v>ซาติน แขนสั้นขายาว บอนไซ พื้นครีม M</v>
          </cell>
          <cell r="E10216">
            <v>0</v>
          </cell>
          <cell r="F10216">
            <v>890</v>
          </cell>
        </row>
        <row r="10217">
          <cell r="A10217" t="str">
            <v>ST0300-XL</v>
          </cell>
          <cell r="B10217" t="str">
            <v>T300</v>
          </cell>
          <cell r="C10217" t="str">
            <v>ซาติน แขนสั้นขายาว บอนไซ พื้นครีม XL</v>
          </cell>
          <cell r="E10217">
            <v>0</v>
          </cell>
          <cell r="F10217">
            <v>890</v>
          </cell>
        </row>
        <row r="10218">
          <cell r="A10218" t="str">
            <v>ST0301-2XL</v>
          </cell>
          <cell r="B10218" t="str">
            <v>T301</v>
          </cell>
          <cell r="C10218" t="str">
            <v>ซาติน แขนสั้นขายาว ผู้หญิง ผู้ชาย พื้นชมพู 2XL</v>
          </cell>
          <cell r="E10218">
            <v>0</v>
          </cell>
          <cell r="F10218">
            <v>890</v>
          </cell>
        </row>
        <row r="10219">
          <cell r="A10219" t="str">
            <v>ST0301-L</v>
          </cell>
          <cell r="B10219" t="str">
            <v>T301</v>
          </cell>
          <cell r="C10219" t="str">
            <v>ซาติน แขนสั้นขายาว ผู้หญิง ผู้ชาย พื้นชมพู L</v>
          </cell>
          <cell r="E10219">
            <v>0</v>
          </cell>
          <cell r="F10219">
            <v>890</v>
          </cell>
        </row>
        <row r="10220">
          <cell r="A10220" t="str">
            <v>ST0301-M</v>
          </cell>
          <cell r="B10220" t="str">
            <v>T301</v>
          </cell>
          <cell r="C10220" t="str">
            <v>ซาติน แขนสั้นขายาว ผู้หญิง ผู้ชาย พื้นชมพู M</v>
          </cell>
          <cell r="E10220">
            <v>0</v>
          </cell>
          <cell r="F10220">
            <v>890</v>
          </cell>
        </row>
        <row r="10221">
          <cell r="A10221" t="str">
            <v>ST0301-XL</v>
          </cell>
          <cell r="B10221" t="str">
            <v>T301</v>
          </cell>
          <cell r="C10221" t="str">
            <v>ซาติน แขนสั้นขายาว ผู้หญิง ผู้ชาย พื้นชมพู XL</v>
          </cell>
          <cell r="E10221">
            <v>0</v>
          </cell>
          <cell r="F10221">
            <v>890</v>
          </cell>
        </row>
        <row r="10222">
          <cell r="A10222" t="str">
            <v>ST0320-2XL</v>
          </cell>
          <cell r="B10222" t="str">
            <v>T320</v>
          </cell>
          <cell r="C10222" t="str">
            <v>ซาติน แขนสั้นขายาว ลายมะพร้าว สีพาสเทล 2XL</v>
          </cell>
          <cell r="E10222">
            <v>0</v>
          </cell>
          <cell r="F10222">
            <v>890</v>
          </cell>
        </row>
        <row r="10223">
          <cell r="A10223" t="str">
            <v>ST0320-L</v>
          </cell>
          <cell r="B10223" t="str">
            <v>T320</v>
          </cell>
          <cell r="C10223" t="str">
            <v>ซาติน แขนสั้นขายาว ลายมะพร้าว สีพาสเทล L</v>
          </cell>
          <cell r="E10223">
            <v>0</v>
          </cell>
          <cell r="F10223">
            <v>890</v>
          </cell>
        </row>
        <row r="10224">
          <cell r="A10224" t="str">
            <v>ST0320-M</v>
          </cell>
          <cell r="B10224" t="str">
            <v>T320</v>
          </cell>
          <cell r="C10224" t="str">
            <v>ซาติน แขนสั้นขายาว ลายมะพร้าว สีพาสเทล M</v>
          </cell>
          <cell r="E10224">
            <v>0</v>
          </cell>
          <cell r="F10224">
            <v>590</v>
          </cell>
        </row>
        <row r="10225">
          <cell r="A10225" t="str">
            <v>ST0320-XL</v>
          </cell>
          <cell r="B10225" t="str">
            <v>T320</v>
          </cell>
          <cell r="C10225" t="str">
            <v>ซาติน แขนสั้นขายาว ลายมะพร้าว สีพาสเทล XL</v>
          </cell>
          <cell r="E10225">
            <v>0</v>
          </cell>
          <cell r="F10225">
            <v>890</v>
          </cell>
        </row>
        <row r="10226">
          <cell r="A10226" t="str">
            <v>ST0326-2XL</v>
          </cell>
          <cell r="B10226" t="str">
            <v>T326</v>
          </cell>
          <cell r="C10226" t="str">
            <v>ซาติน แขนสั้นขายาว แคนวาส พื้นครีม 2XL กปก</v>
          </cell>
          <cell r="E10226">
            <v>0</v>
          </cell>
          <cell r="F10226">
            <v>890</v>
          </cell>
        </row>
        <row r="10227">
          <cell r="A10227" t="str">
            <v>ST0326-3XL</v>
          </cell>
          <cell r="B10227" t="str">
            <v>T326</v>
          </cell>
          <cell r="C10227" t="str">
            <v>ซาติน แขนสั้นขายาว แคนวาส พื้นครีม 3XL กปก</v>
          </cell>
          <cell r="E10227">
            <v>0</v>
          </cell>
          <cell r="F10227">
            <v>890</v>
          </cell>
        </row>
        <row r="10228">
          <cell r="A10228" t="str">
            <v>ST0326-L</v>
          </cell>
          <cell r="B10228" t="str">
            <v>QT326</v>
          </cell>
          <cell r="C10228" t="str">
            <v>ซาติน แขนสั้นขายาว แคนวาส พื้นครีม L กปก QC</v>
          </cell>
          <cell r="E10228">
            <v>0</v>
          </cell>
          <cell r="F10228">
            <v>890</v>
          </cell>
        </row>
        <row r="10229">
          <cell r="A10229" t="str">
            <v>ST0326-M</v>
          </cell>
          <cell r="B10229" t="str">
            <v>T326</v>
          </cell>
          <cell r="C10229" t="str">
            <v>ซาติน แขนสั้นขายาว แคนวาส พื้นครีม M กปก</v>
          </cell>
          <cell r="E10229">
            <v>0</v>
          </cell>
          <cell r="F10229">
            <v>890</v>
          </cell>
        </row>
        <row r="10230">
          <cell r="A10230" t="str">
            <v>ST0326-XL</v>
          </cell>
          <cell r="B10230" t="str">
            <v>T326</v>
          </cell>
          <cell r="C10230" t="str">
            <v>ซาติน แขนสั้นขายาว แคนวาส พื้นครีม XL กปก</v>
          </cell>
          <cell r="E10230">
            <v>0</v>
          </cell>
          <cell r="F10230">
            <v>890</v>
          </cell>
        </row>
        <row r="10231">
          <cell r="A10231" t="str">
            <v>ST0330-2XL</v>
          </cell>
          <cell r="B10231" t="str">
            <v>T330</v>
          </cell>
          <cell r="C10231" t="str">
            <v>ซาติน แขนสั้นขายาว ปีกัสโซ่ 2XL</v>
          </cell>
          <cell r="E10231">
            <v>0</v>
          </cell>
          <cell r="F10231">
            <v>890</v>
          </cell>
        </row>
        <row r="10232">
          <cell r="A10232" t="str">
            <v>ST0330-L</v>
          </cell>
          <cell r="B10232" t="str">
            <v>T330</v>
          </cell>
          <cell r="C10232" t="str">
            <v>ซาติน แขนสั้นขายาว ปีกัสโซ่ L</v>
          </cell>
          <cell r="E10232">
            <v>0</v>
          </cell>
          <cell r="F10232">
            <v>890</v>
          </cell>
        </row>
        <row r="10233">
          <cell r="A10233" t="str">
            <v>ST0330-M</v>
          </cell>
          <cell r="B10233" t="str">
            <v>T330</v>
          </cell>
          <cell r="C10233" t="str">
            <v>ซาติน แขนสั้นขายาว ปีกัสโซ่ M</v>
          </cell>
          <cell r="E10233">
            <v>0</v>
          </cell>
          <cell r="F10233">
            <v>890</v>
          </cell>
        </row>
        <row r="10234">
          <cell r="A10234" t="str">
            <v>ST0330-XL</v>
          </cell>
          <cell r="B10234" t="str">
            <v>T330</v>
          </cell>
          <cell r="C10234" t="str">
            <v>ซาติน แขนสั้นขายาว ปีกัสโซ่ XL</v>
          </cell>
          <cell r="E10234">
            <v>0</v>
          </cell>
          <cell r="F10234">
            <v>890</v>
          </cell>
        </row>
        <row r="10235">
          <cell r="A10235" t="str">
            <v>ST0331-L</v>
          </cell>
          <cell r="B10235" t="str">
            <v>T331</v>
          </cell>
          <cell r="C10235" t="str">
            <v>ซาติน แขนสั้นขายาว ตารางดำ ส้ม L</v>
          </cell>
          <cell r="E10235">
            <v>0</v>
          </cell>
          <cell r="F10235">
            <v>890</v>
          </cell>
        </row>
        <row r="10236">
          <cell r="A10236" t="str">
            <v>ST0331-M</v>
          </cell>
          <cell r="B10236" t="str">
            <v>T331</v>
          </cell>
          <cell r="C10236" t="str">
            <v>ซาติน แขนสั้นขายาว ตารางดำ ส้ม M</v>
          </cell>
          <cell r="E10236">
            <v>0</v>
          </cell>
          <cell r="F10236">
            <v>890</v>
          </cell>
        </row>
        <row r="10237">
          <cell r="A10237" t="str">
            <v>ST0331-XL</v>
          </cell>
          <cell r="B10237" t="str">
            <v>T331</v>
          </cell>
          <cell r="C10237" t="str">
            <v>ซาติน แขนสั้นขายาว ตารางดำ ส้ม XL</v>
          </cell>
          <cell r="E10237">
            <v>0</v>
          </cell>
          <cell r="F10237">
            <v>890</v>
          </cell>
        </row>
        <row r="10238">
          <cell r="A10238" t="str">
            <v>ST0332-L</v>
          </cell>
          <cell r="B10238" t="str">
            <v>T332</v>
          </cell>
          <cell r="C10238" t="str">
            <v>ซาติน แขนสั้นขายาว แมว กุหลาบแดง พื้นเขียว L</v>
          </cell>
          <cell r="E10238">
            <v>0</v>
          </cell>
          <cell r="F10238">
            <v>890</v>
          </cell>
        </row>
        <row r="10239">
          <cell r="A10239" t="str">
            <v>ST0332-XL</v>
          </cell>
          <cell r="B10239" t="str">
            <v>T332</v>
          </cell>
          <cell r="C10239" t="str">
            <v>ซาติน แขนสั้นขายาว แมว กุหลาบแดง พื้นเขียว XL</v>
          </cell>
          <cell r="E10239">
            <v>0</v>
          </cell>
          <cell r="F10239">
            <v>890</v>
          </cell>
        </row>
        <row r="10240">
          <cell r="A10240" t="str">
            <v>ST0333-L</v>
          </cell>
          <cell r="B10240" t="str">
            <v>T333</v>
          </cell>
          <cell r="C10240" t="str">
            <v>ซาติน แขนสั้นขายาว แมว กุหลาบแดง พื้นขาว L</v>
          </cell>
          <cell r="E10240">
            <v>0</v>
          </cell>
          <cell r="F10240">
            <v>890</v>
          </cell>
        </row>
        <row r="10241">
          <cell r="A10241" t="str">
            <v>ST0333-M</v>
          </cell>
          <cell r="B10241" t="str">
            <v>T333</v>
          </cell>
          <cell r="C10241" t="str">
            <v>ซาติน แขนสั้นขายาว แมว กุหลาบแดง พื้นขาว M</v>
          </cell>
          <cell r="E10241">
            <v>0</v>
          </cell>
          <cell r="F10241">
            <v>890</v>
          </cell>
        </row>
        <row r="10242">
          <cell r="A10242" t="str">
            <v>ST0333-XL</v>
          </cell>
          <cell r="B10242" t="str">
            <v>T333</v>
          </cell>
          <cell r="C10242" t="str">
            <v>ซาติน แขนสั้นขายาว แมว กุหลาบแดง พื้นขาว XL</v>
          </cell>
          <cell r="E10242">
            <v>0</v>
          </cell>
          <cell r="F10242">
            <v>890</v>
          </cell>
        </row>
        <row r="10243">
          <cell r="A10243" t="str">
            <v>ST0334-L</v>
          </cell>
          <cell r="B10243" t="str">
            <v>T334</v>
          </cell>
          <cell r="C10243" t="str">
            <v>ซาติน แขนสั้นขายาว ลายทางเขียว คิวปิด L</v>
          </cell>
          <cell r="E10243">
            <v>0</v>
          </cell>
          <cell r="F10243">
            <v>890</v>
          </cell>
        </row>
        <row r="10244">
          <cell r="A10244" t="str">
            <v>ST0334-M</v>
          </cell>
          <cell r="B10244" t="str">
            <v>T334</v>
          </cell>
          <cell r="C10244" t="str">
            <v>ซาติน แขนสั้นขายาว ลายทางเขียว คิวปิด M</v>
          </cell>
          <cell r="E10244">
            <v>0</v>
          </cell>
          <cell r="F10244">
            <v>890</v>
          </cell>
        </row>
        <row r="10245">
          <cell r="A10245" t="str">
            <v>ST0334-XL</v>
          </cell>
          <cell r="B10245" t="str">
            <v>T334</v>
          </cell>
          <cell r="C10245" t="str">
            <v>ซาติน แขนสั้นขายาว ลายทางเขียว คิวปิด XL</v>
          </cell>
          <cell r="E10245">
            <v>0</v>
          </cell>
          <cell r="F10245">
            <v>890</v>
          </cell>
        </row>
        <row r="10246">
          <cell r="A10246" t="str">
            <v>ST0335-L</v>
          </cell>
          <cell r="B10246" t="str">
            <v>T335</v>
          </cell>
          <cell r="C10246" t="str">
            <v>ซาติน แขนสั้นขายาว ลายทางเหลือง คิวปิด L</v>
          </cell>
          <cell r="E10246">
            <v>0</v>
          </cell>
          <cell r="F10246">
            <v>890</v>
          </cell>
        </row>
        <row r="10247">
          <cell r="A10247" t="str">
            <v>ST0335-M</v>
          </cell>
          <cell r="B10247" t="str">
            <v>T335</v>
          </cell>
          <cell r="C10247" t="str">
            <v>ซาติน แขนสั้นขายาว ลายทางเหลือง คิวปิด M</v>
          </cell>
          <cell r="E10247">
            <v>0</v>
          </cell>
          <cell r="F10247">
            <v>890</v>
          </cell>
        </row>
        <row r="10248">
          <cell r="A10248" t="str">
            <v>ST0335-XL</v>
          </cell>
          <cell r="B10248" t="str">
            <v>T335</v>
          </cell>
          <cell r="C10248" t="str">
            <v>ซาติน แขนสั้นขายาว ลายทางเหลือง คิวปิด XL</v>
          </cell>
          <cell r="E10248">
            <v>0</v>
          </cell>
          <cell r="F10248">
            <v>890</v>
          </cell>
        </row>
        <row r="10249">
          <cell r="A10249" t="str">
            <v>ST0336-L</v>
          </cell>
          <cell r="B10249" t="str">
            <v>T336</v>
          </cell>
          <cell r="C10249" t="str">
            <v>ซาติน แขนสั้นขายาว Beauty Red Rose L</v>
          </cell>
          <cell r="E10249">
            <v>0</v>
          </cell>
          <cell r="F10249">
            <v>890</v>
          </cell>
        </row>
        <row r="10250">
          <cell r="A10250" t="str">
            <v>ST0336-M</v>
          </cell>
          <cell r="B10250" t="str">
            <v>T336</v>
          </cell>
          <cell r="C10250" t="str">
            <v>ซาติน แขนสั้นขายาว Beauty Red Rose M</v>
          </cell>
          <cell r="E10250">
            <v>0</v>
          </cell>
          <cell r="F10250">
            <v>890</v>
          </cell>
        </row>
        <row r="10251">
          <cell r="A10251" t="str">
            <v>ST0336-XL</v>
          </cell>
          <cell r="B10251" t="str">
            <v>T336</v>
          </cell>
          <cell r="C10251" t="str">
            <v>ซาติน แขนสั้นขายาว Beauty Red Rose XL</v>
          </cell>
          <cell r="E10251">
            <v>0</v>
          </cell>
          <cell r="F10251">
            <v>890</v>
          </cell>
        </row>
        <row r="10252">
          <cell r="A10252" t="str">
            <v>ST0347-2XL</v>
          </cell>
          <cell r="B10252" t="str">
            <v>T347</v>
          </cell>
          <cell r="C10252" t="str">
            <v>ซาติน แขนสั้นขายาว Coral Sea 2XL</v>
          </cell>
          <cell r="E10252">
            <v>0</v>
          </cell>
          <cell r="F10252">
            <v>890</v>
          </cell>
        </row>
        <row r="10253">
          <cell r="A10253" t="str">
            <v>ST0347-3XL</v>
          </cell>
          <cell r="B10253" t="str">
            <v>T347</v>
          </cell>
          <cell r="C10253" t="str">
            <v>ซาติน แขนสั้นขายาว Coral Sea 3XL</v>
          </cell>
          <cell r="E10253">
            <v>0</v>
          </cell>
          <cell r="F10253">
            <v>890</v>
          </cell>
        </row>
        <row r="10254">
          <cell r="A10254" t="str">
            <v>ST0347-L</v>
          </cell>
          <cell r="B10254" t="str">
            <v>T347</v>
          </cell>
          <cell r="C10254" t="str">
            <v>ซาติน แขนสั้นขายาว Coral Sea L</v>
          </cell>
          <cell r="E10254">
            <v>9</v>
          </cell>
          <cell r="F10254">
            <v>890</v>
          </cell>
        </row>
        <row r="10255">
          <cell r="A10255" t="str">
            <v>ST0347-M</v>
          </cell>
          <cell r="B10255" t="str">
            <v>T347</v>
          </cell>
          <cell r="C10255" t="str">
            <v>ซาติน แขนสั้นขายาว Coral Sea M</v>
          </cell>
          <cell r="E10255">
            <v>0</v>
          </cell>
          <cell r="F10255">
            <v>890</v>
          </cell>
        </row>
        <row r="10256">
          <cell r="A10256" t="str">
            <v>ST0347-S</v>
          </cell>
          <cell r="B10256" t="str">
            <v>T347</v>
          </cell>
          <cell r="C10256" t="str">
            <v>ซาติน แขนสั้นขายาว Coral Sea S</v>
          </cell>
          <cell r="E10256">
            <v>0</v>
          </cell>
          <cell r="F10256">
            <v>890</v>
          </cell>
        </row>
        <row r="10257">
          <cell r="A10257" t="str">
            <v>ST0347-XL</v>
          </cell>
          <cell r="B10257" t="str">
            <v>T347</v>
          </cell>
          <cell r="C10257" t="str">
            <v>ซาติน แขนสั้นขายาว Coral Sea XL</v>
          </cell>
          <cell r="E10257">
            <v>0</v>
          </cell>
          <cell r="F10257">
            <v>890</v>
          </cell>
        </row>
        <row r="10258">
          <cell r="A10258" t="str">
            <v>ST0350-2XL</v>
          </cell>
          <cell r="B10258" t="str">
            <v>T350</v>
          </cell>
          <cell r="C10258" t="str">
            <v>ซาติน แขนสั้นขายาว Flower Gray 2XL</v>
          </cell>
          <cell r="E10258">
            <v>0</v>
          </cell>
          <cell r="F10258">
            <v>890</v>
          </cell>
        </row>
        <row r="10259">
          <cell r="A10259" t="str">
            <v>ST0350-3XL</v>
          </cell>
          <cell r="B10259" t="str">
            <v>T350</v>
          </cell>
          <cell r="C10259" t="str">
            <v>ซาติน แขนสั้นขายาว Flower Gray 3XL</v>
          </cell>
          <cell r="E10259">
            <v>0</v>
          </cell>
          <cell r="F10259">
            <v>890</v>
          </cell>
        </row>
        <row r="10260">
          <cell r="A10260" t="str">
            <v>ST0350-L</v>
          </cell>
          <cell r="B10260" t="str">
            <v>T350</v>
          </cell>
          <cell r="C10260" t="str">
            <v>ซาติน แขนสั้นขายาว Flower Gray L</v>
          </cell>
          <cell r="E10260">
            <v>0</v>
          </cell>
          <cell r="F10260">
            <v>890</v>
          </cell>
        </row>
        <row r="10261">
          <cell r="A10261" t="str">
            <v>ST0350-M</v>
          </cell>
          <cell r="B10261" t="str">
            <v>T350</v>
          </cell>
          <cell r="C10261" t="str">
            <v>ซาติน แขนสั้นขายาว Flower Gray M</v>
          </cell>
          <cell r="E10261">
            <v>0</v>
          </cell>
          <cell r="F10261">
            <v>890</v>
          </cell>
        </row>
        <row r="10262">
          <cell r="A10262" t="str">
            <v>ST0350-XL</v>
          </cell>
          <cell r="B10262" t="str">
            <v>T350</v>
          </cell>
          <cell r="C10262" t="str">
            <v>ซาติน แขนสั้นขายาว Flower Gray XL</v>
          </cell>
          <cell r="E10262">
            <v>0</v>
          </cell>
          <cell r="F10262">
            <v>890</v>
          </cell>
        </row>
        <row r="10263">
          <cell r="A10263" t="str">
            <v>ST0352-2XL</v>
          </cell>
          <cell r="B10263" t="str">
            <v>T352</v>
          </cell>
          <cell r="C10263" t="str">
            <v>ซาติน แขนสั้นขายาว Jasmine Green 2XL</v>
          </cell>
          <cell r="E10263">
            <v>0</v>
          </cell>
          <cell r="F10263">
            <v>890</v>
          </cell>
        </row>
        <row r="10264">
          <cell r="A10264" t="str">
            <v>ST0352-L</v>
          </cell>
          <cell r="B10264" t="str">
            <v>T352</v>
          </cell>
          <cell r="C10264" t="str">
            <v>ซาติน แขนสั้นขายาว Jasmine Green L</v>
          </cell>
          <cell r="E10264">
            <v>0</v>
          </cell>
          <cell r="F10264">
            <v>890</v>
          </cell>
        </row>
        <row r="10265">
          <cell r="A10265" t="str">
            <v>ST0352-M</v>
          </cell>
          <cell r="B10265" t="str">
            <v>T352</v>
          </cell>
          <cell r="C10265" t="str">
            <v>ซาติน แขนสั้นขายาว Jasmine Green M</v>
          </cell>
          <cell r="E10265">
            <v>0</v>
          </cell>
          <cell r="F10265">
            <v>890</v>
          </cell>
        </row>
        <row r="10266">
          <cell r="A10266" t="str">
            <v>ST0352-XL</v>
          </cell>
          <cell r="B10266" t="str">
            <v>T352</v>
          </cell>
          <cell r="C10266" t="str">
            <v>ซาติน แขนสั้นขายาว Jasmine Green XL</v>
          </cell>
          <cell r="E10266">
            <v>0</v>
          </cell>
          <cell r="F10266">
            <v>890</v>
          </cell>
        </row>
        <row r="10267">
          <cell r="A10267" t="str">
            <v>ST0353-2XL</v>
          </cell>
          <cell r="B10267" t="str">
            <v>T353</v>
          </cell>
          <cell r="C10267" t="str">
            <v>ซาติน แขนสั้นขายาว Passion Fruit 2XL</v>
          </cell>
          <cell r="E10267">
            <v>0</v>
          </cell>
          <cell r="F10267">
            <v>890</v>
          </cell>
        </row>
        <row r="10268">
          <cell r="A10268" t="str">
            <v>ST0353-L</v>
          </cell>
          <cell r="B10268" t="str">
            <v>T353</v>
          </cell>
          <cell r="C10268" t="str">
            <v>ซาติน แขนสั้นขายาว Passion Fruit L</v>
          </cell>
          <cell r="E10268">
            <v>0</v>
          </cell>
          <cell r="F10268">
            <v>890</v>
          </cell>
        </row>
        <row r="10269">
          <cell r="A10269" t="str">
            <v>ST0353-M</v>
          </cell>
          <cell r="B10269" t="str">
            <v>T353</v>
          </cell>
          <cell r="C10269" t="str">
            <v>ซาติน แขนสั้นขายาว Passion Fruit M</v>
          </cell>
          <cell r="E10269">
            <v>0</v>
          </cell>
          <cell r="F10269">
            <v>890</v>
          </cell>
        </row>
        <row r="10270">
          <cell r="A10270" t="str">
            <v>ST0353-XL</v>
          </cell>
          <cell r="B10270" t="str">
            <v>T353</v>
          </cell>
          <cell r="C10270" t="str">
            <v>ซาติน แขนสั้นขายาว Passion Fruit XL</v>
          </cell>
          <cell r="E10270">
            <v>0</v>
          </cell>
          <cell r="F10270">
            <v>890</v>
          </cell>
        </row>
        <row r="10271">
          <cell r="A10271" t="str">
            <v>ST0358-2XL</v>
          </cell>
          <cell r="B10271" t="str">
            <v>T358</v>
          </cell>
          <cell r="C10271" t="str">
            <v>ซาติน แขนสั้นขายาว ลายทางม่วงครีม 2XL</v>
          </cell>
          <cell r="E10271">
            <v>0</v>
          </cell>
          <cell r="F10271">
            <v>890</v>
          </cell>
        </row>
        <row r="10272">
          <cell r="A10272" t="str">
            <v>ST0358-L</v>
          </cell>
          <cell r="B10272" t="str">
            <v>T358</v>
          </cell>
          <cell r="C10272" t="str">
            <v>ซาติน แขนสั้นขายาว ลายทางม่วงครีม L</v>
          </cell>
          <cell r="E10272">
            <v>0</v>
          </cell>
          <cell r="F10272">
            <v>890</v>
          </cell>
        </row>
        <row r="10273">
          <cell r="A10273" t="str">
            <v>ST0358-M</v>
          </cell>
          <cell r="B10273" t="str">
            <v>T358</v>
          </cell>
          <cell r="C10273" t="str">
            <v>ซาติน แขนสั้นขายาว ลายทางม่วงครีม M</v>
          </cell>
          <cell r="E10273">
            <v>0</v>
          </cell>
          <cell r="F10273">
            <v>890</v>
          </cell>
        </row>
        <row r="10274">
          <cell r="A10274" t="str">
            <v>ST0358-XL</v>
          </cell>
          <cell r="B10274" t="str">
            <v>T358</v>
          </cell>
          <cell r="C10274" t="str">
            <v>ซาติน แขนสั้นขายาว ลายทางม่วงครีม XL</v>
          </cell>
          <cell r="E10274">
            <v>0</v>
          </cell>
          <cell r="F10274">
            <v>890</v>
          </cell>
        </row>
        <row r="10275">
          <cell r="A10275" t="str">
            <v>ST0360-2XL</v>
          </cell>
          <cell r="B10275" t="str">
            <v>T360</v>
          </cell>
          <cell r="C10275" t="str">
            <v>ซาติน แขนสั้นขายาว Comic book 2XL</v>
          </cell>
          <cell r="E10275">
            <v>2</v>
          </cell>
          <cell r="F10275">
            <v>890</v>
          </cell>
        </row>
        <row r="10276">
          <cell r="A10276" t="str">
            <v>ST0360-3XL</v>
          </cell>
          <cell r="B10276" t="str">
            <v>T360</v>
          </cell>
          <cell r="C10276" t="str">
            <v>ซาติน แขนสั้นขายาว Comic book 3XL</v>
          </cell>
          <cell r="E10276">
            <v>0</v>
          </cell>
          <cell r="F10276">
            <v>890</v>
          </cell>
        </row>
        <row r="10277">
          <cell r="A10277" t="str">
            <v>ST0360-L</v>
          </cell>
          <cell r="B10277" t="str">
            <v>T360</v>
          </cell>
          <cell r="C10277" t="str">
            <v>ซาติน แขนสั้นขายาว Comic book L</v>
          </cell>
          <cell r="E10277">
            <v>0</v>
          </cell>
          <cell r="F10277">
            <v>890</v>
          </cell>
        </row>
        <row r="10278">
          <cell r="A10278" t="str">
            <v>ST0360-M</v>
          </cell>
          <cell r="B10278" t="str">
            <v>T360</v>
          </cell>
          <cell r="C10278" t="str">
            <v>ซาติน แขนสั้นขายาว Comic book M</v>
          </cell>
          <cell r="E10278">
            <v>0</v>
          </cell>
          <cell r="F10278">
            <v>890</v>
          </cell>
        </row>
        <row r="10279">
          <cell r="A10279" t="str">
            <v>ST0360-XL</v>
          </cell>
          <cell r="B10279" t="str">
            <v>T360</v>
          </cell>
          <cell r="C10279" t="str">
            <v>ซาติน แขนสั้นขายาว Comic book XL</v>
          </cell>
          <cell r="E10279">
            <v>0</v>
          </cell>
          <cell r="F10279">
            <v>890</v>
          </cell>
        </row>
        <row r="10280">
          <cell r="A10280" t="str">
            <v>ST0361-2XL</v>
          </cell>
          <cell r="B10280" t="str">
            <v>T361</v>
          </cell>
          <cell r="C10280" t="str">
            <v>ซาติน แขนสั้นขายาว Color Full 2XL</v>
          </cell>
          <cell r="E10280">
            <v>0</v>
          </cell>
          <cell r="F10280">
            <v>890</v>
          </cell>
        </row>
        <row r="10281">
          <cell r="A10281" t="str">
            <v>ST0361-3XL</v>
          </cell>
          <cell r="B10281" t="str">
            <v>T361</v>
          </cell>
          <cell r="C10281" t="str">
            <v>ซาติน แขนสั้นขายาว Color Full 3XL</v>
          </cell>
          <cell r="E10281">
            <v>0</v>
          </cell>
          <cell r="F10281">
            <v>890</v>
          </cell>
        </row>
        <row r="10282">
          <cell r="A10282" t="str">
            <v>ST0361-L</v>
          </cell>
          <cell r="B10282" t="str">
            <v>T361</v>
          </cell>
          <cell r="C10282" t="str">
            <v>ซาติน แขนสั้นขายาว Color Full L</v>
          </cell>
          <cell r="E10282">
            <v>0</v>
          </cell>
          <cell r="F10282">
            <v>890</v>
          </cell>
        </row>
        <row r="10283">
          <cell r="A10283" t="str">
            <v>ST0361-M</v>
          </cell>
          <cell r="B10283" t="str">
            <v>T361</v>
          </cell>
          <cell r="C10283" t="str">
            <v>ซาติน แขนสั้นขายาว Color Full M</v>
          </cell>
          <cell r="E10283">
            <v>0</v>
          </cell>
          <cell r="F10283">
            <v>890</v>
          </cell>
        </row>
        <row r="10284">
          <cell r="A10284" t="str">
            <v>ST0361-S</v>
          </cell>
          <cell r="B10284" t="str">
            <v>T361</v>
          </cell>
          <cell r="C10284" t="str">
            <v>ซาติน แขนสั้นขายาว Color Full S</v>
          </cell>
          <cell r="E10284">
            <v>0</v>
          </cell>
          <cell r="F10284">
            <v>890</v>
          </cell>
        </row>
        <row r="10285">
          <cell r="A10285" t="str">
            <v>ST0361-XL</v>
          </cell>
          <cell r="B10285" t="str">
            <v>T361</v>
          </cell>
          <cell r="C10285" t="str">
            <v>ซาติน แขนสั้นขายาว Color Full XL</v>
          </cell>
          <cell r="E10285">
            <v>0</v>
          </cell>
          <cell r="F10285">
            <v>890</v>
          </cell>
        </row>
        <row r="10286">
          <cell r="A10286" t="str">
            <v>ST0362-2XL</v>
          </cell>
          <cell r="B10286" t="str">
            <v>T362</v>
          </cell>
          <cell r="C10286" t="str">
            <v>ซาติน แขนสั้นขายาว New moon Art 2XL</v>
          </cell>
          <cell r="E10286">
            <v>0</v>
          </cell>
          <cell r="F10286">
            <v>890</v>
          </cell>
        </row>
        <row r="10287">
          <cell r="A10287" t="str">
            <v>ST0362-3XL</v>
          </cell>
          <cell r="B10287" t="str">
            <v>T362</v>
          </cell>
          <cell r="C10287" t="str">
            <v>ซาติน แขนสั้นขายาว New moon Art 3XL</v>
          </cell>
          <cell r="E10287">
            <v>0</v>
          </cell>
          <cell r="F10287">
            <v>890</v>
          </cell>
        </row>
        <row r="10288">
          <cell r="A10288" t="str">
            <v>ST0362-L</v>
          </cell>
          <cell r="B10288" t="str">
            <v>T362</v>
          </cell>
          <cell r="C10288" t="str">
            <v>ซาติน แขนสั้นขายาว New moon Art L</v>
          </cell>
          <cell r="E10288">
            <v>0</v>
          </cell>
          <cell r="F10288">
            <v>890</v>
          </cell>
        </row>
        <row r="10289">
          <cell r="A10289" t="str">
            <v>ST0362-M</v>
          </cell>
          <cell r="B10289" t="str">
            <v>T362</v>
          </cell>
          <cell r="C10289" t="str">
            <v>ซาติน แขนสั้นขายาว New moon Art M</v>
          </cell>
          <cell r="E10289">
            <v>0</v>
          </cell>
          <cell r="F10289">
            <v>890</v>
          </cell>
        </row>
        <row r="10290">
          <cell r="A10290" t="str">
            <v>ST0362-XL</v>
          </cell>
          <cell r="B10290" t="str">
            <v>T362</v>
          </cell>
          <cell r="C10290" t="str">
            <v>ซาติน แขนสั้นขายาว New moon Art XL</v>
          </cell>
          <cell r="E10290">
            <v>0</v>
          </cell>
          <cell r="F10290">
            <v>890</v>
          </cell>
        </row>
        <row r="10291">
          <cell r="A10291" t="str">
            <v>ST0368-2XL</v>
          </cell>
          <cell r="B10291" t="str">
            <v>QT368</v>
          </cell>
          <cell r="C10291" t="str">
            <v>ซาติน แขนสั้นขายาว เสือ น้ำเงิน (กปก) 2XL QC</v>
          </cell>
          <cell r="E10291">
            <v>0</v>
          </cell>
          <cell r="F10291">
            <v>890</v>
          </cell>
        </row>
        <row r="10292">
          <cell r="A10292" t="str">
            <v>ST0368-3XL</v>
          </cell>
          <cell r="B10292" t="str">
            <v>T368</v>
          </cell>
          <cell r="C10292" t="str">
            <v>ซาติน แขนสั้นขายาว เสือ น้ำเงิน (กปก) 3XL</v>
          </cell>
          <cell r="E10292">
            <v>0</v>
          </cell>
          <cell r="F10292">
            <v>890</v>
          </cell>
        </row>
        <row r="10293">
          <cell r="A10293" t="str">
            <v>ST0368-L</v>
          </cell>
          <cell r="B10293" t="str">
            <v>T368</v>
          </cell>
          <cell r="C10293" t="str">
            <v>ซาติน แขนสั้นขายาว เสือ น้ำเงิน (กปก) L</v>
          </cell>
          <cell r="E10293">
            <v>0</v>
          </cell>
          <cell r="F10293">
            <v>890</v>
          </cell>
        </row>
        <row r="10294">
          <cell r="A10294" t="str">
            <v>ST0368-M</v>
          </cell>
          <cell r="B10294" t="str">
            <v>QT368</v>
          </cell>
          <cell r="C10294" t="str">
            <v>ซาติน แขนสั้นขายาว เสือ น้ำเงิน (กปก) M QC</v>
          </cell>
          <cell r="E10294">
            <v>0</v>
          </cell>
          <cell r="F10294">
            <v>890</v>
          </cell>
        </row>
        <row r="10295">
          <cell r="A10295" t="str">
            <v>ST0368-XL</v>
          </cell>
          <cell r="B10295" t="str">
            <v>T368</v>
          </cell>
          <cell r="C10295" t="str">
            <v>ซาติน แขนสั้นขายาว เสือ น้ำเงิน (กปก) XL</v>
          </cell>
          <cell r="E10295">
            <v>0</v>
          </cell>
          <cell r="F10295">
            <v>890</v>
          </cell>
        </row>
        <row r="10296">
          <cell r="A10296" t="str">
            <v>ST0369-2XL</v>
          </cell>
          <cell r="B10296" t="str">
            <v>JT369</v>
          </cell>
          <cell r="C10296" t="str">
            <v>ซาติน แขนสั้นขายาว กุหลาบ ขอบชมพู พื้นขาว 2XL (กปก) ตัวโชว์</v>
          </cell>
          <cell r="E10296">
            <v>0</v>
          </cell>
          <cell r="F10296">
            <v>890</v>
          </cell>
        </row>
        <row r="10297">
          <cell r="A10297" t="str">
            <v>ST0369-L</v>
          </cell>
          <cell r="B10297" t="str">
            <v>JT369</v>
          </cell>
          <cell r="C10297" t="str">
            <v>ซาติน แขนสั้นขายาว กุหลาบ ขอบชมพู พื้นขาว L (กปก) ตัวโชว์</v>
          </cell>
          <cell r="E10297">
            <v>0</v>
          </cell>
          <cell r="F10297">
            <v>890</v>
          </cell>
        </row>
        <row r="10298">
          <cell r="A10298" t="str">
            <v>ST0369-M</v>
          </cell>
          <cell r="B10298" t="str">
            <v>JT369</v>
          </cell>
          <cell r="C10298" t="str">
            <v>ซาติน แขนสั้นขายาว กุหลาบ ขอบชมพู พื้นขาว M (กปก)</v>
          </cell>
          <cell r="E10298">
            <v>0</v>
          </cell>
          <cell r="F10298">
            <v>890</v>
          </cell>
        </row>
        <row r="10299">
          <cell r="A10299" t="str">
            <v>ST0369-XL</v>
          </cell>
          <cell r="B10299" t="str">
            <v>JT369</v>
          </cell>
          <cell r="C10299" t="str">
            <v>ซาติน แขนสั้นขายาว กุหลาบ ขอบชมพู พื้นขาว XL (กปก) ตัวโชว์</v>
          </cell>
          <cell r="E10299">
            <v>0</v>
          </cell>
          <cell r="F10299">
            <v>890</v>
          </cell>
        </row>
        <row r="10300">
          <cell r="A10300" t="str">
            <v>ST0380-L</v>
          </cell>
          <cell r="B10300" t="str">
            <v>JT380</v>
          </cell>
          <cell r="C10300" t="str">
            <v>ซาติน แขนสั้นขายาว หัวใจฟ้า น้ำตาล พื้นชมพู L ตัวโชว์</v>
          </cell>
          <cell r="E10300">
            <v>0</v>
          </cell>
          <cell r="F10300">
            <v>890</v>
          </cell>
        </row>
        <row r="10301">
          <cell r="A10301" t="str">
            <v>ST0380-M</v>
          </cell>
          <cell r="B10301" t="str">
            <v>JT380</v>
          </cell>
          <cell r="C10301" t="str">
            <v>ซาติน แขนสั้นขายาว หัวใจฟ้า น้ำตาล พื้นชมพู M ตัวโชว์</v>
          </cell>
          <cell r="E10301">
            <v>0</v>
          </cell>
          <cell r="F10301">
            <v>890</v>
          </cell>
        </row>
        <row r="10302">
          <cell r="A10302" t="str">
            <v>ST0380-XL</v>
          </cell>
          <cell r="B10302" t="str">
            <v>JT380</v>
          </cell>
          <cell r="C10302" t="str">
            <v>ซาติน แขนสั้นขายาว หัวใจฟ้า น้ำตาล พื้นชมพู XL ตัวโชว์</v>
          </cell>
          <cell r="E10302">
            <v>0</v>
          </cell>
          <cell r="F10302">
            <v>890</v>
          </cell>
        </row>
        <row r="10303">
          <cell r="A10303" t="str">
            <v>ST0402-2XL</v>
          </cell>
          <cell r="B10303" t="str">
            <v>T402</v>
          </cell>
          <cell r="C10303" t="str">
            <v>ซาติน แขนสั้นขายาว เสือ พื้นขาว จุดเขียว 2XL</v>
          </cell>
          <cell r="E10303">
            <v>0</v>
          </cell>
          <cell r="F10303">
            <v>890</v>
          </cell>
        </row>
        <row r="10304">
          <cell r="A10304" t="str">
            <v>ST0402-L</v>
          </cell>
          <cell r="B10304" t="str">
            <v>T402</v>
          </cell>
          <cell r="C10304" t="str">
            <v>ซาติน แขนสั้นขายาว เสือ พื้นขาว จุดเขียว L</v>
          </cell>
          <cell r="E10304">
            <v>0</v>
          </cell>
          <cell r="F10304">
            <v>890</v>
          </cell>
        </row>
        <row r="10305">
          <cell r="A10305" t="str">
            <v>ST0402-M</v>
          </cell>
          <cell r="B10305" t="str">
            <v>T402</v>
          </cell>
          <cell r="C10305" t="str">
            <v>ซาติน แขนสั้นขายาว เสือ พื้นขาว จุดเขียว M</v>
          </cell>
          <cell r="E10305">
            <v>0</v>
          </cell>
          <cell r="F10305">
            <v>890</v>
          </cell>
        </row>
        <row r="10306">
          <cell r="A10306" t="str">
            <v>ST0402-XL</v>
          </cell>
          <cell r="B10306" t="str">
            <v>T402</v>
          </cell>
          <cell r="C10306" t="str">
            <v>ซาติน แขนสั้นขายาว เสือ พื้นขาว จุดเขียว XL</v>
          </cell>
          <cell r="E10306">
            <v>0</v>
          </cell>
          <cell r="F10306">
            <v>890</v>
          </cell>
        </row>
        <row r="10307">
          <cell r="A10307" t="str">
            <v>ST0409-2XL</v>
          </cell>
          <cell r="B10307" t="str">
            <v>JT409</v>
          </cell>
          <cell r="C10307" t="str">
            <v>ซาติน แขนสั้นขายาว แมวดำ พื้นขาว 2XL ตัวโชว์</v>
          </cell>
          <cell r="E10307">
            <v>0</v>
          </cell>
          <cell r="F10307">
            <v>890</v>
          </cell>
        </row>
        <row r="10308">
          <cell r="A10308" t="str">
            <v>ST0409-L</v>
          </cell>
          <cell r="B10308" t="str">
            <v>JT409</v>
          </cell>
          <cell r="C10308" t="str">
            <v>ซาติน แขนสั้นขายาว แมวดำ พื้นขาว L ตัวโชว์</v>
          </cell>
          <cell r="E10308">
            <v>0</v>
          </cell>
          <cell r="F10308">
            <v>890</v>
          </cell>
        </row>
        <row r="10309">
          <cell r="A10309" t="str">
            <v>ST0409-M</v>
          </cell>
          <cell r="B10309" t="str">
            <v>ป4</v>
          </cell>
          <cell r="C10309" t="str">
            <v>ซาติน แขนสั้นขายาว แมวดำ พื้นขาว M</v>
          </cell>
          <cell r="E10309">
            <v>0</v>
          </cell>
          <cell r="F10309">
            <v>890</v>
          </cell>
        </row>
        <row r="10310">
          <cell r="A10310" t="str">
            <v>ST0409-XL</v>
          </cell>
          <cell r="B10310" t="str">
            <v>JT409</v>
          </cell>
          <cell r="C10310" t="str">
            <v>ซาติน แขนสั้นขายาว แมวดำ พื้นขาว XL</v>
          </cell>
          <cell r="E10310">
            <v>0</v>
          </cell>
          <cell r="F10310">
            <v>890</v>
          </cell>
        </row>
        <row r="10311">
          <cell r="A10311" t="str">
            <v>ST0425-L</v>
          </cell>
          <cell r="B10311" t="str">
            <v>T425</v>
          </cell>
          <cell r="C10311" t="str">
            <v>ซาติน แขนสั้นขายาว พิทบูล พื้นดำ L</v>
          </cell>
          <cell r="E10311">
            <v>0</v>
          </cell>
          <cell r="F10311">
            <v>890</v>
          </cell>
        </row>
        <row r="10312">
          <cell r="A10312" t="str">
            <v>ST0425-M</v>
          </cell>
          <cell r="B10312" t="str">
            <v>T425</v>
          </cell>
          <cell r="C10312" t="str">
            <v>ซาติน แขนสั้นขายาว พิทบูล พื้นดำ M</v>
          </cell>
          <cell r="E10312">
            <v>0</v>
          </cell>
          <cell r="F10312">
            <v>890</v>
          </cell>
        </row>
        <row r="10313">
          <cell r="A10313" t="str">
            <v>ST0427-L</v>
          </cell>
          <cell r="B10313" t="str">
            <v>JT427</v>
          </cell>
          <cell r="C10313" t="str">
            <v>ซาติน แขนสั้นขายาว ลายทางเขียว Forever L (กปก) ตัวโชว์</v>
          </cell>
          <cell r="E10313">
            <v>0</v>
          </cell>
          <cell r="F10313">
            <v>890</v>
          </cell>
        </row>
        <row r="10314">
          <cell r="A10314" t="str">
            <v>ST0427-M</v>
          </cell>
          <cell r="B10314" t="str">
            <v>JT427</v>
          </cell>
          <cell r="C10314" t="str">
            <v>ซาติน แขนสั้นขายาว ลายทางเขียว Forever M (กปก) ตัวโชว์</v>
          </cell>
          <cell r="E10314">
            <v>0</v>
          </cell>
          <cell r="F10314">
            <v>890</v>
          </cell>
        </row>
        <row r="10315">
          <cell r="A10315" t="str">
            <v>ST0428-L</v>
          </cell>
          <cell r="B10315" t="str">
            <v>T428</v>
          </cell>
          <cell r="C10315" t="str">
            <v>ซาติน แขนสั้นขายาว ลายทางชมพู Forever L (กปก)</v>
          </cell>
          <cell r="E10315">
            <v>0</v>
          </cell>
          <cell r="F10315">
            <v>890</v>
          </cell>
        </row>
        <row r="10316">
          <cell r="A10316" t="str">
            <v>ST0428-M</v>
          </cell>
          <cell r="B10316" t="str">
            <v>JT428</v>
          </cell>
          <cell r="C10316" t="str">
            <v>ซาติน แขนสั้นขายาว ลายทางชมพู Forever M (กปก) ตัวโชว์</v>
          </cell>
          <cell r="E10316">
            <v>0</v>
          </cell>
          <cell r="F10316">
            <v>890</v>
          </cell>
        </row>
        <row r="10317">
          <cell r="A10317" t="str">
            <v>ST0429-L</v>
          </cell>
          <cell r="B10317" t="str">
            <v>T429</v>
          </cell>
          <cell r="C10317" t="str">
            <v>ซาติน แขนสั้นขายาว ลายทาง แมว พื้นเทา L</v>
          </cell>
          <cell r="E10317">
            <v>0</v>
          </cell>
          <cell r="F10317">
            <v>890</v>
          </cell>
        </row>
        <row r="10318">
          <cell r="A10318" t="str">
            <v>ST0429-M</v>
          </cell>
          <cell r="B10318" t="str">
            <v>T429</v>
          </cell>
          <cell r="C10318" t="str">
            <v>ซาติน แขนสั้นขายาว ลายทาง แมว พื้นเทา M</v>
          </cell>
          <cell r="E10318">
            <v>0</v>
          </cell>
          <cell r="F10318">
            <v>890</v>
          </cell>
        </row>
        <row r="10319">
          <cell r="A10319" t="str">
            <v>ST0430-L</v>
          </cell>
          <cell r="B10319" t="str">
            <v>T430</v>
          </cell>
          <cell r="C10319" t="str">
            <v>ซาติน แขนสั้นขายาว ลายทาง หมา พื้นดำ L</v>
          </cell>
          <cell r="E10319">
            <v>0</v>
          </cell>
          <cell r="F10319">
            <v>890</v>
          </cell>
        </row>
        <row r="10320">
          <cell r="A10320" t="str">
            <v>ST0430-M</v>
          </cell>
          <cell r="B10320" t="str">
            <v>T430</v>
          </cell>
          <cell r="C10320" t="str">
            <v>ซาติน แขนสั้นขายาว ลายทาง หมา พื้นดำ M</v>
          </cell>
          <cell r="E10320">
            <v>0</v>
          </cell>
          <cell r="F10320">
            <v>890</v>
          </cell>
        </row>
        <row r="10321">
          <cell r="A10321" t="str">
            <v>ST0431-L</v>
          </cell>
          <cell r="B10321" t="str">
            <v>JT431</v>
          </cell>
          <cell r="C10321" t="str">
            <v>ซาติน แขนสั้นขายาว ลายทาง จิ้งจอก พื้นเขียว L ตัวโชว์</v>
          </cell>
          <cell r="E10321">
            <v>0</v>
          </cell>
          <cell r="F10321">
            <v>890</v>
          </cell>
        </row>
        <row r="10322">
          <cell r="A10322" t="str">
            <v>ST0431-M</v>
          </cell>
          <cell r="B10322" t="str">
            <v>JT431</v>
          </cell>
          <cell r="C10322" t="str">
            <v>ซาติน แขนสั้นขายาว ลายทาง จิ้งจอก พื้นเขียว M ตัวโชว์</v>
          </cell>
          <cell r="E10322">
            <v>0</v>
          </cell>
          <cell r="F10322">
            <v>890</v>
          </cell>
        </row>
        <row r="10323">
          <cell r="A10323" t="str">
            <v>ST0468-L</v>
          </cell>
          <cell r="B10323" t="str">
            <v>T468</v>
          </cell>
          <cell r="C10323" t="str">
            <v>ซาติน แขนสั้นขายาว Chesscake พื้นฟ้า L</v>
          </cell>
          <cell r="E10323">
            <v>0</v>
          </cell>
          <cell r="F10323">
            <v>890</v>
          </cell>
        </row>
        <row r="10324">
          <cell r="A10324" t="str">
            <v>ST0468-M</v>
          </cell>
          <cell r="B10324" t="str">
            <v>T468</v>
          </cell>
          <cell r="C10324" t="str">
            <v>ซาติน แขนสั้นขายาว Chesscake พื้นฟ้า M</v>
          </cell>
          <cell r="E10324">
            <v>0</v>
          </cell>
          <cell r="F10324">
            <v>890</v>
          </cell>
        </row>
        <row r="10325">
          <cell r="A10325" t="str">
            <v>ST0469-L</v>
          </cell>
          <cell r="B10325" t="str">
            <v>T469</v>
          </cell>
          <cell r="C10325" t="str">
            <v>ซาติน แขนสั้นขายาว Chesscake พื้นชมพู L</v>
          </cell>
          <cell r="E10325">
            <v>0</v>
          </cell>
          <cell r="F10325">
            <v>890</v>
          </cell>
        </row>
        <row r="10326">
          <cell r="A10326" t="str">
            <v>ST0469-M</v>
          </cell>
          <cell r="B10326" t="str">
            <v>T469</v>
          </cell>
          <cell r="C10326" t="str">
            <v>ซาติน แขนสั้นขายาว Chesscake พื้นชมพู M</v>
          </cell>
          <cell r="E10326">
            <v>0</v>
          </cell>
          <cell r="F10326">
            <v>890</v>
          </cell>
        </row>
        <row r="10327">
          <cell r="A10327" t="str">
            <v>ST0470-L</v>
          </cell>
          <cell r="B10327" t="str">
            <v>T470</v>
          </cell>
          <cell r="C10327" t="str">
            <v>ซาติน แขนสั้นขายาว Chesscake พื้นขาว L</v>
          </cell>
          <cell r="E10327">
            <v>0</v>
          </cell>
          <cell r="F10327">
            <v>890</v>
          </cell>
        </row>
        <row r="10328">
          <cell r="A10328" t="str">
            <v>ST0470-M</v>
          </cell>
          <cell r="B10328" t="str">
            <v>T470</v>
          </cell>
          <cell r="C10328" t="str">
            <v>ซาติน แขนสั้นขายาว Chesscake พื้นขาว M</v>
          </cell>
          <cell r="E10328">
            <v>0</v>
          </cell>
          <cell r="F10328">
            <v>890</v>
          </cell>
        </row>
        <row r="10329">
          <cell r="A10329" t="str">
            <v>ST0474-L</v>
          </cell>
          <cell r="B10329" t="str">
            <v>T474</v>
          </cell>
          <cell r="C10329" t="str">
            <v>ซาติน แขนสั้นขายาว Cat day &amp; night พื้นม่วง L</v>
          </cell>
          <cell r="E10329">
            <v>0</v>
          </cell>
          <cell r="F10329">
            <v>890</v>
          </cell>
        </row>
        <row r="10330">
          <cell r="A10330" t="str">
            <v>ST0474-M</v>
          </cell>
          <cell r="B10330" t="str">
            <v>T474</v>
          </cell>
          <cell r="C10330" t="str">
            <v>ซาติน แขนสั้นขายาว Cat day &amp; night พื้นม่วง M</v>
          </cell>
          <cell r="E10330">
            <v>0</v>
          </cell>
          <cell r="F10330">
            <v>890</v>
          </cell>
        </row>
        <row r="10331">
          <cell r="A10331" t="str">
            <v>ST0475-L</v>
          </cell>
          <cell r="B10331" t="str">
            <v>T475</v>
          </cell>
          <cell r="C10331" t="str">
            <v>ซาติน แขนสั้นขายาว Cat day &amp; night พื้นฟ้า L</v>
          </cell>
          <cell r="E10331">
            <v>0</v>
          </cell>
          <cell r="F10331">
            <v>890</v>
          </cell>
        </row>
        <row r="10332">
          <cell r="A10332" t="str">
            <v>ST0475-M</v>
          </cell>
          <cell r="B10332" t="str">
            <v>T475</v>
          </cell>
          <cell r="C10332" t="str">
            <v>ซาติน แขนสั้นขายาว Cat day &amp; night พื้นฟ้า M</v>
          </cell>
          <cell r="E10332">
            <v>0</v>
          </cell>
          <cell r="F10332">
            <v>890</v>
          </cell>
        </row>
        <row r="10333">
          <cell r="A10333" t="str">
            <v>ST0476-L</v>
          </cell>
          <cell r="B10333" t="str">
            <v>T476</v>
          </cell>
          <cell r="C10333" t="str">
            <v>ซาติน แขนสั้นขายาว สีขาว GoodLuck Bear L</v>
          </cell>
          <cell r="E10333">
            <v>0</v>
          </cell>
          <cell r="F10333">
            <v>890</v>
          </cell>
        </row>
        <row r="10334">
          <cell r="A10334" t="str">
            <v>ST0476-M</v>
          </cell>
          <cell r="B10334" t="str">
            <v>T476</v>
          </cell>
          <cell r="C10334" t="str">
            <v>ซาติน แขนสั้นขายาว สีขาว GoodLuck Bear M</v>
          </cell>
          <cell r="E10334">
            <v>0</v>
          </cell>
          <cell r="F10334">
            <v>890</v>
          </cell>
        </row>
        <row r="10335">
          <cell r="A10335" t="str">
            <v>ST0477-L</v>
          </cell>
          <cell r="B10335" t="str">
            <v>T477</v>
          </cell>
          <cell r="C10335" t="str">
            <v>ซาติน แขนสั้นขายาว สีฟ้า GoodLuck Bear L</v>
          </cell>
          <cell r="E10335">
            <v>0</v>
          </cell>
          <cell r="F10335">
            <v>890</v>
          </cell>
        </row>
        <row r="10336">
          <cell r="A10336" t="str">
            <v>ST0477-M</v>
          </cell>
          <cell r="B10336" t="str">
            <v>T477</v>
          </cell>
          <cell r="C10336" t="str">
            <v>ซาติน แขนสั้นขายาว สีฟ้า GoodLuck Bear M</v>
          </cell>
          <cell r="E10336">
            <v>0</v>
          </cell>
          <cell r="F10336">
            <v>890</v>
          </cell>
        </row>
        <row r="10337">
          <cell r="A10337" t="str">
            <v>ST0482-2XL</v>
          </cell>
          <cell r="B10337" t="str">
            <v>T482</v>
          </cell>
          <cell r="C10337" t="str">
            <v>ซาติน แขนสั้นขายาว Sleep Cat พื้นฟ้า 2XL (กปก)</v>
          </cell>
          <cell r="E10337">
            <v>16</v>
          </cell>
          <cell r="F10337">
            <v>890</v>
          </cell>
        </row>
        <row r="10338">
          <cell r="A10338" t="str">
            <v>ST0482-L</v>
          </cell>
          <cell r="B10338" t="str">
            <v>T482</v>
          </cell>
          <cell r="C10338" t="str">
            <v>ซาติน แขนสั้นขายาว Sleep Cat พื้นฟ้า L (กปก)</v>
          </cell>
          <cell r="E10338">
            <v>12</v>
          </cell>
          <cell r="F10338">
            <v>890</v>
          </cell>
        </row>
        <row r="10339">
          <cell r="A10339" t="str">
            <v>ST0482-M</v>
          </cell>
          <cell r="B10339" t="str">
            <v>T482</v>
          </cell>
          <cell r="C10339" t="str">
            <v>ซาติน แขนสั้นขายาว Sleep Cat พื้นฟ้า M (กปก)</v>
          </cell>
          <cell r="E10339">
            <v>7</v>
          </cell>
          <cell r="F10339">
            <v>890</v>
          </cell>
        </row>
        <row r="10340">
          <cell r="A10340" t="str">
            <v>ST0482-XL</v>
          </cell>
          <cell r="B10340" t="str">
            <v>T482</v>
          </cell>
          <cell r="C10340" t="str">
            <v>ซาติน แขนสั้นขายาว Sleep Cat พื้นฟ้า XL (กปก)</v>
          </cell>
          <cell r="E10340">
            <v>13</v>
          </cell>
          <cell r="F10340">
            <v>890</v>
          </cell>
        </row>
        <row r="10341">
          <cell r="A10341" t="str">
            <v>ST0490-2XL</v>
          </cell>
          <cell r="B10341" t="str">
            <v>T490</v>
          </cell>
          <cell r="C10341" t="str">
            <v>ซาติน แขนสั้นขายาว Summer Tiger  (มีกปก) 2XL</v>
          </cell>
          <cell r="E10341">
            <v>0</v>
          </cell>
          <cell r="F10341">
            <v>890</v>
          </cell>
        </row>
        <row r="10342">
          <cell r="A10342" t="str">
            <v>ST0490-3XL</v>
          </cell>
          <cell r="B10342" t="str">
            <v>T490</v>
          </cell>
          <cell r="C10342" t="str">
            <v>ซาติน แขนสั้นขายาว Summer Tiger (มีกปก) 3XL</v>
          </cell>
          <cell r="E10342">
            <v>0</v>
          </cell>
          <cell r="F10342">
            <v>890</v>
          </cell>
        </row>
        <row r="10343">
          <cell r="A10343" t="str">
            <v>ST0490-L</v>
          </cell>
          <cell r="B10343" t="str">
            <v>T490</v>
          </cell>
          <cell r="C10343" t="str">
            <v>ซาติน แขนสั้นขายาว Summer Tiger  (มีกปก)L</v>
          </cell>
          <cell r="E10343">
            <v>0</v>
          </cell>
          <cell r="F10343">
            <v>890</v>
          </cell>
        </row>
        <row r="10344">
          <cell r="A10344" t="str">
            <v>ST0490-M</v>
          </cell>
          <cell r="B10344" t="str">
            <v>QT490</v>
          </cell>
          <cell r="C10344" t="str">
            <v>ซาติน แขนสั้นขายาว Summer Tiger  (มีกปก) M QC</v>
          </cell>
          <cell r="E10344">
            <v>0</v>
          </cell>
          <cell r="F10344">
            <v>890</v>
          </cell>
        </row>
        <row r="10345">
          <cell r="A10345" t="str">
            <v>ST0490-XL</v>
          </cell>
          <cell r="B10345" t="str">
            <v>T490</v>
          </cell>
          <cell r="C10345" t="str">
            <v>ซาติน แขนสั้นขายาว Summer Tiger  (มีกปก) XL</v>
          </cell>
          <cell r="E10345">
            <v>0</v>
          </cell>
          <cell r="F10345">
            <v>890</v>
          </cell>
        </row>
        <row r="10346">
          <cell r="A10346" t="str">
            <v>ST0499-L</v>
          </cell>
          <cell r="B10346" t="str">
            <v>T499</v>
          </cell>
          <cell r="C10346" t="str">
            <v>ซาติน  แขนสั้นขายาว เสือดาว จุดชมพูม่วง  L</v>
          </cell>
          <cell r="E10346">
            <v>0</v>
          </cell>
          <cell r="F10346">
            <v>890</v>
          </cell>
        </row>
        <row r="10347">
          <cell r="A10347" t="str">
            <v>ST0499-M</v>
          </cell>
          <cell r="B10347" t="str">
            <v>T499</v>
          </cell>
          <cell r="C10347" t="str">
            <v>ซาติน  แขนสั้นขายาว เสือดาว จุดชมพูม่วง  M</v>
          </cell>
          <cell r="E10347">
            <v>0</v>
          </cell>
          <cell r="F10347">
            <v>890</v>
          </cell>
        </row>
        <row r="10348">
          <cell r="A10348" t="str">
            <v>ST0499-S</v>
          </cell>
          <cell r="B10348" t="str">
            <v>T499</v>
          </cell>
          <cell r="C10348" t="str">
            <v>ซาติน  แขนสั้นขายาว เสือดาว จุดชมพูม่วง  S</v>
          </cell>
          <cell r="E10348">
            <v>0</v>
          </cell>
          <cell r="F10348">
            <v>890</v>
          </cell>
        </row>
        <row r="10349">
          <cell r="A10349" t="str">
            <v>ST0500-L</v>
          </cell>
          <cell r="B10349" t="str">
            <v>T500</v>
          </cell>
          <cell r="C10349" t="str">
            <v>ซาติน  แขนสั้นขายาว เสือดาว พื้นครีมอ่อน L</v>
          </cell>
          <cell r="E10349">
            <v>0</v>
          </cell>
          <cell r="F10349">
            <v>890</v>
          </cell>
        </row>
        <row r="10350">
          <cell r="A10350" t="str">
            <v>ST0500-M</v>
          </cell>
          <cell r="B10350" t="str">
            <v>T500</v>
          </cell>
          <cell r="C10350" t="str">
            <v>ซาติน  แขนสั้นขายาว เสือดาว พื้นครีมอ่อน M</v>
          </cell>
          <cell r="E10350">
            <v>0</v>
          </cell>
          <cell r="F10350">
            <v>890</v>
          </cell>
        </row>
        <row r="10351">
          <cell r="A10351" t="str">
            <v>ST0500-S</v>
          </cell>
          <cell r="B10351" t="str">
            <v>T500</v>
          </cell>
          <cell r="C10351" t="str">
            <v>ซาติน  แขนสั้นขายาว   เสือดาว พื้นครีมอ่อน S</v>
          </cell>
          <cell r="E10351">
            <v>0</v>
          </cell>
          <cell r="F10351">
            <v>890</v>
          </cell>
        </row>
        <row r="10352">
          <cell r="A10352" t="str">
            <v>ST0501-L</v>
          </cell>
          <cell r="B10352" t="str">
            <v>T501</v>
          </cell>
          <cell r="C10352" t="str">
            <v>ซาติน แขนสั้นขายาว Good Luck น้องหมีชมพู L (กปก)</v>
          </cell>
          <cell r="E10352">
            <v>0</v>
          </cell>
          <cell r="F10352">
            <v>890</v>
          </cell>
        </row>
        <row r="10353">
          <cell r="A10353" t="str">
            <v>ST0501-M</v>
          </cell>
          <cell r="B10353" t="str">
            <v>T501</v>
          </cell>
          <cell r="C10353" t="str">
            <v>ซาติน แขนสั้นขายาว Good Luck น้องหมีชมพู M (กปก)</v>
          </cell>
          <cell r="E10353">
            <v>0</v>
          </cell>
          <cell r="F10353">
            <v>890</v>
          </cell>
        </row>
        <row r="10354">
          <cell r="A10354" t="str">
            <v>ST0502-L</v>
          </cell>
          <cell r="B10354" t="str">
            <v>BT502</v>
          </cell>
          <cell r="C10354" t="str">
            <v>ซาติน แขนสั้นขายาว Good Luck น้องหมีกรม L</v>
          </cell>
          <cell r="E10354">
            <v>0</v>
          </cell>
          <cell r="F10354">
            <v>890</v>
          </cell>
        </row>
        <row r="10355">
          <cell r="A10355" t="str">
            <v>ST0502-M</v>
          </cell>
          <cell r="B10355" t="str">
            <v>T502</v>
          </cell>
          <cell r="C10355" t="str">
            <v>ซาติน แขนสั้นขายาว Good Luck น้องหมีกรม M</v>
          </cell>
          <cell r="E10355">
            <v>0</v>
          </cell>
          <cell r="F10355">
            <v>890</v>
          </cell>
        </row>
        <row r="10356">
          <cell r="A10356" t="str">
            <v>ST0504-L</v>
          </cell>
          <cell r="B10356" t="str">
            <v>T504</v>
          </cell>
          <cell r="C10356" t="str">
            <v>ซาติน แขนสั้นขายาว Good Luck น้องหมีฟ้า L</v>
          </cell>
          <cell r="E10356">
            <v>0</v>
          </cell>
          <cell r="F10356">
            <v>890</v>
          </cell>
        </row>
        <row r="10357">
          <cell r="A10357" t="str">
            <v>ST0504-M</v>
          </cell>
          <cell r="B10357" t="str">
            <v>T504</v>
          </cell>
          <cell r="C10357" t="str">
            <v>ซาติน แขนสั้นขายาว Good Luck น้องหมีฟ้า M</v>
          </cell>
          <cell r="E10357">
            <v>0</v>
          </cell>
          <cell r="F10357">
            <v>890</v>
          </cell>
        </row>
        <row r="10358">
          <cell r="A10358" t="str">
            <v>ST0508-L</v>
          </cell>
          <cell r="B10358" t="str">
            <v>T508</v>
          </cell>
          <cell r="C10358" t="str">
            <v>ซาติน แขนสั้นขายาว คอกลม Rabbit เทา L</v>
          </cell>
          <cell r="E10358">
            <v>0</v>
          </cell>
          <cell r="F10358">
            <v>890</v>
          </cell>
        </row>
        <row r="10359">
          <cell r="A10359" t="str">
            <v>ST0508-M</v>
          </cell>
          <cell r="B10359" t="str">
            <v>T508</v>
          </cell>
          <cell r="C10359" t="str">
            <v>ซาติน แขนสั้นขายาว คอกลม Rabbit เทา M</v>
          </cell>
          <cell r="E10359">
            <v>0</v>
          </cell>
          <cell r="F10359">
            <v>890</v>
          </cell>
        </row>
        <row r="10360">
          <cell r="A10360" t="str">
            <v>ST0509-L</v>
          </cell>
          <cell r="B10360" t="str">
            <v>T509</v>
          </cell>
          <cell r="C10360" t="str">
            <v>ซาติน แขนสั้นขายาว คอกลม Zebra พื้นขาว L</v>
          </cell>
          <cell r="E10360">
            <v>0</v>
          </cell>
          <cell r="F10360">
            <v>890</v>
          </cell>
        </row>
        <row r="10361">
          <cell r="A10361" t="str">
            <v>ST0509-M</v>
          </cell>
          <cell r="B10361" t="str">
            <v>T509</v>
          </cell>
          <cell r="C10361" t="str">
            <v>ซาติน แขนสั้นขายาว คอกลม Zebra พื้นขาว M</v>
          </cell>
          <cell r="E10361">
            <v>0</v>
          </cell>
          <cell r="F10361">
            <v>890</v>
          </cell>
        </row>
        <row r="10362">
          <cell r="A10362" t="str">
            <v>ST0510-L</v>
          </cell>
          <cell r="B10362" t="str">
            <v>T510</v>
          </cell>
          <cell r="C10362" t="str">
            <v>ซาติน แขนสั้นขายาว คอกลม Zebra พื้นเขียว L</v>
          </cell>
          <cell r="E10362">
            <v>0</v>
          </cell>
          <cell r="F10362">
            <v>890</v>
          </cell>
        </row>
        <row r="10363">
          <cell r="A10363" t="str">
            <v>ST0510-M</v>
          </cell>
          <cell r="B10363" t="str">
            <v>T510</v>
          </cell>
          <cell r="C10363" t="str">
            <v>ซาติน แขนสั้นขายาว คอกลม Zebra พื้นเขียว M</v>
          </cell>
          <cell r="E10363">
            <v>0</v>
          </cell>
          <cell r="F10363">
            <v>890</v>
          </cell>
        </row>
        <row r="10364">
          <cell r="A10364" t="str">
            <v>ST0514-L</v>
          </cell>
          <cell r="B10364" t="str">
            <v>T514</v>
          </cell>
          <cell r="C10364" t="str">
            <v>ซาติน แขนสั้นขายาว Bear Comic พื้นเขียวมรกต L</v>
          </cell>
          <cell r="E10364">
            <v>0</v>
          </cell>
          <cell r="F10364">
            <v>890</v>
          </cell>
        </row>
        <row r="10365">
          <cell r="A10365" t="str">
            <v>ST0514-XL</v>
          </cell>
          <cell r="B10365" t="str">
            <v>T514</v>
          </cell>
          <cell r="C10365" t="str">
            <v>ซาติน แขนสั้นขายาว Bear Comic พื้นเขียวมรกต XL</v>
          </cell>
          <cell r="E10365">
            <v>0</v>
          </cell>
          <cell r="F10365">
            <v>890</v>
          </cell>
        </row>
        <row r="10366">
          <cell r="A10366" t="str">
            <v>ST0515-L</v>
          </cell>
          <cell r="B10366" t="str">
            <v>T515</v>
          </cell>
          <cell r="C10366" t="str">
            <v>ซาติน แขนสั้นขายาว Bear Comic พื้นดำ L</v>
          </cell>
          <cell r="E10366">
            <v>0</v>
          </cell>
          <cell r="F10366">
            <v>890</v>
          </cell>
        </row>
        <row r="10367">
          <cell r="A10367" t="str">
            <v>ST0515-XL</v>
          </cell>
          <cell r="B10367" t="str">
            <v>T515</v>
          </cell>
          <cell r="C10367" t="str">
            <v>ซาติน แขนสั้นขายาว Bear Comic พื้นดำ XL</v>
          </cell>
          <cell r="E10367">
            <v>0</v>
          </cell>
          <cell r="F10367">
            <v>890</v>
          </cell>
        </row>
        <row r="10368">
          <cell r="A10368" t="str">
            <v>ST0516-L</v>
          </cell>
          <cell r="B10368" t="str">
            <v>T516</v>
          </cell>
          <cell r="C10368" t="str">
            <v>ซาติน แขนสั้นขายาว Bear Comic พื้นขาว L</v>
          </cell>
          <cell r="E10368">
            <v>0</v>
          </cell>
          <cell r="F10368">
            <v>890</v>
          </cell>
        </row>
        <row r="10369">
          <cell r="A10369" t="str">
            <v>ST0516-M</v>
          </cell>
          <cell r="B10369" t="str">
            <v>T516</v>
          </cell>
          <cell r="C10369" t="str">
            <v>ซาติน แขนสั้นขายาว Bear Comic พื้นขาว M</v>
          </cell>
          <cell r="E10369">
            <v>0</v>
          </cell>
          <cell r="F10369">
            <v>890</v>
          </cell>
        </row>
        <row r="10370">
          <cell r="A10370" t="str">
            <v>ST0516-XL</v>
          </cell>
          <cell r="B10370" t="str">
            <v>T516</v>
          </cell>
          <cell r="C10370" t="str">
            <v>ซาติน แขนสั้นขายาว Bear Comic พื้นขาว XL</v>
          </cell>
          <cell r="E10370">
            <v>0</v>
          </cell>
          <cell r="F10370">
            <v>890</v>
          </cell>
        </row>
        <row r="10371">
          <cell r="A10371" t="str">
            <v>ST0517-F</v>
          </cell>
          <cell r="B10371" t="str">
            <v>T517</v>
          </cell>
          <cell r="C10371" t="str">
            <v>ซาติน แขนสั้นขายาว นุ้งแมว ปกเหลือง F</v>
          </cell>
          <cell r="E10371">
            <v>0</v>
          </cell>
          <cell r="F10371">
            <v>890</v>
          </cell>
        </row>
        <row r="10372">
          <cell r="A10372" t="str">
            <v>ST0518-F</v>
          </cell>
          <cell r="B10372" t="str">
            <v>T518</v>
          </cell>
          <cell r="C10372" t="str">
            <v>ซาติน แขนสั้นขายาว นุ้งแมว ปกแดง F</v>
          </cell>
          <cell r="E10372">
            <v>0</v>
          </cell>
          <cell r="F10372">
            <v>890</v>
          </cell>
        </row>
        <row r="10373">
          <cell r="A10373" t="str">
            <v>ST0519-2XL</v>
          </cell>
          <cell r="B10373" t="str">
            <v>T519</v>
          </cell>
          <cell r="C10373" t="str">
            <v>ซิลค์แจ็คการ์ด แขนสั้นขายาว ผีเสื้อ พาสเทล พื้นขาว 2XL</v>
          </cell>
          <cell r="E10373">
            <v>0</v>
          </cell>
          <cell r="F10373">
            <v>890</v>
          </cell>
        </row>
        <row r="10374">
          <cell r="A10374" t="str">
            <v>ST0519-L</v>
          </cell>
          <cell r="B10374" t="str">
            <v>T519</v>
          </cell>
          <cell r="C10374" t="str">
            <v>ซิลค์แจ็คการ์ด แขนสั้นขายาว ผีเสื้อ พาสเทล พื้นขาว L</v>
          </cell>
          <cell r="E10374">
            <v>0</v>
          </cell>
          <cell r="F10374">
            <v>890</v>
          </cell>
        </row>
        <row r="10375">
          <cell r="A10375" t="str">
            <v>ST0519-M</v>
          </cell>
          <cell r="B10375" t="str">
            <v>T519</v>
          </cell>
          <cell r="C10375" t="str">
            <v>ซิลค์แจ็คการ์ด แขนสั้นขายาว ผีเสื้อ พาสเทล พื้นขาว M</v>
          </cell>
          <cell r="E10375">
            <v>0</v>
          </cell>
          <cell r="F10375">
            <v>890</v>
          </cell>
        </row>
        <row r="10376">
          <cell r="A10376" t="str">
            <v>ST0519-XL</v>
          </cell>
          <cell r="B10376" t="str">
            <v>T519</v>
          </cell>
          <cell r="C10376" t="str">
            <v>ซิลค์แจ็คการ์ด แขนสั้นขายาว ผีเสื้อ พาสเทล พื้นขาว XL</v>
          </cell>
          <cell r="E10376">
            <v>0</v>
          </cell>
          <cell r="F10376">
            <v>890</v>
          </cell>
        </row>
        <row r="10377">
          <cell r="A10377" t="str">
            <v>ST0523-2XL</v>
          </cell>
          <cell r="B10377" t="str">
            <v>T523</v>
          </cell>
          <cell r="C10377" t="str">
            <v>ซาติน แขนสั้นขายาว Flower พื้นเขียว ปกชมพู 2XL</v>
          </cell>
          <cell r="E10377">
            <v>0</v>
          </cell>
          <cell r="F10377">
            <v>890</v>
          </cell>
        </row>
        <row r="10378">
          <cell r="A10378" t="str">
            <v>ST0523-L</v>
          </cell>
          <cell r="B10378" t="str">
            <v>T523</v>
          </cell>
          <cell r="C10378" t="str">
            <v>ซาติน แขนสั้นขายาว Flower พื้นเขียว ปกชมพู L</v>
          </cell>
          <cell r="E10378">
            <v>0</v>
          </cell>
          <cell r="F10378">
            <v>890</v>
          </cell>
        </row>
        <row r="10379">
          <cell r="A10379" t="str">
            <v>ST0523-M</v>
          </cell>
          <cell r="B10379" t="str">
            <v>JT523</v>
          </cell>
          <cell r="C10379" t="str">
            <v>ซาติน แขนสั้นขายาว Flower พื้นเขียว ปกชมพู M ตัวโชว์</v>
          </cell>
          <cell r="E10379">
            <v>0</v>
          </cell>
          <cell r="F10379">
            <v>890</v>
          </cell>
        </row>
        <row r="10380">
          <cell r="A10380" t="str">
            <v>ST0523-XL</v>
          </cell>
          <cell r="B10380" t="str">
            <v>JT523</v>
          </cell>
          <cell r="C10380" t="str">
            <v>ซาติน แขนสั้นขายาว Flower พื้นเขียว ปกชมพู XL ตัวโชว์</v>
          </cell>
          <cell r="E10380">
            <v>0</v>
          </cell>
          <cell r="F10380">
            <v>890</v>
          </cell>
        </row>
        <row r="10381">
          <cell r="A10381" t="str">
            <v>ST0524-2XL</v>
          </cell>
          <cell r="B10381" t="str">
            <v>T524</v>
          </cell>
          <cell r="C10381" t="str">
            <v>ซาติน แขนสั้นขายาว ดอกไม้เขียว พื้นเขียว 2XL</v>
          </cell>
          <cell r="E10381">
            <v>0</v>
          </cell>
          <cell r="F10381">
            <v>890</v>
          </cell>
        </row>
        <row r="10382">
          <cell r="A10382" t="str">
            <v>ST0524-L</v>
          </cell>
          <cell r="B10382" t="str">
            <v>T524</v>
          </cell>
          <cell r="C10382" t="str">
            <v>ซาติน แขนสั้นขายาว ดอกไม้เขียว พื้นเขียว L (กปก)</v>
          </cell>
          <cell r="E10382">
            <v>0</v>
          </cell>
          <cell r="F10382">
            <v>890</v>
          </cell>
        </row>
        <row r="10383">
          <cell r="A10383" t="str">
            <v>ST0524-M</v>
          </cell>
          <cell r="B10383" t="str">
            <v>T524</v>
          </cell>
          <cell r="C10383" t="str">
            <v>ซาติน แขนสั้นขายาว ดอกไม้เขียว พื้นเขียว M</v>
          </cell>
          <cell r="E10383">
            <v>0</v>
          </cell>
          <cell r="F10383">
            <v>890</v>
          </cell>
        </row>
        <row r="10384">
          <cell r="A10384" t="str">
            <v>ST0524-XL</v>
          </cell>
          <cell r="B10384" t="str">
            <v>T524</v>
          </cell>
          <cell r="C10384" t="str">
            <v>ซาติน แขนสั้นขายาว ดอกไม้เขียว พื้นเขียว XL</v>
          </cell>
          <cell r="E10384">
            <v>0</v>
          </cell>
          <cell r="F10384">
            <v>890</v>
          </cell>
        </row>
        <row r="10385">
          <cell r="A10385" t="str">
            <v>ST0525-2XL</v>
          </cell>
          <cell r="B10385" t="str">
            <v>T525</v>
          </cell>
          <cell r="C10385" t="str">
            <v>ซาติน แขนสั้นขายาว ภาพวาดกุหลาบ พื้นส้ม 2XL</v>
          </cell>
          <cell r="E10385">
            <v>0</v>
          </cell>
          <cell r="F10385">
            <v>890</v>
          </cell>
        </row>
        <row r="10386">
          <cell r="A10386" t="str">
            <v>ST0525-3XL</v>
          </cell>
          <cell r="B10386" t="str">
            <v>T525</v>
          </cell>
          <cell r="C10386" t="str">
            <v>ซาติน แขนสั้นขายาว ภาพวาดกุหลาบ พื้นส้ม 3XL</v>
          </cell>
          <cell r="E10386">
            <v>0</v>
          </cell>
          <cell r="F10386">
            <v>890</v>
          </cell>
        </row>
        <row r="10387">
          <cell r="A10387" t="str">
            <v>ST0525-L</v>
          </cell>
          <cell r="B10387" t="str">
            <v>T525</v>
          </cell>
          <cell r="C10387" t="str">
            <v>ซาติน แขนสั้นขายาว ภาพวาดกุหลาบ พื้นส้ม L</v>
          </cell>
          <cell r="E10387">
            <v>0</v>
          </cell>
          <cell r="F10387">
            <v>890</v>
          </cell>
        </row>
        <row r="10388">
          <cell r="A10388" t="str">
            <v>ST0525-M</v>
          </cell>
          <cell r="B10388" t="str">
            <v>T525</v>
          </cell>
          <cell r="C10388" t="str">
            <v>ซาติน แขนสั้นขายาว ภาพวาดกุหลาบ พื้นส้ม M</v>
          </cell>
          <cell r="E10388">
            <v>0</v>
          </cell>
          <cell r="F10388">
            <v>890</v>
          </cell>
        </row>
        <row r="10389">
          <cell r="A10389" t="str">
            <v>ST0525-XL</v>
          </cell>
          <cell r="B10389" t="str">
            <v>T525</v>
          </cell>
          <cell r="C10389" t="str">
            <v>ซาติน แขนสั้นขายาว ภาพวาดกุหลาบ พื้นส้ม XL</v>
          </cell>
          <cell r="E10389">
            <v>0</v>
          </cell>
          <cell r="F10389">
            <v>890</v>
          </cell>
        </row>
        <row r="10390">
          <cell r="A10390" t="str">
            <v>ST0526-2XL</v>
          </cell>
          <cell r="B10390" t="str">
            <v>T526</v>
          </cell>
          <cell r="C10390" t="str">
            <v>ซาติน แขนสั้นขายาว Royal Art 2XL</v>
          </cell>
          <cell r="E10390">
            <v>17</v>
          </cell>
          <cell r="F10390">
            <v>890</v>
          </cell>
        </row>
        <row r="10391">
          <cell r="A10391" t="str">
            <v>ST0526-3XL</v>
          </cell>
          <cell r="B10391" t="str">
            <v>QT526</v>
          </cell>
          <cell r="C10391" t="str">
            <v>ซาติน แขนสั้นขายาว Royal Art 3XL QC</v>
          </cell>
          <cell r="E10391">
            <v>0</v>
          </cell>
          <cell r="F10391">
            <v>890</v>
          </cell>
        </row>
        <row r="10392">
          <cell r="A10392" t="str">
            <v>ST0526-L</v>
          </cell>
          <cell r="B10392" t="str">
            <v>T526</v>
          </cell>
          <cell r="C10392" t="str">
            <v>ซาติน แขนสั้นขายาว Royal Art L</v>
          </cell>
          <cell r="E10392">
            <v>7</v>
          </cell>
          <cell r="F10392">
            <v>890</v>
          </cell>
        </row>
        <row r="10393">
          <cell r="A10393" t="str">
            <v>ST0526-M</v>
          </cell>
          <cell r="B10393" t="str">
            <v>T526</v>
          </cell>
          <cell r="C10393" t="str">
            <v>ซาติน แขนสั้นขายาว Royal Art M</v>
          </cell>
          <cell r="E10393">
            <v>6</v>
          </cell>
          <cell r="F10393">
            <v>890</v>
          </cell>
        </row>
        <row r="10394">
          <cell r="A10394" t="str">
            <v>ST0526-S</v>
          </cell>
          <cell r="B10394" t="str">
            <v>T526</v>
          </cell>
          <cell r="C10394" t="str">
            <v>ซาติน แขนสั้นขายาว Royal Art S</v>
          </cell>
          <cell r="E10394">
            <v>0</v>
          </cell>
          <cell r="F10394">
            <v>890</v>
          </cell>
        </row>
        <row r="10395">
          <cell r="A10395" t="str">
            <v>ST0526-XL</v>
          </cell>
          <cell r="B10395" t="str">
            <v>T526</v>
          </cell>
          <cell r="C10395" t="str">
            <v>ซาติน แขนสั้นขายาว Royal Art XL</v>
          </cell>
          <cell r="E10395">
            <v>9</v>
          </cell>
          <cell r="F10395">
            <v>890</v>
          </cell>
        </row>
        <row r="10396">
          <cell r="A10396" t="str">
            <v>ST0541-2XL</v>
          </cell>
          <cell r="B10396" t="str">
            <v>T541</v>
          </cell>
          <cell r="C10396" t="str">
            <v>ซาติน แขนสั้นขายาว ใบไม้ชมพู ปกม่วง 2XL</v>
          </cell>
          <cell r="E10396">
            <v>0</v>
          </cell>
          <cell r="F10396">
            <v>890</v>
          </cell>
        </row>
        <row r="10397">
          <cell r="A10397" t="str">
            <v>ST0541-L</v>
          </cell>
          <cell r="B10397" t="str">
            <v>T541</v>
          </cell>
          <cell r="C10397" t="str">
            <v>ซาติน แขนสั้นขายาว ใบไม้ชมพู ปกม่วง L (กปก)</v>
          </cell>
          <cell r="E10397">
            <v>0</v>
          </cell>
          <cell r="F10397">
            <v>890</v>
          </cell>
        </row>
        <row r="10398">
          <cell r="A10398" t="str">
            <v>ST0541-M</v>
          </cell>
          <cell r="B10398" t="str">
            <v>T541</v>
          </cell>
          <cell r="C10398" t="str">
            <v>ซาติน แขนสั้นขายาว ใบไม้ชมพู ปกม่วง M</v>
          </cell>
          <cell r="E10398">
            <v>0</v>
          </cell>
          <cell r="F10398">
            <v>890</v>
          </cell>
        </row>
        <row r="10399">
          <cell r="A10399" t="str">
            <v>ST0541-XL</v>
          </cell>
          <cell r="B10399" t="str">
            <v>T541</v>
          </cell>
          <cell r="C10399" t="str">
            <v>ซาติน แขนสั้นขายาว ใบไม้ชมพู ปกม่วง XL</v>
          </cell>
          <cell r="E10399">
            <v>0</v>
          </cell>
          <cell r="F10399">
            <v>890</v>
          </cell>
        </row>
        <row r="10400">
          <cell r="A10400" t="str">
            <v>ST0542-2XL</v>
          </cell>
          <cell r="B10400" t="str">
            <v>JT542</v>
          </cell>
          <cell r="C10400" t="str">
            <v>ซาติน แขนสั้นขายาว Green Garden ปกชมพูจุด 2XL ตัวโชว์</v>
          </cell>
          <cell r="E10400">
            <v>0</v>
          </cell>
          <cell r="F10400">
            <v>890</v>
          </cell>
        </row>
        <row r="10401">
          <cell r="A10401" t="str">
            <v>ST0542-L</v>
          </cell>
          <cell r="B10401" t="str">
            <v>JT542</v>
          </cell>
          <cell r="C10401" t="str">
            <v>ซาติน แขนสั้นขายาว Green Garden ปกชมพูจุด L ตัวโชว์</v>
          </cell>
          <cell r="E10401">
            <v>0</v>
          </cell>
          <cell r="F10401">
            <v>890</v>
          </cell>
        </row>
        <row r="10402">
          <cell r="A10402" t="str">
            <v>ST0542-M</v>
          </cell>
          <cell r="B10402" t="str">
            <v>JT542</v>
          </cell>
          <cell r="C10402" t="str">
            <v>ซาติน แขนสั้นขายาว Green Garden ปกชมพูจุด M</v>
          </cell>
          <cell r="E10402">
            <v>0</v>
          </cell>
          <cell r="F10402">
            <v>890</v>
          </cell>
        </row>
        <row r="10403">
          <cell r="A10403" t="str">
            <v>ST0542-XL</v>
          </cell>
          <cell r="B10403" t="str">
            <v>JT542</v>
          </cell>
          <cell r="C10403" t="str">
            <v>ซาติน แขนสั้นขายาว Green Garden ปกชมพูจุด XL ตัวโชว์</v>
          </cell>
          <cell r="E10403">
            <v>0</v>
          </cell>
          <cell r="F10403">
            <v>890</v>
          </cell>
        </row>
        <row r="10404">
          <cell r="A10404" t="str">
            <v>ST0544-M</v>
          </cell>
          <cell r="B10404" t="str">
            <v>T544</v>
          </cell>
          <cell r="C10404" t="str">
            <v>ซาติน แขนสั้นขายาว คอกลม LV ดำ M (กปก)</v>
          </cell>
          <cell r="E10404">
            <v>0</v>
          </cell>
          <cell r="F10404">
            <v>890</v>
          </cell>
        </row>
        <row r="10405">
          <cell r="A10405" t="str">
            <v>ST0545-L</v>
          </cell>
          <cell r="B10405" t="str">
            <v>T545</v>
          </cell>
          <cell r="C10405" t="str">
            <v>ซาติน แขนสั้นขายาว คอกลม LV น้ำตาล L (กปก)</v>
          </cell>
          <cell r="E10405">
            <v>0</v>
          </cell>
          <cell r="F10405">
            <v>890</v>
          </cell>
        </row>
        <row r="10406">
          <cell r="A10406" t="str">
            <v>ST0545-M</v>
          </cell>
          <cell r="B10406" t="str">
            <v>T545</v>
          </cell>
          <cell r="C10406" t="str">
            <v>ซาติน แขนสั้นขายาว คอกลม LV น้ำตาล M</v>
          </cell>
          <cell r="E10406">
            <v>0</v>
          </cell>
          <cell r="F10406">
            <v>890</v>
          </cell>
        </row>
        <row r="10407">
          <cell r="A10407" t="str">
            <v>ST0549-L</v>
          </cell>
          <cell r="B10407" t="str">
            <v>T549</v>
          </cell>
          <cell r="C10407" t="str">
            <v>ซาติน แขนสั้นขายาว ลายทางเขียว ปกชมพู cute L</v>
          </cell>
          <cell r="E10407">
            <v>0</v>
          </cell>
          <cell r="F10407">
            <v>890</v>
          </cell>
        </row>
        <row r="10408">
          <cell r="A10408" t="str">
            <v>ST0549-M</v>
          </cell>
          <cell r="B10408" t="str">
            <v>T549</v>
          </cell>
          <cell r="C10408" t="str">
            <v>ซาติน แขนสั้นขายาว ลายทางเขียว ปกชมพู cute M</v>
          </cell>
          <cell r="E10408">
            <v>0</v>
          </cell>
          <cell r="F10408">
            <v>890</v>
          </cell>
        </row>
        <row r="10409">
          <cell r="A10409" t="str">
            <v>ST0550-L</v>
          </cell>
          <cell r="B10409" t="str">
            <v>JT550</v>
          </cell>
          <cell r="C10409" t="str">
            <v>ซาติน แขนสั้นขายาว ลายทางชมพู ปกชมพู cute L ตัวโชว์</v>
          </cell>
          <cell r="E10409">
            <v>0</v>
          </cell>
          <cell r="F10409">
            <v>890</v>
          </cell>
        </row>
        <row r="10410">
          <cell r="A10410" t="str">
            <v>ST0550-M</v>
          </cell>
          <cell r="B10410" t="str">
            <v>JT550</v>
          </cell>
          <cell r="C10410" t="str">
            <v>ซาติน แขนสั้นขายาว ลายทางชมพู ปกชมพู cute M ตัวโชว์</v>
          </cell>
          <cell r="E10410">
            <v>0</v>
          </cell>
          <cell r="F10410">
            <v>890</v>
          </cell>
        </row>
        <row r="10411">
          <cell r="A10411" t="str">
            <v>ST0557-L</v>
          </cell>
          <cell r="B10411" t="str">
            <v>T557</v>
          </cell>
          <cell r="C10411" t="str">
            <v>ซาติน แขนสั้นขายาว ม่วง ปกหัวใจ L (กปก)</v>
          </cell>
          <cell r="E10411">
            <v>0</v>
          </cell>
          <cell r="F10411">
            <v>890</v>
          </cell>
        </row>
        <row r="10412">
          <cell r="A10412" t="str">
            <v>ST0557-M</v>
          </cell>
          <cell r="B10412" t="str">
            <v>T557</v>
          </cell>
          <cell r="C10412" t="str">
            <v>ซาติน แขนสั้นขายาว ม่วง ปกหัวใจ M</v>
          </cell>
          <cell r="E10412">
            <v>0</v>
          </cell>
          <cell r="F10412">
            <v>890</v>
          </cell>
        </row>
        <row r="10413">
          <cell r="A10413" t="str">
            <v>ST0566-L</v>
          </cell>
          <cell r="B10413" t="str">
            <v>T566</v>
          </cell>
          <cell r="C10413" t="str">
            <v>ซาติน แขนสั้นขายาว ลายทาง ขาว ดำ L</v>
          </cell>
          <cell r="E10413">
            <v>0</v>
          </cell>
          <cell r="F10413">
            <v>890</v>
          </cell>
        </row>
        <row r="10414">
          <cell r="A10414" t="str">
            <v>ST0566-M</v>
          </cell>
          <cell r="B10414" t="str">
            <v>T566</v>
          </cell>
          <cell r="C10414" t="str">
            <v>ซาติน แขนสั้นขายาว ลายทาง ขาว ดำ M</v>
          </cell>
          <cell r="E10414">
            <v>0</v>
          </cell>
          <cell r="F10414">
            <v>890</v>
          </cell>
        </row>
        <row r="10415">
          <cell r="A10415" t="str">
            <v>ST0566-XL</v>
          </cell>
          <cell r="B10415" t="str">
            <v>T566</v>
          </cell>
          <cell r="C10415" t="str">
            <v>ซาติน แขนสั้นขายาว ลายทาง ขาว ดำ XL</v>
          </cell>
          <cell r="E10415">
            <v>0</v>
          </cell>
          <cell r="F10415">
            <v>890</v>
          </cell>
        </row>
        <row r="10416">
          <cell r="A10416" t="str">
            <v>ST0572-L</v>
          </cell>
          <cell r="B10416" t="str">
            <v>T572</v>
          </cell>
          <cell r="C10416" t="str">
            <v>ซาติน แขนสั้นขายาว ลายเสือ ชมพู ลูกไม้ L</v>
          </cell>
          <cell r="E10416">
            <v>0</v>
          </cell>
          <cell r="F10416">
            <v>890</v>
          </cell>
        </row>
        <row r="10417">
          <cell r="A10417" t="str">
            <v>ST0572-M</v>
          </cell>
          <cell r="B10417" t="str">
            <v>T572</v>
          </cell>
          <cell r="C10417" t="str">
            <v>ซาติน แขนสั้นขายาว ลายเสือ ชมพู ลูกไม้ M</v>
          </cell>
          <cell r="E10417">
            <v>0</v>
          </cell>
          <cell r="F10417">
            <v>890</v>
          </cell>
        </row>
        <row r="10418">
          <cell r="A10418" t="str">
            <v>ST0572-S</v>
          </cell>
          <cell r="B10418" t="str">
            <v>T572</v>
          </cell>
          <cell r="C10418" t="str">
            <v>ซาติน แขนสั้นขายาว ลายเสือ ชมพู ลูกไม้ S</v>
          </cell>
          <cell r="E10418">
            <v>0</v>
          </cell>
          <cell r="F10418">
            <v>890</v>
          </cell>
        </row>
        <row r="10419">
          <cell r="A10419" t="str">
            <v>ST0579-L</v>
          </cell>
          <cell r="B10419" t="str">
            <v>T579</v>
          </cell>
          <cell r="C10419" t="str">
            <v>ซาติน แขนสั้นขายาว ช่อดอกไม้ เขียว L</v>
          </cell>
          <cell r="E10419">
            <v>0</v>
          </cell>
          <cell r="F10419">
            <v>890</v>
          </cell>
        </row>
        <row r="10420">
          <cell r="A10420" t="str">
            <v>ST0579-M</v>
          </cell>
          <cell r="B10420" t="str">
            <v>T579</v>
          </cell>
          <cell r="C10420" t="str">
            <v>ซาติน แขนสั้นขายาว ช่อดอกไม้ เขียว M</v>
          </cell>
          <cell r="E10420">
            <v>0</v>
          </cell>
          <cell r="F10420">
            <v>890</v>
          </cell>
        </row>
        <row r="10421">
          <cell r="A10421" t="str">
            <v>ST0580-L</v>
          </cell>
          <cell r="B10421" t="str">
            <v>T580</v>
          </cell>
          <cell r="C10421" t="str">
            <v>ซาติน แขนสั้นขายาว ช่อดอกไม้ เหลือง L</v>
          </cell>
          <cell r="E10421">
            <v>0</v>
          </cell>
          <cell r="F10421">
            <v>890</v>
          </cell>
        </row>
        <row r="10422">
          <cell r="A10422" t="str">
            <v>ST0580-M</v>
          </cell>
          <cell r="B10422" t="str">
            <v>T580</v>
          </cell>
          <cell r="C10422" t="str">
            <v>ซาติน แขนสั้นขายาว ช่อดอกไม้ เหลือง M</v>
          </cell>
          <cell r="E10422">
            <v>0</v>
          </cell>
          <cell r="F10422">
            <v>890</v>
          </cell>
        </row>
        <row r="10423">
          <cell r="A10423" t="str">
            <v>ST0604-2XL</v>
          </cell>
          <cell r="B10423" t="str">
            <v>T604</v>
          </cell>
          <cell r="C10423" t="str">
            <v>ซาติน แขนสั้นขายาว Pink Rose 2XL</v>
          </cell>
          <cell r="E10423">
            <v>0</v>
          </cell>
          <cell r="F10423">
            <v>890</v>
          </cell>
        </row>
        <row r="10424">
          <cell r="A10424" t="str">
            <v>ST0604-L</v>
          </cell>
          <cell r="B10424" t="str">
            <v>T604</v>
          </cell>
          <cell r="C10424" t="str">
            <v>ซาติน แขนสั้นขายาว Pink Rose L (กปก)</v>
          </cell>
          <cell r="E10424">
            <v>0</v>
          </cell>
          <cell r="F10424">
            <v>890</v>
          </cell>
        </row>
        <row r="10425">
          <cell r="A10425" t="str">
            <v>ST0604-M</v>
          </cell>
          <cell r="B10425" t="str">
            <v>T604</v>
          </cell>
          <cell r="C10425" t="str">
            <v>ซาติน แขนสั้นขายาว Pink Rose M</v>
          </cell>
          <cell r="E10425">
            <v>0</v>
          </cell>
          <cell r="F10425">
            <v>890</v>
          </cell>
        </row>
        <row r="10426">
          <cell r="A10426" t="str">
            <v>ST0604-XL</v>
          </cell>
          <cell r="B10426" t="str">
            <v>T604</v>
          </cell>
          <cell r="C10426" t="str">
            <v>ซาติน แขนสั้นขายาว Pink Rose XL</v>
          </cell>
          <cell r="E10426">
            <v>0</v>
          </cell>
          <cell r="F10426">
            <v>890</v>
          </cell>
        </row>
        <row r="10427">
          <cell r="A10427" t="str">
            <v>ST0605-2XL</v>
          </cell>
          <cell r="B10427" t="str">
            <v>T605</v>
          </cell>
          <cell r="C10427" t="str">
            <v>ซาติน แขนสั้นขายาว ดอกลิลลี่ พื้นฟ้า 2XL</v>
          </cell>
          <cell r="E10427">
            <v>0</v>
          </cell>
          <cell r="F10427">
            <v>890</v>
          </cell>
        </row>
        <row r="10428">
          <cell r="A10428" t="str">
            <v>ST0605-L</v>
          </cell>
          <cell r="B10428" t="str">
            <v>T605</v>
          </cell>
          <cell r="C10428" t="str">
            <v>ซาติน แขนสั้นขายาว ดอกลิลลี่ พื้นฟ้า L</v>
          </cell>
          <cell r="E10428">
            <v>0</v>
          </cell>
          <cell r="F10428">
            <v>890</v>
          </cell>
        </row>
        <row r="10429">
          <cell r="A10429" t="str">
            <v>ST0605-M</v>
          </cell>
          <cell r="B10429" t="str">
            <v>T605</v>
          </cell>
          <cell r="C10429" t="str">
            <v>ซาติน แขนสั้นขายาว ดอกลิลลี่ พื้นฟ้า M</v>
          </cell>
          <cell r="E10429">
            <v>0</v>
          </cell>
          <cell r="F10429">
            <v>890</v>
          </cell>
        </row>
        <row r="10430">
          <cell r="A10430" t="str">
            <v>ST0605-XL</v>
          </cell>
          <cell r="B10430" t="str">
            <v>T605</v>
          </cell>
          <cell r="C10430" t="str">
            <v>ซาติน แขนสั้นขายาว ดอกลิลลี่ พื้นฟ้า XL</v>
          </cell>
          <cell r="E10430">
            <v>0</v>
          </cell>
          <cell r="F10430">
            <v>890</v>
          </cell>
        </row>
        <row r="10431">
          <cell r="A10431" t="str">
            <v>ST0606-2XL</v>
          </cell>
          <cell r="B10431" t="str">
            <v>T606</v>
          </cell>
          <cell r="C10431" t="str">
            <v>ซาติน แขนสั้นขายาว มอนสเตอร่า พื้นเขียวมินท์ 2XL (กปก)</v>
          </cell>
          <cell r="E10431">
            <v>0</v>
          </cell>
          <cell r="F10431">
            <v>890</v>
          </cell>
        </row>
        <row r="10432">
          <cell r="A10432" t="str">
            <v>ST0606-L</v>
          </cell>
          <cell r="B10432" t="str">
            <v>T606</v>
          </cell>
          <cell r="C10432" t="str">
            <v>ซาติน แขนสั้นขายาว มอนสเตอร่า พื้นเขียวมินท์ L (กปก)</v>
          </cell>
          <cell r="E10432">
            <v>0</v>
          </cell>
          <cell r="F10432">
            <v>890</v>
          </cell>
        </row>
        <row r="10433">
          <cell r="A10433" t="str">
            <v>ST0606-M</v>
          </cell>
          <cell r="B10433" t="str">
            <v>T606</v>
          </cell>
          <cell r="C10433" t="str">
            <v>ซาติน แขนสั้นขายาว มอนสเตอร่า พื้นเขียวมินท์ M (กปก)</v>
          </cell>
          <cell r="E10433">
            <v>0</v>
          </cell>
          <cell r="F10433">
            <v>890</v>
          </cell>
        </row>
        <row r="10434">
          <cell r="A10434" t="str">
            <v>ST0606-XL</v>
          </cell>
          <cell r="B10434" t="str">
            <v>T606</v>
          </cell>
          <cell r="C10434" t="str">
            <v>ซาติน แขนสั้นขายาว มอนสเตอร่า พื้นเขียวมินท์ XL (กปก)</v>
          </cell>
          <cell r="E10434">
            <v>0</v>
          </cell>
          <cell r="F10434">
            <v>890</v>
          </cell>
        </row>
        <row r="10435">
          <cell r="A10435" t="str">
            <v>ST0607-F</v>
          </cell>
          <cell r="B10435" t="str">
            <v>T607</v>
          </cell>
          <cell r="C10435" t="str">
            <v>ซาติน แขนสั้นขายาว สำนักจีน เส้าหลิน พื้นขาว F</v>
          </cell>
          <cell r="E10435">
            <v>0</v>
          </cell>
          <cell r="F10435">
            <v>890</v>
          </cell>
        </row>
        <row r="10436">
          <cell r="A10436" t="str">
            <v>ST0608-F</v>
          </cell>
          <cell r="B10436" t="str">
            <v>T608</v>
          </cell>
          <cell r="C10436" t="str">
            <v>ซาติน แขนสั้นขายาว ชิโนริ ชมพู ลายไพ่ F</v>
          </cell>
          <cell r="E10436">
            <v>0</v>
          </cell>
          <cell r="F10436">
            <v>890</v>
          </cell>
        </row>
        <row r="10437">
          <cell r="A10437" t="str">
            <v>ST0610-F</v>
          </cell>
          <cell r="B10437" t="str">
            <v>T610</v>
          </cell>
          <cell r="C10437" t="str">
            <v>ซิลค์แจ็คการ์ด แขนสั้นขายาว Doraemon พื้นชมพู F</v>
          </cell>
          <cell r="E10437">
            <v>0</v>
          </cell>
          <cell r="F10437">
            <v>890</v>
          </cell>
        </row>
        <row r="10438">
          <cell r="A10438" t="str">
            <v>ST0611-F</v>
          </cell>
          <cell r="B10438" t="str">
            <v>T611</v>
          </cell>
          <cell r="C10438" t="str">
            <v>ซาติน แขนสั้นขายาว ตารางดำ พื้นครีม ขอบเขียว แรบบิท F</v>
          </cell>
          <cell r="E10438">
            <v>0</v>
          </cell>
          <cell r="F10438">
            <v>890</v>
          </cell>
        </row>
        <row r="10439">
          <cell r="A10439" t="str">
            <v>ST0612-F</v>
          </cell>
          <cell r="B10439" t="str">
            <v>T612</v>
          </cell>
          <cell r="C10439" t="str">
            <v>ซาติน แขนสั้นขายาว กวางแดง พื้นเขียว F</v>
          </cell>
          <cell r="E10439">
            <v>0</v>
          </cell>
          <cell r="F10439">
            <v>890</v>
          </cell>
        </row>
        <row r="10440">
          <cell r="A10440" t="str">
            <v>ST0614-F</v>
          </cell>
          <cell r="B10440" t="str">
            <v>T614</v>
          </cell>
          <cell r="C10440" t="str">
            <v>ซาติน แขนสั้นขายาว ตุ๊กตากระต่าย ปกชมพู ขอบฟ้า F</v>
          </cell>
          <cell r="E10440">
            <v>0</v>
          </cell>
          <cell r="F10440">
            <v>890</v>
          </cell>
        </row>
        <row r="10441">
          <cell r="A10441" t="str">
            <v>ST0615-F</v>
          </cell>
          <cell r="B10441" t="str">
            <v>T615</v>
          </cell>
          <cell r="C10441" t="str">
            <v>ซาติน แขนสั้นขายาว น้องเหมียวปุกปุย โมจิ ตารางชมพู F</v>
          </cell>
          <cell r="E10441">
            <v>0</v>
          </cell>
          <cell r="F10441">
            <v>890</v>
          </cell>
        </row>
        <row r="10442">
          <cell r="A10442" t="str">
            <v>ST0616-F</v>
          </cell>
          <cell r="B10442" t="str">
            <v>T616</v>
          </cell>
          <cell r="C10442" t="str">
            <v>ซาติน แขนสั้นขายาว ลายพราง น้ำเงิน F</v>
          </cell>
          <cell r="E10442">
            <v>0</v>
          </cell>
          <cell r="F10442">
            <v>890</v>
          </cell>
        </row>
        <row r="10443">
          <cell r="A10443" t="str">
            <v>ST0618-F</v>
          </cell>
          <cell r="B10443" t="str">
            <v>T618</v>
          </cell>
          <cell r="C10443" t="str">
            <v>ซิลค์แจ็คการ์ด แขนสั้นขายาว ตารางเขียว พื้นครีม ขอบส้ม แรบบิท F</v>
          </cell>
          <cell r="E10443">
            <v>0</v>
          </cell>
          <cell r="F10443">
            <v>890</v>
          </cell>
        </row>
        <row r="10444">
          <cell r="A10444" t="str">
            <v>ST0619-F</v>
          </cell>
          <cell r="B10444" t="str">
            <v>T619</v>
          </cell>
          <cell r="C10444" t="str">
            <v>ซาติน แขนสั้นขายาว Rock Tiger F</v>
          </cell>
          <cell r="E10444">
            <v>0</v>
          </cell>
          <cell r="F10444">
            <v>890</v>
          </cell>
        </row>
        <row r="10445">
          <cell r="A10445" t="str">
            <v>ST0620-F</v>
          </cell>
          <cell r="B10445" t="str">
            <v>T620</v>
          </cell>
          <cell r="C10445" t="str">
            <v>ซาติน แขนสั้นขายาว  จิ้งจอก คลั่งรัก ปกชมพู F</v>
          </cell>
          <cell r="E10445">
            <v>0</v>
          </cell>
          <cell r="F10445">
            <v>890</v>
          </cell>
        </row>
        <row r="10446">
          <cell r="A10446" t="str">
            <v>ST0621-F</v>
          </cell>
          <cell r="B10446" t="str">
            <v>T621</v>
          </cell>
          <cell r="C10446" t="str">
            <v>ซาติน แขนสั้นขายาว แรบบิท ตาราง สีเนื้อ F</v>
          </cell>
          <cell r="E10446">
            <v>0</v>
          </cell>
          <cell r="F10446">
            <v>890</v>
          </cell>
        </row>
        <row r="10447">
          <cell r="A10447" t="str">
            <v>ST0622-F</v>
          </cell>
          <cell r="B10447" t="str">
            <v>T622</v>
          </cell>
          <cell r="C10447" t="str">
            <v>ซาติน แขนสั้นขายาว สวันน่า พื้นเขียว F</v>
          </cell>
          <cell r="E10447">
            <v>0</v>
          </cell>
          <cell r="F10447">
            <v>890</v>
          </cell>
        </row>
        <row r="10448">
          <cell r="A10448" t="str">
            <v>ST0623-F</v>
          </cell>
          <cell r="B10448" t="str">
            <v>T623</v>
          </cell>
          <cell r="C10448" t="str">
            <v>ซาติน แขนสั้นขายาว Painting Art F</v>
          </cell>
          <cell r="E10448">
            <v>0</v>
          </cell>
          <cell r="F10448">
            <v>890</v>
          </cell>
        </row>
        <row r="10449">
          <cell r="A10449" t="str">
            <v>ST0624-2XL</v>
          </cell>
          <cell r="B10449" t="str">
            <v>T624</v>
          </cell>
          <cell r="C10449" t="str">
            <v>ซิลค์แจ็คการ์ด แขนสั้นขายาว Flitter ทิกเกอร์ ชมพู 2XL</v>
          </cell>
          <cell r="E10449">
            <v>0</v>
          </cell>
          <cell r="F10449">
            <v>890</v>
          </cell>
        </row>
        <row r="10450">
          <cell r="A10450" t="str">
            <v>ST0624-F</v>
          </cell>
          <cell r="B10450" t="str">
            <v>T624</v>
          </cell>
          <cell r="C10450" t="str">
            <v>ซิลค์แจ็คการ์ด แขนสั้นขายาว Flitter ทิกเกอร์ ชมพู F</v>
          </cell>
          <cell r="E10450">
            <v>0</v>
          </cell>
          <cell r="F10450">
            <v>890</v>
          </cell>
        </row>
        <row r="10451">
          <cell r="A10451" t="str">
            <v>ST0624-L</v>
          </cell>
          <cell r="B10451" t="str">
            <v>T624</v>
          </cell>
          <cell r="C10451" t="str">
            <v>ซิลค์แจ็คการ์ด แขนสั้นขายาว Flitter ทิกเกอร์ ชมพู L</v>
          </cell>
          <cell r="E10451">
            <v>0</v>
          </cell>
          <cell r="F10451">
            <v>890</v>
          </cell>
        </row>
        <row r="10452">
          <cell r="A10452" t="str">
            <v>ST0624-M</v>
          </cell>
          <cell r="B10452" t="str">
            <v>T624</v>
          </cell>
          <cell r="C10452" t="str">
            <v>ซิลค์แจ็คการ์ด แขนสั้นขายาว Flitter ทิกเกอร์ ชมพู M</v>
          </cell>
          <cell r="E10452">
            <v>0</v>
          </cell>
          <cell r="F10452">
            <v>890</v>
          </cell>
        </row>
        <row r="10453">
          <cell r="A10453" t="str">
            <v>ST0624-XL</v>
          </cell>
          <cell r="B10453" t="str">
            <v>T624</v>
          </cell>
          <cell r="C10453" t="str">
            <v>ซิลค์แจ็คการ์ด แขนสั้นขายาว Flitter ทิกเกอร์ ชมพู XL</v>
          </cell>
          <cell r="E10453">
            <v>0</v>
          </cell>
          <cell r="F10453">
            <v>890</v>
          </cell>
        </row>
        <row r="10454">
          <cell r="A10454" t="str">
            <v>ST0625-F</v>
          </cell>
          <cell r="B10454" t="str">
            <v>T625</v>
          </cell>
          <cell r="C10454" t="str">
            <v>ซิลค์แจ็คการ์ด แขนสั้นขายาว ตาราง Golden Rabbit F</v>
          </cell>
          <cell r="E10454">
            <v>0</v>
          </cell>
          <cell r="F10454">
            <v>890</v>
          </cell>
        </row>
        <row r="10455">
          <cell r="A10455" t="str">
            <v>ST0626-F</v>
          </cell>
          <cell r="B10455" t="str">
            <v>T626</v>
          </cell>
          <cell r="C10455" t="str">
            <v>ซาติน แขนสั้นขายาว ทุ่งทานตะวัน พื้นขาว F</v>
          </cell>
          <cell r="E10455">
            <v>0</v>
          </cell>
          <cell r="F10455">
            <v>890</v>
          </cell>
        </row>
        <row r="10456">
          <cell r="A10456" t="str">
            <v>ST0627-F</v>
          </cell>
          <cell r="B10456" t="str">
            <v>T627</v>
          </cell>
          <cell r="C10456" t="str">
            <v>ซาติน แขนสั้นขายาว ตารางชมพู กระต่าย พาสเทล F</v>
          </cell>
          <cell r="E10456">
            <v>0</v>
          </cell>
          <cell r="F10456">
            <v>890</v>
          </cell>
        </row>
        <row r="10457">
          <cell r="A10457" t="str">
            <v>ST0628-2XL</v>
          </cell>
          <cell r="B10457" t="str">
            <v>T628</v>
          </cell>
          <cell r="C10457" t="str">
            <v>ซาติน แขนสั้นขายาว ชิโนริ เขียว ขอบม่วง 2XL</v>
          </cell>
          <cell r="E10457">
            <v>0</v>
          </cell>
          <cell r="F10457">
            <v>890</v>
          </cell>
        </row>
        <row r="10458">
          <cell r="A10458" t="str">
            <v>ST0628-L</v>
          </cell>
          <cell r="B10458" t="str">
            <v>T628</v>
          </cell>
          <cell r="C10458" t="str">
            <v>ซาติน แขนสั้นขายาว ชิโนริ เขียว ขอบม่วง L</v>
          </cell>
          <cell r="E10458">
            <v>0</v>
          </cell>
          <cell r="F10458">
            <v>890</v>
          </cell>
        </row>
        <row r="10459">
          <cell r="A10459" t="str">
            <v>ST0628-M</v>
          </cell>
          <cell r="B10459" t="str">
            <v>T628</v>
          </cell>
          <cell r="C10459" t="str">
            <v>ซาติน แขนสั้นขายาว ชิโนริ เขียว ขอบม่วง M</v>
          </cell>
          <cell r="E10459">
            <v>0</v>
          </cell>
          <cell r="F10459">
            <v>890</v>
          </cell>
        </row>
        <row r="10460">
          <cell r="A10460" t="str">
            <v>ST0628-XL</v>
          </cell>
          <cell r="B10460" t="str">
            <v>T628</v>
          </cell>
          <cell r="C10460" t="str">
            <v>ซาติน แขนสั้นขายาว ชิโนริ เขียว ขอบม่วง XL</v>
          </cell>
          <cell r="E10460">
            <v>0</v>
          </cell>
          <cell r="F10460">
            <v>890</v>
          </cell>
        </row>
        <row r="10461">
          <cell r="A10461" t="str">
            <v>ST0629-2XL</v>
          </cell>
          <cell r="B10461" t="str">
            <v>T629</v>
          </cell>
          <cell r="C10461" t="str">
            <v>ซาติน แขนสั้นขายาว ชิโนริ ฟ้า ขอบม่วง 2XL</v>
          </cell>
          <cell r="E10461">
            <v>0</v>
          </cell>
          <cell r="F10461">
            <v>890</v>
          </cell>
        </row>
        <row r="10462">
          <cell r="A10462" t="str">
            <v>ST0629-L</v>
          </cell>
          <cell r="B10462" t="str">
            <v>JT629</v>
          </cell>
          <cell r="C10462" t="str">
            <v>ซาติน แขนสั้นขายาว ชิโนริ ฟ้า ขอบม่วง L ตัวโชว์</v>
          </cell>
          <cell r="E10462">
            <v>0</v>
          </cell>
          <cell r="F10462">
            <v>890</v>
          </cell>
        </row>
        <row r="10463">
          <cell r="A10463" t="str">
            <v>ST0629-M</v>
          </cell>
          <cell r="B10463" t="str">
            <v>JT629</v>
          </cell>
          <cell r="C10463" t="str">
            <v>ซาติน แขนสั้นขายาว ชิโนริ ฟ้า ขอบม่วง M</v>
          </cell>
          <cell r="E10463">
            <v>0</v>
          </cell>
          <cell r="F10463">
            <v>890</v>
          </cell>
        </row>
        <row r="10464">
          <cell r="A10464" t="str">
            <v>ST0629-XL</v>
          </cell>
          <cell r="B10464" t="str">
            <v>JT629</v>
          </cell>
          <cell r="C10464" t="str">
            <v>ซาติน แขนสั้นขายาว ชิโนริ ฟ้า ขอบม่วง XL ตัวโชว์</v>
          </cell>
          <cell r="E10464">
            <v>0</v>
          </cell>
          <cell r="F10464">
            <v>890</v>
          </cell>
        </row>
        <row r="10465">
          <cell r="A10465" t="str">
            <v>ST0630-2XL</v>
          </cell>
          <cell r="B10465" t="str">
            <v>T630</v>
          </cell>
          <cell r="C10465" t="str">
            <v>ซาติน แขนสั้นขายาว ชิโนริ ม่วง ขอบส้ม 2XL</v>
          </cell>
          <cell r="E10465">
            <v>0</v>
          </cell>
          <cell r="F10465">
            <v>890</v>
          </cell>
        </row>
        <row r="10466">
          <cell r="A10466" t="str">
            <v>ST0630-L</v>
          </cell>
          <cell r="B10466" t="str">
            <v>T630</v>
          </cell>
          <cell r="C10466" t="str">
            <v>ซาติน แขนสั้นขายาว ชิโนริ ม่วง ขอบส้ม L</v>
          </cell>
          <cell r="E10466">
            <v>0</v>
          </cell>
          <cell r="F10466">
            <v>890</v>
          </cell>
        </row>
        <row r="10467">
          <cell r="A10467" t="str">
            <v>ST0630-M</v>
          </cell>
          <cell r="B10467" t="str">
            <v>T630</v>
          </cell>
          <cell r="C10467" t="str">
            <v>ซาติน แขนสั้นขายาว ชิโนริ ม่วง ขอบส้ม M</v>
          </cell>
          <cell r="E10467">
            <v>0</v>
          </cell>
          <cell r="F10467">
            <v>890</v>
          </cell>
        </row>
        <row r="10468">
          <cell r="A10468" t="str">
            <v>ST0630-XL</v>
          </cell>
          <cell r="B10468" t="str">
            <v>T630</v>
          </cell>
          <cell r="C10468" t="str">
            <v>ซาติน แขนสั้นขายาว ชิโนริ ม่วง ขอบส้ม XL</v>
          </cell>
          <cell r="E10468">
            <v>0</v>
          </cell>
          <cell r="F10468">
            <v>890</v>
          </cell>
        </row>
        <row r="10469">
          <cell r="A10469" t="str">
            <v>ST0631-2XL</v>
          </cell>
          <cell r="B10469" t="str">
            <v>JT631</v>
          </cell>
          <cell r="C10469" t="str">
            <v>ซาติน แขนสั้นขายาว ชิโนริ ชมพู ขอบม่วง 2XL ตัวโชว์</v>
          </cell>
          <cell r="E10469">
            <v>0</v>
          </cell>
          <cell r="F10469">
            <v>890</v>
          </cell>
        </row>
        <row r="10470">
          <cell r="A10470" t="str">
            <v>ST0631-L</v>
          </cell>
          <cell r="B10470" t="str">
            <v>T631</v>
          </cell>
          <cell r="C10470" t="str">
            <v>ซาติน แขนสั้นขายาว ชิโนริ ชมพู ขอบม่วง L</v>
          </cell>
          <cell r="E10470">
            <v>0</v>
          </cell>
          <cell r="F10470">
            <v>890</v>
          </cell>
        </row>
        <row r="10471">
          <cell r="A10471" t="str">
            <v>ST0631-M</v>
          </cell>
          <cell r="B10471" t="str">
            <v>JT631</v>
          </cell>
          <cell r="C10471" t="str">
            <v>ซาติน แขนสั้นขายาว ชิโนริ ชมพู ขอบม่วง M</v>
          </cell>
          <cell r="E10471">
            <v>0</v>
          </cell>
          <cell r="F10471">
            <v>890</v>
          </cell>
        </row>
        <row r="10472">
          <cell r="A10472" t="str">
            <v>ST0631-XL</v>
          </cell>
          <cell r="B10472" t="str">
            <v>JT631</v>
          </cell>
          <cell r="C10472" t="str">
            <v>ซาติน แขนสั้นขายาว ชิโนริ ชมพู ขอบม่วง XL ตัวโชว์</v>
          </cell>
          <cell r="E10472">
            <v>0</v>
          </cell>
          <cell r="F10472">
            <v>890</v>
          </cell>
        </row>
        <row r="10473">
          <cell r="A10473" t="str">
            <v>ST0645-L</v>
          </cell>
          <cell r="B10473" t="str">
            <v>T645</v>
          </cell>
          <cell r="C10473" t="str">
            <v>ซาติน แขนสั้นขายาว Rainbow Cat พื้นเขียว L</v>
          </cell>
          <cell r="E10473">
            <v>0</v>
          </cell>
          <cell r="F10473">
            <v>890</v>
          </cell>
        </row>
        <row r="10474">
          <cell r="A10474" t="str">
            <v>ST0645-M</v>
          </cell>
          <cell r="B10474" t="str">
            <v>T645</v>
          </cell>
          <cell r="C10474" t="str">
            <v>ซาติน แขนสั้นขายาว Rainbow Cat พื้นเขียว M</v>
          </cell>
          <cell r="E10474">
            <v>0</v>
          </cell>
          <cell r="F10474">
            <v>890</v>
          </cell>
        </row>
        <row r="10475">
          <cell r="A10475" t="str">
            <v>ST0645-S</v>
          </cell>
          <cell r="B10475" t="str">
            <v>T645</v>
          </cell>
          <cell r="C10475" t="str">
            <v>ซาติน แขนสั้นขายาว Rainbow Cat พื้นเขียว S</v>
          </cell>
          <cell r="E10475">
            <v>0</v>
          </cell>
          <cell r="F10475">
            <v>890</v>
          </cell>
        </row>
        <row r="10476">
          <cell r="A10476" t="str">
            <v>ST0646-L</v>
          </cell>
          <cell r="B10476" t="str">
            <v>JT646</v>
          </cell>
          <cell r="C10476" t="str">
            <v>ซาติน แขนสั้นขายาว Rainbow Cat พื้นชมพู L (กปก) ตัวโชว์</v>
          </cell>
          <cell r="E10476">
            <v>0</v>
          </cell>
          <cell r="F10476">
            <v>890</v>
          </cell>
        </row>
        <row r="10477">
          <cell r="A10477" t="str">
            <v>ST0646-M</v>
          </cell>
          <cell r="B10477" t="str">
            <v>JT646</v>
          </cell>
          <cell r="C10477" t="str">
            <v>ซาติน แขนสั้นขายาว Rainbow Cat พื้นชมพู M (กปก) ตัวโชว์</v>
          </cell>
          <cell r="E10477">
            <v>0</v>
          </cell>
          <cell r="F10477">
            <v>890</v>
          </cell>
        </row>
        <row r="10478">
          <cell r="A10478" t="str">
            <v>ST0646-S</v>
          </cell>
          <cell r="B10478" t="str">
            <v>ป9</v>
          </cell>
          <cell r="C10478" t="str">
            <v>ซาติน แขนสั้นขายาว Rainbow Cat พื้นชมพู S (กปก)</v>
          </cell>
          <cell r="E10478">
            <v>0</v>
          </cell>
          <cell r="F10478">
            <v>890</v>
          </cell>
        </row>
        <row r="10479">
          <cell r="A10479" t="str">
            <v>ST0663-2XL</v>
          </cell>
          <cell r="B10479" t="str">
            <v>T663</v>
          </cell>
          <cell r="C10479" t="str">
            <v>ซาติน แขนสั้นขายาว Black Rose 2XL</v>
          </cell>
          <cell r="E10479">
            <v>0</v>
          </cell>
          <cell r="F10479">
            <v>890</v>
          </cell>
        </row>
        <row r="10480">
          <cell r="A10480" t="str">
            <v>ST0663-L</v>
          </cell>
          <cell r="B10480" t="str">
            <v>T663</v>
          </cell>
          <cell r="C10480" t="str">
            <v>ซาติน แขนสั้นขายาว Black Rose L (กปก)</v>
          </cell>
          <cell r="E10480">
            <v>0</v>
          </cell>
          <cell r="F10480">
            <v>890</v>
          </cell>
        </row>
        <row r="10481">
          <cell r="A10481" t="str">
            <v>ST0663-M</v>
          </cell>
          <cell r="B10481" t="str">
            <v>T663</v>
          </cell>
          <cell r="C10481" t="str">
            <v>ซาติน แขนสั้นขายาว Black Rose M</v>
          </cell>
          <cell r="E10481">
            <v>0</v>
          </cell>
          <cell r="F10481">
            <v>890</v>
          </cell>
        </row>
        <row r="10482">
          <cell r="A10482" t="str">
            <v>ST0663-XL</v>
          </cell>
          <cell r="B10482" t="str">
            <v>T663</v>
          </cell>
          <cell r="C10482" t="str">
            <v>ซาติน แขนสั้นขายาว Black Rose XL (กปก)</v>
          </cell>
          <cell r="E10482">
            <v>0</v>
          </cell>
          <cell r="F10482">
            <v>890</v>
          </cell>
        </row>
        <row r="10483">
          <cell r="A10483" t="str">
            <v>ST0666-L</v>
          </cell>
          <cell r="B10483" t="str">
            <v>JT666</v>
          </cell>
          <cell r="C10483" t="str">
            <v>ซาติน แขนสั้นขายาว Rainbow Cat พื้นขาว L (กปก) ตัวโชว์</v>
          </cell>
          <cell r="E10483">
            <v>0</v>
          </cell>
          <cell r="F10483">
            <v>890</v>
          </cell>
        </row>
        <row r="10484">
          <cell r="A10484" t="str">
            <v>ST0666-M</v>
          </cell>
          <cell r="B10484" t="str">
            <v>JT666</v>
          </cell>
          <cell r="C10484" t="str">
            <v>ซาติน แขนสั้นขายาว Rainbow Cat พื้นขาว M (กปก) ตัวโชว์</v>
          </cell>
          <cell r="E10484">
            <v>0</v>
          </cell>
          <cell r="F10484">
            <v>890</v>
          </cell>
        </row>
        <row r="10485">
          <cell r="A10485" t="str">
            <v>ST0666-S</v>
          </cell>
          <cell r="B10485" t="str">
            <v>JT666</v>
          </cell>
          <cell r="C10485" t="str">
            <v>ซาติน แขนสั้นขายาว Rainbow Cat พื้นขาว S (กปก) ตัวโชว์</v>
          </cell>
          <cell r="E10485">
            <v>0</v>
          </cell>
          <cell r="F10485">
            <v>890</v>
          </cell>
        </row>
        <row r="10486">
          <cell r="A10486" t="str">
            <v>ST0667-2XL</v>
          </cell>
          <cell r="B10486" t="str">
            <v>T667</v>
          </cell>
          <cell r="C10486" t="str">
            <v>ซาติน แขนสั้นขายาว art พื้นส้ม 2XL (กปก)</v>
          </cell>
          <cell r="E10486">
            <v>0</v>
          </cell>
          <cell r="F10486">
            <v>890</v>
          </cell>
        </row>
        <row r="10487">
          <cell r="A10487" t="str">
            <v>ST0667-L</v>
          </cell>
          <cell r="B10487" t="str">
            <v>T667</v>
          </cell>
          <cell r="C10487" t="str">
            <v>ซาติน แขนสั้นขายาว art พื้นส้ม L (กปก)</v>
          </cell>
          <cell r="E10487">
            <v>0</v>
          </cell>
          <cell r="F10487">
            <v>890</v>
          </cell>
        </row>
        <row r="10488">
          <cell r="A10488" t="str">
            <v>ST0667-M</v>
          </cell>
          <cell r="B10488" t="str">
            <v>QT667</v>
          </cell>
          <cell r="C10488" t="str">
            <v>ซาติน แขนสั้นขายาว art พื้นส้ม M (กปก) QC</v>
          </cell>
          <cell r="E10488">
            <v>0</v>
          </cell>
          <cell r="F10488">
            <v>890</v>
          </cell>
        </row>
        <row r="10489">
          <cell r="A10489" t="str">
            <v>ST0667-XL</v>
          </cell>
          <cell r="B10489" t="str">
            <v>T667</v>
          </cell>
          <cell r="C10489" t="str">
            <v>ซาติน แขนสั้นขายาว art พื้นส้ม XL (กปก)</v>
          </cell>
          <cell r="E10489">
            <v>0</v>
          </cell>
          <cell r="F10489">
            <v>890</v>
          </cell>
        </row>
        <row r="10490">
          <cell r="A10490" t="str">
            <v>ST0668-2XL</v>
          </cell>
          <cell r="B10490" t="str">
            <v>T668</v>
          </cell>
          <cell r="C10490" t="str">
            <v>ซาติน แขนสั้นขายาว ดอกลีลาวดี พื้นเขียว ปกเขียว 2XL (กปก)</v>
          </cell>
          <cell r="E10490">
            <v>0</v>
          </cell>
          <cell r="F10490">
            <v>890</v>
          </cell>
        </row>
        <row r="10491">
          <cell r="A10491" t="str">
            <v>ST0668-L</v>
          </cell>
          <cell r="B10491" t="str">
            <v>T668</v>
          </cell>
          <cell r="C10491" t="str">
            <v>ซาติน แขนสั้นขายาว ดอกลีลาวดี พื้นเขียว ปกเขียว L (กปก)</v>
          </cell>
          <cell r="E10491">
            <v>0</v>
          </cell>
          <cell r="F10491">
            <v>890</v>
          </cell>
        </row>
        <row r="10492">
          <cell r="A10492" t="str">
            <v>ST0668-M</v>
          </cell>
          <cell r="B10492" t="str">
            <v>T668</v>
          </cell>
          <cell r="C10492" t="str">
            <v>ซาติน แขนสั้นขายาว ดอกลีลาวดี พื้นเขียว ปกเขียว M (กปก)</v>
          </cell>
          <cell r="E10492">
            <v>0</v>
          </cell>
          <cell r="F10492">
            <v>890</v>
          </cell>
        </row>
        <row r="10493">
          <cell r="A10493" t="str">
            <v>ST0668-XL</v>
          </cell>
          <cell r="B10493" t="str">
            <v>T668</v>
          </cell>
          <cell r="C10493" t="str">
            <v>ซาติน แขนสั้นขายาว ดอกลีลาวดี พื้นเขียว ปกเขียว XL (กปก)</v>
          </cell>
          <cell r="E10493">
            <v>0</v>
          </cell>
          <cell r="F10493">
            <v>890</v>
          </cell>
        </row>
        <row r="10494">
          <cell r="A10494" t="str">
            <v>ST0670-F</v>
          </cell>
          <cell r="B10494" t="str">
            <v>T670</v>
          </cell>
          <cell r="C10494" t="str">
            <v>ซาติน แขนสั้นขายาว ฮัมมิ่งเบิร์ด พื้นขาว F</v>
          </cell>
          <cell r="E10494">
            <v>0</v>
          </cell>
          <cell r="F10494">
            <v>890</v>
          </cell>
        </row>
        <row r="10495">
          <cell r="A10495" t="str">
            <v>ST0671-F</v>
          </cell>
          <cell r="B10495" t="str">
            <v>T671</v>
          </cell>
          <cell r="C10495" t="str">
            <v>ซาติน แขนสั้นขายาว กระต่ายม่วง ปกม่วง พื้นขาว F</v>
          </cell>
          <cell r="E10495">
            <v>0</v>
          </cell>
          <cell r="F10495">
            <v>890</v>
          </cell>
        </row>
        <row r="10496">
          <cell r="A10496" t="str">
            <v>ST0672-F</v>
          </cell>
          <cell r="B10496" t="str">
            <v>T672</v>
          </cell>
          <cell r="C10496" t="str">
            <v>ซิลค์แจ็คการ์ด แขนสั้นขายาว เป็ด พื้นครีม ขอบเขียว F</v>
          </cell>
          <cell r="E10496">
            <v>0</v>
          </cell>
          <cell r="F10496">
            <v>890</v>
          </cell>
        </row>
        <row r="10497">
          <cell r="A10497" t="str">
            <v>ST0674-L</v>
          </cell>
          <cell r="B10497" t="str">
            <v>T674</v>
          </cell>
          <cell r="C10497" t="str">
            <v>ซาติน แขนสั้นขายาว ดอกไม้ แดงน้ำเงิน พื้นครีม L (กปก)</v>
          </cell>
          <cell r="E10497">
            <v>0</v>
          </cell>
          <cell r="F10497">
            <v>890</v>
          </cell>
        </row>
        <row r="10498">
          <cell r="A10498" t="str">
            <v>ST0674-M</v>
          </cell>
          <cell r="B10498" t="str">
            <v>T674</v>
          </cell>
          <cell r="C10498" t="str">
            <v>ซาติน แขนสั้นขายาว ดอกไม้ แดงน้ำเงิน พื้นครีม M (กปก)</v>
          </cell>
          <cell r="E10498">
            <v>0</v>
          </cell>
          <cell r="F10498">
            <v>890</v>
          </cell>
        </row>
        <row r="10499">
          <cell r="A10499" t="str">
            <v>ST0674-XL</v>
          </cell>
          <cell r="B10499" t="str">
            <v>T674</v>
          </cell>
          <cell r="C10499" t="str">
            <v>ซาติน แขนสั้นขายาว ดอกไม้ แดงน้ำเงิน พื้นครีม XL (กปก)</v>
          </cell>
          <cell r="E10499">
            <v>0</v>
          </cell>
          <cell r="F10499">
            <v>890</v>
          </cell>
        </row>
        <row r="10500">
          <cell r="A10500" t="str">
            <v>ST0675-L</v>
          </cell>
          <cell r="B10500" t="str">
            <v>T675</v>
          </cell>
          <cell r="C10500" t="str">
            <v>ซาติน แขนสั้นขายาว Blue Sky L</v>
          </cell>
          <cell r="E10500">
            <v>0</v>
          </cell>
          <cell r="F10500">
            <v>890</v>
          </cell>
        </row>
        <row r="10501">
          <cell r="A10501" t="str">
            <v>ST0675-M</v>
          </cell>
          <cell r="B10501" t="str">
            <v>T675</v>
          </cell>
          <cell r="C10501" t="str">
            <v>ซาติน แขนสั้นขายาว Blue Sky M</v>
          </cell>
          <cell r="E10501">
            <v>0</v>
          </cell>
          <cell r="F10501">
            <v>890</v>
          </cell>
        </row>
        <row r="10502">
          <cell r="A10502" t="str">
            <v>ST0675-XL</v>
          </cell>
          <cell r="B10502" t="str">
            <v>T675</v>
          </cell>
          <cell r="C10502" t="str">
            <v>ซาติน แขนสั้นขายาว Blue Sky XL</v>
          </cell>
          <cell r="E10502">
            <v>0</v>
          </cell>
          <cell r="F10502">
            <v>890</v>
          </cell>
        </row>
        <row r="10503">
          <cell r="A10503" t="str">
            <v>ST0676-L</v>
          </cell>
          <cell r="B10503" t="str">
            <v>T676</v>
          </cell>
          <cell r="C10503" t="str">
            <v>ซาติน แขนสั้นขายาว Pink Sky L (กปก)</v>
          </cell>
          <cell r="E10503">
            <v>0</v>
          </cell>
          <cell r="F10503">
            <v>890</v>
          </cell>
        </row>
        <row r="10504">
          <cell r="A10504" t="str">
            <v>ST0676-M</v>
          </cell>
          <cell r="B10504" t="str">
            <v>T676</v>
          </cell>
          <cell r="C10504" t="str">
            <v>ซาติน แขนสั้นขายาว Pink Sky M (กปก)</v>
          </cell>
          <cell r="E10504">
            <v>0</v>
          </cell>
          <cell r="F10504">
            <v>729</v>
          </cell>
        </row>
        <row r="10505">
          <cell r="A10505" t="str">
            <v>ST0676-XL</v>
          </cell>
          <cell r="B10505" t="str">
            <v>JT676</v>
          </cell>
          <cell r="C10505" t="str">
            <v>ซาติน แขนสั้นขายาว Pink Sky XL (กปก) ตัวโชว์</v>
          </cell>
          <cell r="E10505">
            <v>0</v>
          </cell>
          <cell r="F10505">
            <v>890</v>
          </cell>
        </row>
        <row r="10506">
          <cell r="A10506" t="str">
            <v>ST0677-L</v>
          </cell>
          <cell r="B10506" t="str">
            <v>JT677</v>
          </cell>
          <cell r="C10506" t="str">
            <v>ซาติน แขนสั้นขายาว Golden Leaf พื้นกรม L ตัวโชว์</v>
          </cell>
          <cell r="E10506">
            <v>0</v>
          </cell>
          <cell r="F10506">
            <v>890</v>
          </cell>
        </row>
        <row r="10507">
          <cell r="A10507" t="str">
            <v>ST0677-M</v>
          </cell>
          <cell r="B10507" t="str">
            <v>JT677</v>
          </cell>
          <cell r="C10507" t="str">
            <v>ซาติน แขนสั้นขายาว Golden Leaf พื้นกรม M ตัวโชว์</v>
          </cell>
          <cell r="E10507">
            <v>0</v>
          </cell>
          <cell r="F10507">
            <v>890</v>
          </cell>
        </row>
        <row r="10508">
          <cell r="A10508" t="str">
            <v>ST0677-XL</v>
          </cell>
          <cell r="B10508" t="str">
            <v>JT677</v>
          </cell>
          <cell r="C10508" t="str">
            <v>ซาติน แขนสั้นขายาว Golden Leaf พื้นกรม XL ตัวโชว์</v>
          </cell>
          <cell r="E10508">
            <v>0</v>
          </cell>
          <cell r="F10508">
            <v>890</v>
          </cell>
        </row>
        <row r="10509">
          <cell r="A10509" t="str">
            <v>ST0678-L</v>
          </cell>
          <cell r="B10509" t="str">
            <v>JT678</v>
          </cell>
          <cell r="C10509" t="str">
            <v>ซาติน แขนสั้นขายาว ดอกไม้น้ำตาล พื้นฟ้า คอวี L ตัวโชว์</v>
          </cell>
          <cell r="E10509">
            <v>0</v>
          </cell>
          <cell r="F10509">
            <v>890</v>
          </cell>
        </row>
        <row r="10510">
          <cell r="A10510" t="str">
            <v>ST0678-M</v>
          </cell>
          <cell r="B10510" t="str">
            <v>JT678</v>
          </cell>
          <cell r="C10510" t="str">
            <v>ซาติน แขนสั้นขายาว ดอกไม้น้ำตาล พื้นฟ้า คอวี M ตัวโชว์</v>
          </cell>
          <cell r="E10510">
            <v>0</v>
          </cell>
          <cell r="F10510">
            <v>890</v>
          </cell>
        </row>
        <row r="10511">
          <cell r="A10511" t="str">
            <v>ST0678-XL</v>
          </cell>
          <cell r="B10511" t="str">
            <v>JT678</v>
          </cell>
          <cell r="C10511" t="str">
            <v>ซาติน แขนสั้นขายาว ดอกไม้น้ำตาล พื้นฟ้า คอวี XL ตัวโชว์</v>
          </cell>
          <cell r="E10511">
            <v>0</v>
          </cell>
          <cell r="F10511">
            <v>890</v>
          </cell>
        </row>
        <row r="10512">
          <cell r="A10512" t="str">
            <v>ST0679-L</v>
          </cell>
          <cell r="B10512" t="str">
            <v>T679</v>
          </cell>
          <cell r="C10512" t="str">
            <v>ซาติน แขนสั้นขายาว กุหลาบ พื้นครีม L (กปก)</v>
          </cell>
          <cell r="E10512">
            <v>0</v>
          </cell>
          <cell r="F10512">
            <v>890</v>
          </cell>
        </row>
        <row r="10513">
          <cell r="A10513" t="str">
            <v>ST0679-M</v>
          </cell>
          <cell r="B10513" t="str">
            <v>T679</v>
          </cell>
          <cell r="C10513" t="str">
            <v>ซาติน แขนสั้นขายาว กุหลาบ พื้นครีม M (กปก)</v>
          </cell>
          <cell r="E10513">
            <v>0</v>
          </cell>
          <cell r="F10513">
            <v>890</v>
          </cell>
        </row>
        <row r="10514">
          <cell r="A10514" t="str">
            <v>ST0679-XL</v>
          </cell>
          <cell r="B10514" t="str">
            <v>T679</v>
          </cell>
          <cell r="C10514" t="str">
            <v>ซาติน แขนสั้นขายาว กุหลาบ พื้นครีม XL (กปก)</v>
          </cell>
          <cell r="E10514">
            <v>0</v>
          </cell>
          <cell r="F10514">
            <v>890</v>
          </cell>
        </row>
        <row r="10515">
          <cell r="A10515" t="str">
            <v>ST0680-L</v>
          </cell>
          <cell r="B10515" t="str">
            <v>JT680</v>
          </cell>
          <cell r="C10515" t="str">
            <v>ซาติน แขนสั้นขายาว ตาราง หมี ฟ้า L (กปก) ตัวโชว์</v>
          </cell>
          <cell r="E10515">
            <v>0</v>
          </cell>
          <cell r="F10515">
            <v>890</v>
          </cell>
        </row>
        <row r="10516">
          <cell r="A10516" t="str">
            <v>ST0680-M</v>
          </cell>
          <cell r="B10516" t="str">
            <v>T680</v>
          </cell>
          <cell r="C10516" t="str">
            <v>ซาติน แขนสั้นขายาว ตาราง หมี ฟ้า M (กปก) ตัวโชว์</v>
          </cell>
          <cell r="E10516">
            <v>0</v>
          </cell>
          <cell r="F10516">
            <v>750</v>
          </cell>
        </row>
        <row r="10517">
          <cell r="A10517" t="str">
            <v>ST0680-XL</v>
          </cell>
          <cell r="B10517" t="str">
            <v>JT680</v>
          </cell>
          <cell r="C10517" t="str">
            <v>ซาติน แขนสั้นขายาว ตาราง หมี ฟ้า XL (กปก) ตัวโชว์</v>
          </cell>
          <cell r="E10517">
            <v>0</v>
          </cell>
          <cell r="F10517">
            <v>890</v>
          </cell>
        </row>
        <row r="10518">
          <cell r="A10518" t="str">
            <v>ST0681-L</v>
          </cell>
          <cell r="B10518" t="str">
            <v>BT681</v>
          </cell>
          <cell r="C10518" t="str">
            <v>ซาติน แขนสั้นขายาว ตาราง หมี ชมพู L (กปก)</v>
          </cell>
          <cell r="E10518">
            <v>0</v>
          </cell>
          <cell r="F10518">
            <v>890</v>
          </cell>
        </row>
        <row r="10519">
          <cell r="A10519" t="str">
            <v>ST0681-M</v>
          </cell>
          <cell r="B10519" t="str">
            <v>T681</v>
          </cell>
          <cell r="C10519" t="str">
            <v>ซาติน แขนสั้นขายาว ตาราง หมี ชมพู M (กปก)</v>
          </cell>
          <cell r="E10519">
            <v>0</v>
          </cell>
          <cell r="F10519">
            <v>890</v>
          </cell>
        </row>
        <row r="10520">
          <cell r="A10520" t="str">
            <v>ST0681-XL</v>
          </cell>
          <cell r="B10520" t="str">
            <v>T681</v>
          </cell>
          <cell r="C10520" t="str">
            <v>ซาติน แขนสั้นขายาว ตาราง หมี ชมพู XL (กปก)</v>
          </cell>
          <cell r="E10520">
            <v>0</v>
          </cell>
          <cell r="F10520">
            <v>890</v>
          </cell>
        </row>
        <row r="10521">
          <cell r="A10521" t="str">
            <v>ST0685-F</v>
          </cell>
          <cell r="B10521" t="str">
            <v>T685</v>
          </cell>
          <cell r="C10521" t="str">
            <v>ซาติน แขนสั้นขายาว ตาราง ม่วง ก้อนเมฆ F</v>
          </cell>
          <cell r="E10521">
            <v>0</v>
          </cell>
          <cell r="F10521">
            <v>850</v>
          </cell>
        </row>
        <row r="10522">
          <cell r="A10522" t="str">
            <v>ST0687-F</v>
          </cell>
          <cell r="B10522" t="str">
            <v>T687</v>
          </cell>
          <cell r="C10522" t="str">
            <v>ซิลค์แจ็คการ์ด แขนสั้นขายาว หมีติดปีก ดอกไม้ชมพู F</v>
          </cell>
          <cell r="E10522">
            <v>0</v>
          </cell>
          <cell r="F10522">
            <v>890</v>
          </cell>
        </row>
        <row r="10523">
          <cell r="A10523" t="str">
            <v>ST0694-F</v>
          </cell>
          <cell r="B10523" t="str">
            <v>T694</v>
          </cell>
          <cell r="C10523" t="str">
            <v>ซิลค์แจ็คการ์ด แขนสั้นขายาว อุ๋งๆ พื้นชมพู F</v>
          </cell>
          <cell r="E10523">
            <v>0</v>
          </cell>
          <cell r="F10523">
            <v>890</v>
          </cell>
        </row>
        <row r="10524">
          <cell r="A10524" t="str">
            <v>ST0695-M</v>
          </cell>
          <cell r="B10524" t="str">
            <v>T695</v>
          </cell>
          <cell r="C10524" t="str">
            <v>ซาติน แขนสั้นขายาว ตารางฟ้า โบว์แดง เกงส้ม M</v>
          </cell>
          <cell r="E10524">
            <v>0</v>
          </cell>
          <cell r="F10524">
            <v>890</v>
          </cell>
        </row>
        <row r="10525">
          <cell r="A10525" t="str">
            <v>ST0697-L</v>
          </cell>
          <cell r="B10525" t="str">
            <v>T697</v>
          </cell>
          <cell r="C10525" t="str">
            <v>ซาติน แขนสั้นขายาว ชิโนริ เขียว กระเป๋าหมี L</v>
          </cell>
          <cell r="E10525">
            <v>0</v>
          </cell>
          <cell r="F10525">
            <v>890</v>
          </cell>
        </row>
        <row r="10526">
          <cell r="A10526" t="str">
            <v>ST0697-M</v>
          </cell>
          <cell r="B10526" t="str">
            <v>T697</v>
          </cell>
          <cell r="C10526" t="str">
            <v>ซาติน แขนสั้นขายาว ชิโนริ เขียว กระเป๋าหมี M</v>
          </cell>
          <cell r="E10526">
            <v>0</v>
          </cell>
          <cell r="F10526">
            <v>890</v>
          </cell>
        </row>
        <row r="10527">
          <cell r="A10527" t="str">
            <v>ST0697-XL</v>
          </cell>
          <cell r="B10527" t="str">
            <v>T697</v>
          </cell>
          <cell r="C10527" t="str">
            <v>ซาติน แขนสั้นขายาว ชิโนริ เขียว กระเป๋าหมี XL</v>
          </cell>
          <cell r="E10527">
            <v>0</v>
          </cell>
          <cell r="F10527">
            <v>890</v>
          </cell>
        </row>
        <row r="10528">
          <cell r="A10528" t="str">
            <v>ST0698-L</v>
          </cell>
          <cell r="B10528" t="str">
            <v>JT698</v>
          </cell>
          <cell r="C10528" t="str">
            <v>ซาติน แขนสั้นขายาว ชิโนริ ชมพู กระเป๋าหมี L ตัวโชว์</v>
          </cell>
          <cell r="E10528">
            <v>0</v>
          </cell>
          <cell r="F10528">
            <v>890</v>
          </cell>
        </row>
        <row r="10529">
          <cell r="A10529" t="str">
            <v>ST0698-M</v>
          </cell>
          <cell r="B10529" t="str">
            <v>JT698</v>
          </cell>
          <cell r="C10529" t="str">
            <v>ซาติน แขนสั้นขายาว ชิโนริ ชมพู กระเป๋าหมี M</v>
          </cell>
          <cell r="E10529">
            <v>0</v>
          </cell>
          <cell r="F10529">
            <v>890</v>
          </cell>
        </row>
        <row r="10530">
          <cell r="A10530" t="str">
            <v>ST0698-XL</v>
          </cell>
          <cell r="B10530" t="str">
            <v>JT698</v>
          </cell>
          <cell r="C10530" t="str">
            <v>ซาติน แขนสั้นขายาว ชิโนริ ชมพู กระเป๋าหมี XL ตัวโชว์</v>
          </cell>
          <cell r="E10530">
            <v>0</v>
          </cell>
          <cell r="F10530">
            <v>890</v>
          </cell>
        </row>
        <row r="10531">
          <cell r="A10531" t="str">
            <v>ST0699-L</v>
          </cell>
          <cell r="B10531" t="str">
            <v>T699</v>
          </cell>
          <cell r="C10531" t="str">
            <v>ซาติน แขนสั้นขายาว ชิโนริ ดำ กระเป๋าหมี L</v>
          </cell>
          <cell r="E10531">
            <v>0</v>
          </cell>
          <cell r="F10531">
            <v>890</v>
          </cell>
        </row>
        <row r="10532">
          <cell r="A10532" t="str">
            <v>ST0699-M</v>
          </cell>
          <cell r="B10532" t="str">
            <v>JT699</v>
          </cell>
          <cell r="C10532" t="str">
            <v>ซาติน แขนสั้นขายาว ชิโนริ ดำ กระเป๋าหมี M ตัวโชว์</v>
          </cell>
          <cell r="E10532">
            <v>0</v>
          </cell>
          <cell r="F10532">
            <v>890</v>
          </cell>
        </row>
        <row r="10533">
          <cell r="A10533" t="str">
            <v>ST0699-XL</v>
          </cell>
          <cell r="B10533" t="str">
            <v>JT699</v>
          </cell>
          <cell r="C10533" t="str">
            <v>ซาติน แขนสั้นขายาว ชิโนริ ดำ กระเป๋าหมี XL ตัวโชว์</v>
          </cell>
          <cell r="E10533">
            <v>0</v>
          </cell>
          <cell r="F10533">
            <v>890</v>
          </cell>
        </row>
        <row r="10534">
          <cell r="A10534" t="str">
            <v>ST0700-2XL</v>
          </cell>
          <cell r="B10534" t="str">
            <v>T700</v>
          </cell>
          <cell r="C10534" t="str">
            <v>ซาติน แขนสั้นขายาว Royal Rabbit 2XL</v>
          </cell>
          <cell r="E10534">
            <v>0</v>
          </cell>
          <cell r="F10534">
            <v>890</v>
          </cell>
        </row>
        <row r="10535">
          <cell r="A10535" t="str">
            <v>ST0700-L</v>
          </cell>
          <cell r="B10535" t="str">
            <v>T700</v>
          </cell>
          <cell r="C10535" t="str">
            <v>ซาติน แขนสั้นขายาว Royal Rabbit L</v>
          </cell>
          <cell r="E10535">
            <v>0</v>
          </cell>
          <cell r="F10535">
            <v>890</v>
          </cell>
        </row>
        <row r="10536">
          <cell r="A10536" t="str">
            <v>ST0700-M</v>
          </cell>
          <cell r="B10536" t="str">
            <v>T700</v>
          </cell>
          <cell r="C10536" t="str">
            <v>ซาติน แขนสั้นขายาว Royal Rabbit M</v>
          </cell>
          <cell r="E10536">
            <v>0</v>
          </cell>
          <cell r="F10536">
            <v>890</v>
          </cell>
        </row>
        <row r="10537">
          <cell r="A10537" t="str">
            <v>ST0700-XL</v>
          </cell>
          <cell r="B10537" t="str">
            <v>T700</v>
          </cell>
          <cell r="C10537" t="str">
            <v>ซาติน แขนสั้นขายาว Royal Rabbit XL</v>
          </cell>
          <cell r="E10537">
            <v>0</v>
          </cell>
          <cell r="F10537">
            <v>890</v>
          </cell>
        </row>
        <row r="10538">
          <cell r="A10538" t="str">
            <v>ST0701-2XL</v>
          </cell>
          <cell r="B10538" t="str">
            <v>JT701</v>
          </cell>
          <cell r="C10538" t="str">
            <v>ซาติน แขนสั้นขายาว คณะแมว 2XL ตัวโชว์</v>
          </cell>
          <cell r="E10538">
            <v>0</v>
          </cell>
          <cell r="F10538">
            <v>890</v>
          </cell>
        </row>
        <row r="10539">
          <cell r="A10539" t="str">
            <v>ST0701-L</v>
          </cell>
          <cell r="B10539" t="str">
            <v>JT701</v>
          </cell>
          <cell r="C10539" t="str">
            <v>ซาติน แขนสั้นขายาว คณะแมว L ตัวโชว์</v>
          </cell>
          <cell r="E10539">
            <v>0</v>
          </cell>
          <cell r="F10539">
            <v>890</v>
          </cell>
        </row>
        <row r="10540">
          <cell r="A10540" t="str">
            <v>ST0701-M</v>
          </cell>
          <cell r="B10540" t="str">
            <v>JT701</v>
          </cell>
          <cell r="C10540" t="str">
            <v>ซาติน แขนสั้นขายาว คณะแมว M ตัวโชว์</v>
          </cell>
          <cell r="E10540">
            <v>0</v>
          </cell>
          <cell r="F10540">
            <v>890</v>
          </cell>
        </row>
        <row r="10541">
          <cell r="A10541" t="str">
            <v>ST0701-XL</v>
          </cell>
          <cell r="B10541" t="str">
            <v>JT701</v>
          </cell>
          <cell r="C10541" t="str">
            <v>ซาติน แขนสั้นขายาว คณะแมว XL ตัวโชว์</v>
          </cell>
          <cell r="E10541">
            <v>0</v>
          </cell>
          <cell r="F10541">
            <v>890</v>
          </cell>
        </row>
        <row r="10542">
          <cell r="A10542" t="str">
            <v>ST0708-F</v>
          </cell>
          <cell r="B10542" t="str">
            <v>T708</v>
          </cell>
          <cell r="C10542" t="str">
            <v>ซิลค์แจ็คการ์ด แขนสั้นขายาว คลื่นชมพู ตุ๊กตาหมี F</v>
          </cell>
          <cell r="E10542">
            <v>0</v>
          </cell>
          <cell r="F10542">
            <v>890</v>
          </cell>
        </row>
        <row r="10543">
          <cell r="A10543" t="str">
            <v>ST0709-F</v>
          </cell>
          <cell r="B10543" t="str">
            <v>T709</v>
          </cell>
          <cell r="C10543" t="str">
            <v>ซาติน แขนสั้นขายาว Cat In Heart F (กปก)</v>
          </cell>
          <cell r="E10543">
            <v>0</v>
          </cell>
          <cell r="F10543">
            <v>890</v>
          </cell>
        </row>
        <row r="10544">
          <cell r="A10544" t="str">
            <v>ST0721-L</v>
          </cell>
          <cell r="B10544" t="str">
            <v>T721</v>
          </cell>
          <cell r="C10544" t="str">
            <v>ซาติน แขนสั้นขายาว ยูนิคอร์น ขาวดำ L</v>
          </cell>
          <cell r="E10544">
            <v>0</v>
          </cell>
          <cell r="F10544">
            <v>890</v>
          </cell>
        </row>
        <row r="10545">
          <cell r="A10545" t="str">
            <v>ST0721-M</v>
          </cell>
          <cell r="B10545" t="str">
            <v>JT721</v>
          </cell>
          <cell r="C10545" t="str">
            <v>ซาติน แขนสั้นขายาว ยูนิคอร์น ขาวดำ M ตัวโชว์</v>
          </cell>
          <cell r="E10545">
            <v>0</v>
          </cell>
          <cell r="F10545">
            <v>890</v>
          </cell>
        </row>
        <row r="10546">
          <cell r="A10546" t="str">
            <v>ST0721-XL</v>
          </cell>
          <cell r="B10546" t="str">
            <v>T721</v>
          </cell>
          <cell r="C10546" t="str">
            <v>ซาติน แขนสั้นขายาว ยูนิคอร์น ขาวดำ XL</v>
          </cell>
          <cell r="E10546">
            <v>0</v>
          </cell>
          <cell r="F10546">
            <v>890</v>
          </cell>
        </row>
        <row r="10547">
          <cell r="A10547" t="str">
            <v>ST0723-L</v>
          </cell>
          <cell r="B10547" t="str">
            <v>T723</v>
          </cell>
          <cell r="C10547" t="str">
            <v>ซาติน แขนสั้นขายาว ข้ามหลามตัดตำ พื้นขาว  L</v>
          </cell>
          <cell r="E10547">
            <v>0</v>
          </cell>
          <cell r="F10547">
            <v>890</v>
          </cell>
        </row>
        <row r="10548">
          <cell r="A10548" t="str">
            <v>ST0723-M</v>
          </cell>
          <cell r="B10548" t="str">
            <v>T723</v>
          </cell>
          <cell r="C10548" t="str">
            <v>ซาติน แขนสั้นขายาว ข้ามหลามตัดตำ พื้นขาว  M</v>
          </cell>
          <cell r="E10548">
            <v>0</v>
          </cell>
          <cell r="F10548">
            <v>890</v>
          </cell>
        </row>
        <row r="10549">
          <cell r="A10549" t="str">
            <v>ST0723-S</v>
          </cell>
          <cell r="B10549" t="str">
            <v>T723</v>
          </cell>
          <cell r="C10549" t="str">
            <v>ซาติน แขนสั้นขายาว ข้ามหลามตัดตำ พื้นขาว  S</v>
          </cell>
          <cell r="E10549">
            <v>0</v>
          </cell>
          <cell r="F10549">
            <v>890</v>
          </cell>
        </row>
        <row r="10550">
          <cell r="A10550" t="str">
            <v>ST0724-L</v>
          </cell>
          <cell r="B10550" t="str">
            <v>JT724</v>
          </cell>
          <cell r="C10550" t="str">
            <v>ซาติน แขนสั้นขายาว จุดเล็ก พื้นเหลือง  L ตัวโชว์</v>
          </cell>
          <cell r="E10550">
            <v>0</v>
          </cell>
          <cell r="F10550">
            <v>890</v>
          </cell>
        </row>
        <row r="10551">
          <cell r="A10551" t="str">
            <v>ST0724-M</v>
          </cell>
          <cell r="B10551" t="str">
            <v>T724</v>
          </cell>
          <cell r="C10551" t="str">
            <v>ซาติน แขนสั้นขายาว จุดเล็ก พื้นเหลือง  M</v>
          </cell>
          <cell r="E10551">
            <v>0</v>
          </cell>
          <cell r="F10551">
            <v>890</v>
          </cell>
        </row>
        <row r="10552">
          <cell r="A10552" t="str">
            <v>ST0724-S</v>
          </cell>
          <cell r="B10552" t="str">
            <v>T724</v>
          </cell>
          <cell r="C10552" t="str">
            <v>ซาติน แขนสั้นขายาว จุดเล็ก พื้นเหลือง  S</v>
          </cell>
          <cell r="E10552">
            <v>0</v>
          </cell>
          <cell r="F10552">
            <v>890</v>
          </cell>
        </row>
        <row r="10553">
          <cell r="A10553" t="str">
            <v>ST0725-L</v>
          </cell>
          <cell r="B10553" t="str">
            <v>BT725</v>
          </cell>
          <cell r="C10553" t="str">
            <v>ซาติน แขนสั้นขายาว จุดเล็ก พื้นชมพู  L</v>
          </cell>
          <cell r="E10553">
            <v>0</v>
          </cell>
          <cell r="F10553">
            <v>890</v>
          </cell>
        </row>
        <row r="10554">
          <cell r="A10554" t="str">
            <v>ST0725-M</v>
          </cell>
          <cell r="B10554" t="str">
            <v>T725</v>
          </cell>
          <cell r="C10554" t="str">
            <v>ซาติน แขนสั้นขายาว จุดเล็ก พื้นชมพู  M</v>
          </cell>
          <cell r="E10554">
            <v>0</v>
          </cell>
          <cell r="F10554">
            <v>890</v>
          </cell>
        </row>
        <row r="10555">
          <cell r="A10555" t="str">
            <v>ST0725-S</v>
          </cell>
          <cell r="B10555" t="str">
            <v>JT725</v>
          </cell>
          <cell r="C10555" t="str">
            <v>ซาติน แขนสั้นขายาว จุดเล็ก พื้นชมพู  S ตัวโชว์</v>
          </cell>
          <cell r="E10555">
            <v>0</v>
          </cell>
          <cell r="F10555">
            <v>890</v>
          </cell>
        </row>
        <row r="10556">
          <cell r="A10556" t="str">
            <v>ST0739-L</v>
          </cell>
          <cell r="B10556" t="str">
            <v>T739</v>
          </cell>
          <cell r="C10556" t="str">
            <v>ซาติน แขนสั้นขายาว Tiger Flower พื้นชมพู L</v>
          </cell>
          <cell r="E10556">
            <v>0</v>
          </cell>
          <cell r="F10556">
            <v>890</v>
          </cell>
        </row>
        <row r="10557">
          <cell r="A10557" t="str">
            <v>ST0739-M</v>
          </cell>
          <cell r="B10557" t="str">
            <v>T739</v>
          </cell>
          <cell r="C10557" t="str">
            <v>ซาติน แขนสั้นขายาว Tiger Flower พื้นชมพู M</v>
          </cell>
          <cell r="E10557">
            <v>0</v>
          </cell>
          <cell r="F10557">
            <v>890</v>
          </cell>
        </row>
        <row r="10558">
          <cell r="A10558" t="str">
            <v>ST0739-XL</v>
          </cell>
          <cell r="B10558" t="str">
            <v>T739</v>
          </cell>
          <cell r="C10558" t="str">
            <v>ซาติน แขนสั้นขายาว Tiger Flower พื้นชมพู XL</v>
          </cell>
          <cell r="E10558">
            <v>0</v>
          </cell>
          <cell r="F10558">
            <v>890</v>
          </cell>
        </row>
        <row r="10559">
          <cell r="A10559" t="str">
            <v>ST0755-2XL</v>
          </cell>
          <cell r="B10559" t="str">
            <v>BT755</v>
          </cell>
          <cell r="C10559" t="str">
            <v>ซิลค์แจ็คการ์ด แขนสั้นขายาว เสือ พืนชมพู ปกส้มฟ้า 2XL</v>
          </cell>
          <cell r="E10559">
            <v>0</v>
          </cell>
          <cell r="F10559">
            <v>890</v>
          </cell>
        </row>
        <row r="10560">
          <cell r="A10560" t="str">
            <v>ST0755-L</v>
          </cell>
          <cell r="B10560" t="str">
            <v>T755</v>
          </cell>
          <cell r="C10560" t="str">
            <v>ซิลค์แจ็คการ์ด แขนสั้นขายาว เสือ พืนชมพู ปกส้มฟ้า L</v>
          </cell>
          <cell r="E10560">
            <v>0</v>
          </cell>
          <cell r="F10560">
            <v>890</v>
          </cell>
        </row>
        <row r="10561">
          <cell r="A10561" t="str">
            <v>ST0755-M</v>
          </cell>
          <cell r="B10561" t="str">
            <v>T755</v>
          </cell>
          <cell r="C10561" t="str">
            <v>ซิลค์แจ็คการ์ด แขนสั้นขายาว เสือ พืนชมพู ปกส้มฟ้า M</v>
          </cell>
          <cell r="E10561">
            <v>0</v>
          </cell>
          <cell r="F10561">
            <v>890</v>
          </cell>
        </row>
        <row r="10562">
          <cell r="A10562" t="str">
            <v>ST0755-XL</v>
          </cell>
          <cell r="B10562" t="str">
            <v>BT755</v>
          </cell>
          <cell r="C10562" t="str">
            <v>ซิลค์แจ็คการ์ด แขนสั้นขายาว เสือ พืนชมพู ปกส้มฟ้า XL</v>
          </cell>
          <cell r="E10562">
            <v>0</v>
          </cell>
          <cell r="F10562">
            <v>890</v>
          </cell>
        </row>
        <row r="10563">
          <cell r="A10563" t="str">
            <v>ST0765-L</v>
          </cell>
          <cell r="B10563" t="str">
            <v>T765</v>
          </cell>
          <cell r="C10563" t="str">
            <v>ซาติน แขนสั้นขายาว โซ่ พื้นดำ L</v>
          </cell>
          <cell r="E10563">
            <v>0</v>
          </cell>
          <cell r="F10563">
            <v>890</v>
          </cell>
        </row>
        <row r="10564">
          <cell r="A10564" t="str">
            <v>ST0765-M</v>
          </cell>
          <cell r="B10564" t="str">
            <v>T765</v>
          </cell>
          <cell r="C10564" t="str">
            <v>ซาติน แขนสั้นขายาว โซ่ พื้นดำ M</v>
          </cell>
          <cell r="E10564">
            <v>0</v>
          </cell>
          <cell r="F10564">
            <v>890</v>
          </cell>
        </row>
        <row r="10565">
          <cell r="A10565" t="str">
            <v>ST0765-XL</v>
          </cell>
          <cell r="B10565" t="str">
            <v>T765</v>
          </cell>
          <cell r="C10565" t="str">
            <v>ซาติน แขนสั้นขายาว โซ่ พื้นดำ XL</v>
          </cell>
          <cell r="E10565">
            <v>0</v>
          </cell>
          <cell r="F10565">
            <v>890</v>
          </cell>
        </row>
        <row r="10566">
          <cell r="A10566" t="str">
            <v>ST0766-2XL</v>
          </cell>
          <cell r="B10566" t="str">
            <v>T766</v>
          </cell>
          <cell r="C10566" t="str">
            <v>ซาติน แขนสั้นขายาว Pinky Rose พื้นครีม 2XL</v>
          </cell>
          <cell r="E10566">
            <v>0</v>
          </cell>
          <cell r="F10566">
            <v>890</v>
          </cell>
        </row>
        <row r="10567">
          <cell r="A10567" t="str">
            <v>ST0766-3XL</v>
          </cell>
          <cell r="B10567" t="str">
            <v>T766</v>
          </cell>
          <cell r="C10567" t="str">
            <v>ซาติน แขนสั้นขายาว Pinky Rose พื้นครีม 3XL</v>
          </cell>
          <cell r="E10567">
            <v>0</v>
          </cell>
          <cell r="F10567">
            <v>890</v>
          </cell>
        </row>
        <row r="10568">
          <cell r="A10568" t="str">
            <v>ST0766-L</v>
          </cell>
          <cell r="B10568" t="str">
            <v>T766</v>
          </cell>
          <cell r="C10568" t="str">
            <v>ซาติน แขนสั้นขายาว Pinky Rose พื้นครีม L</v>
          </cell>
          <cell r="E10568">
            <v>0</v>
          </cell>
          <cell r="F10568">
            <v>890</v>
          </cell>
        </row>
        <row r="10569">
          <cell r="A10569" t="str">
            <v>ST0766-M</v>
          </cell>
          <cell r="B10569" t="str">
            <v>T766</v>
          </cell>
          <cell r="C10569" t="str">
            <v>ซาติน แขนสั้นขายาว Pinky Rose พื้นครีม M</v>
          </cell>
          <cell r="E10569">
            <v>0</v>
          </cell>
          <cell r="F10569">
            <v>890</v>
          </cell>
        </row>
        <row r="10570">
          <cell r="A10570" t="str">
            <v>ST0766-XL</v>
          </cell>
          <cell r="B10570" t="str">
            <v>T766</v>
          </cell>
          <cell r="C10570" t="str">
            <v>ซาติน แขนสั้นขายาว Pinky Rose พื้นครีม XL</v>
          </cell>
          <cell r="E10570">
            <v>0</v>
          </cell>
          <cell r="F10570">
            <v>890</v>
          </cell>
        </row>
        <row r="10571">
          <cell r="A10571" t="str">
            <v>ST0780-2XL</v>
          </cell>
          <cell r="B10571" t="str">
            <v>T780</v>
          </cell>
          <cell r="C10571" t="str">
            <v>ซาติน แขนสั้นขายาว พื้นฟ้า เถาวัลย์ฟ้า 2XL (กปก)</v>
          </cell>
          <cell r="E10571">
            <v>0</v>
          </cell>
          <cell r="F10571">
            <v>890</v>
          </cell>
        </row>
        <row r="10572">
          <cell r="A10572" t="str">
            <v>ST0780-3XL</v>
          </cell>
          <cell r="B10572" t="str">
            <v>T780</v>
          </cell>
          <cell r="C10572" t="str">
            <v>ซาติน แขนสั้นขายาว พื้นฟ้า เถาวัลย์ฟ้า 3XL (กปก)</v>
          </cell>
          <cell r="E10572">
            <v>0</v>
          </cell>
          <cell r="F10572">
            <v>890</v>
          </cell>
        </row>
        <row r="10573">
          <cell r="A10573" t="str">
            <v>ST0780-L</v>
          </cell>
          <cell r="B10573" t="str">
            <v>T780</v>
          </cell>
          <cell r="C10573" t="str">
            <v>ซาติน แขนสั้นขายาว พื้นฟ้า เถาวัลย์ฟ้า L (กปก)</v>
          </cell>
          <cell r="E10573">
            <v>0</v>
          </cell>
          <cell r="F10573">
            <v>890</v>
          </cell>
        </row>
        <row r="10574">
          <cell r="A10574" t="str">
            <v>ST0780-M</v>
          </cell>
          <cell r="B10574" t="str">
            <v>T780</v>
          </cell>
          <cell r="C10574" t="str">
            <v>ซาติน แขนสั้นขายาว พื้นฟ้า เถาวัลย์ฟ้า M (กปก)</v>
          </cell>
          <cell r="E10574">
            <v>0</v>
          </cell>
          <cell r="F10574">
            <v>890</v>
          </cell>
        </row>
        <row r="10575">
          <cell r="A10575" t="str">
            <v>ST0780-XL</v>
          </cell>
          <cell r="B10575" t="str">
            <v>T780</v>
          </cell>
          <cell r="C10575" t="str">
            <v>ซาติน แขนสั้นขายาว พื้นฟ้า เถาวัลย์ฟ้า XL (กปก)</v>
          </cell>
          <cell r="E10575">
            <v>0</v>
          </cell>
          <cell r="F10575">
            <v>890</v>
          </cell>
        </row>
        <row r="10576">
          <cell r="A10576" t="str">
            <v>ST0781-2XL</v>
          </cell>
          <cell r="B10576" t="str">
            <v>T781</v>
          </cell>
          <cell r="C10576" t="str">
            <v>ซาติน แขนสั้นขายาว ดอกท้อ พื้นเขียว 2XL</v>
          </cell>
          <cell r="E10576">
            <v>0</v>
          </cell>
          <cell r="F10576">
            <v>890</v>
          </cell>
        </row>
        <row r="10577">
          <cell r="A10577" t="str">
            <v>ST0781-3XL</v>
          </cell>
          <cell r="B10577" t="str">
            <v>T781</v>
          </cell>
          <cell r="C10577" t="str">
            <v>ซาติน แขนสั้นขายาว ดอกท้อ พื้นเขียว 3XL</v>
          </cell>
          <cell r="E10577">
            <v>0</v>
          </cell>
          <cell r="F10577">
            <v>890</v>
          </cell>
        </row>
        <row r="10578">
          <cell r="A10578" t="str">
            <v>ST0781-L</v>
          </cell>
          <cell r="B10578" t="str">
            <v>T781</v>
          </cell>
          <cell r="C10578" t="str">
            <v>ซาติน แขนสั้นขายาว ดอกท้อ พื้นเขียว L</v>
          </cell>
          <cell r="E10578">
            <v>0</v>
          </cell>
          <cell r="F10578">
            <v>890</v>
          </cell>
        </row>
        <row r="10579">
          <cell r="A10579" t="str">
            <v>ST0781-M</v>
          </cell>
          <cell r="B10579" t="str">
            <v>T781</v>
          </cell>
          <cell r="C10579" t="str">
            <v>ซาติน แขนสั้นขายาว ดอกท้อ พื้นเขียว M</v>
          </cell>
          <cell r="E10579">
            <v>0</v>
          </cell>
          <cell r="F10579">
            <v>890</v>
          </cell>
        </row>
        <row r="10580">
          <cell r="A10580" t="str">
            <v>ST0781-XL</v>
          </cell>
          <cell r="B10580" t="str">
            <v>T781</v>
          </cell>
          <cell r="C10580" t="str">
            <v>ซาติน แขนสั้นขายาว ดอกท้อ พื้นเขียว XL</v>
          </cell>
          <cell r="E10580">
            <v>0</v>
          </cell>
          <cell r="F10580">
            <v>890</v>
          </cell>
        </row>
        <row r="10581">
          <cell r="A10581" t="str">
            <v>ST0786-2XL</v>
          </cell>
          <cell r="B10581" t="str">
            <v>QT786</v>
          </cell>
          <cell r="C10581" t="str">
            <v>ซาติน แขนสั้นขายาว เกสรดอกไม้ คอวี 2XL QC</v>
          </cell>
          <cell r="E10581">
            <v>0</v>
          </cell>
          <cell r="F10581">
            <v>890</v>
          </cell>
        </row>
        <row r="10582">
          <cell r="A10582" t="str">
            <v>ST0786-3XL</v>
          </cell>
          <cell r="B10582" t="str">
            <v>BT786</v>
          </cell>
          <cell r="C10582" t="str">
            <v>ซาติน แขนสั้นขายาว เกสรดอกไม้ คอวี 3XL</v>
          </cell>
          <cell r="E10582">
            <v>0</v>
          </cell>
          <cell r="F10582">
            <v>890</v>
          </cell>
        </row>
        <row r="10583">
          <cell r="A10583" t="str">
            <v>ST0786-L</v>
          </cell>
          <cell r="B10583" t="str">
            <v>BT786</v>
          </cell>
          <cell r="C10583" t="str">
            <v>ซาติน แขนสั้นขายาว เกสรดอกไม้ คอวี L</v>
          </cell>
          <cell r="E10583">
            <v>0</v>
          </cell>
          <cell r="F10583">
            <v>890</v>
          </cell>
        </row>
        <row r="10584">
          <cell r="A10584" t="str">
            <v>ST0786-M</v>
          </cell>
          <cell r="B10584" t="str">
            <v>QT786</v>
          </cell>
          <cell r="C10584" t="str">
            <v>ซาติน แขนสั้นขายาว เกสรดอกไม้ คอวี M QC</v>
          </cell>
          <cell r="E10584">
            <v>0</v>
          </cell>
          <cell r="F10584">
            <v>890</v>
          </cell>
        </row>
        <row r="10585">
          <cell r="A10585" t="str">
            <v>ST0786-XL</v>
          </cell>
          <cell r="B10585" t="str">
            <v>T786</v>
          </cell>
          <cell r="C10585" t="str">
            <v>ซาติน แขนสั้นขายาว เกสรดอกไม้ คอวี XL</v>
          </cell>
          <cell r="E10585">
            <v>0</v>
          </cell>
          <cell r="F10585">
            <v>890</v>
          </cell>
        </row>
        <row r="10586">
          <cell r="A10586" t="str">
            <v>ST0790-2XL</v>
          </cell>
          <cell r="B10586" t="str">
            <v>T790</v>
          </cell>
          <cell r="C10586" t="str">
            <v>ซาติน แขนสั้นขายาว แฟนซี่ พิ้งค์ 2XL</v>
          </cell>
          <cell r="E10586">
            <v>0</v>
          </cell>
          <cell r="F10586">
            <v>890</v>
          </cell>
        </row>
        <row r="10587">
          <cell r="A10587" t="str">
            <v>ST0790-L</v>
          </cell>
          <cell r="B10587" t="str">
            <v>T790</v>
          </cell>
          <cell r="C10587" t="str">
            <v>ซาติน แขนสั้นขายาว แฟนซี่ พิ้งค์ L</v>
          </cell>
          <cell r="E10587">
            <v>0</v>
          </cell>
          <cell r="F10587">
            <v>890</v>
          </cell>
        </row>
        <row r="10588">
          <cell r="A10588" t="str">
            <v>ST0790-M</v>
          </cell>
          <cell r="B10588" t="str">
            <v>T790</v>
          </cell>
          <cell r="C10588" t="str">
            <v>ซาติน แขนสั้นขายาว แฟนซี่ พิ้งค์ M</v>
          </cell>
          <cell r="E10588">
            <v>0</v>
          </cell>
          <cell r="F10588">
            <v>890</v>
          </cell>
        </row>
        <row r="10589">
          <cell r="A10589" t="str">
            <v>ST0790-XL</v>
          </cell>
          <cell r="B10589" t="str">
            <v>T790</v>
          </cell>
          <cell r="C10589" t="str">
            <v>ซาติน แขนสั้นขายาว แฟนซี่ พิ้งค์ XL</v>
          </cell>
          <cell r="E10589">
            <v>0</v>
          </cell>
          <cell r="F10589">
            <v>890</v>
          </cell>
        </row>
        <row r="10590">
          <cell r="A10590" t="str">
            <v>ST0797-2XL</v>
          </cell>
          <cell r="B10590" t="str">
            <v>T797</v>
          </cell>
          <cell r="C10590" t="str">
            <v>ซาติน แขนสั้นขายาว Green Village 2XL</v>
          </cell>
          <cell r="E10590">
            <v>0</v>
          </cell>
          <cell r="F10590">
            <v>890</v>
          </cell>
        </row>
        <row r="10591">
          <cell r="A10591" t="str">
            <v>ST0797-3XL</v>
          </cell>
          <cell r="B10591" t="str">
            <v>T797</v>
          </cell>
          <cell r="C10591" t="str">
            <v>ซาติน แขนสั้นขายาว Green Village 3XL</v>
          </cell>
          <cell r="E10591">
            <v>0</v>
          </cell>
          <cell r="F10591">
            <v>890</v>
          </cell>
        </row>
        <row r="10592">
          <cell r="A10592" t="str">
            <v>ST0797-L</v>
          </cell>
          <cell r="B10592" t="str">
            <v>T797</v>
          </cell>
          <cell r="C10592" t="str">
            <v>ซาติน แขนสั้นขายาว Green Village L</v>
          </cell>
          <cell r="E10592">
            <v>0</v>
          </cell>
          <cell r="F10592">
            <v>890</v>
          </cell>
        </row>
        <row r="10593">
          <cell r="A10593" t="str">
            <v>ST0797-M</v>
          </cell>
          <cell r="B10593" t="str">
            <v>QT797</v>
          </cell>
          <cell r="C10593" t="str">
            <v>ซาติน แขนสั้นขายาว Green Village M QC</v>
          </cell>
          <cell r="E10593">
            <v>0</v>
          </cell>
          <cell r="F10593">
            <v>890</v>
          </cell>
        </row>
        <row r="10594">
          <cell r="A10594" t="str">
            <v>ST0797-XL</v>
          </cell>
          <cell r="B10594" t="str">
            <v>T797</v>
          </cell>
          <cell r="C10594" t="str">
            <v>ซาติน แขนสั้นขายาว Green Village XL</v>
          </cell>
          <cell r="E10594">
            <v>0</v>
          </cell>
          <cell r="F10594">
            <v>890</v>
          </cell>
        </row>
        <row r="10595">
          <cell r="A10595" t="str">
            <v>ST0798-2XL</v>
          </cell>
          <cell r="B10595" t="str">
            <v>T798</v>
          </cell>
          <cell r="C10595" t="str">
            <v>ซาติน แขนสั้นขายาว Red Village 2XL</v>
          </cell>
          <cell r="E10595">
            <v>0</v>
          </cell>
          <cell r="F10595">
            <v>890</v>
          </cell>
        </row>
        <row r="10596">
          <cell r="A10596" t="str">
            <v>ST0798-3XL</v>
          </cell>
          <cell r="B10596" t="str">
            <v>T798</v>
          </cell>
          <cell r="C10596" t="str">
            <v>ซาติน แขนสั้นขายาว Red Village 3XL</v>
          </cell>
          <cell r="E10596">
            <v>0</v>
          </cell>
          <cell r="F10596">
            <v>890</v>
          </cell>
        </row>
        <row r="10597">
          <cell r="A10597" t="str">
            <v>ST0798-L</v>
          </cell>
          <cell r="B10597" t="str">
            <v>T798</v>
          </cell>
          <cell r="C10597" t="str">
            <v>ซาติน แขนสั้นขายาว Red Village L</v>
          </cell>
          <cell r="E10597">
            <v>0</v>
          </cell>
          <cell r="F10597">
            <v>890</v>
          </cell>
        </row>
        <row r="10598">
          <cell r="A10598" t="str">
            <v>ST0798-M</v>
          </cell>
          <cell r="B10598" t="str">
            <v>T798</v>
          </cell>
          <cell r="C10598" t="str">
            <v>ซาติน แขนสั้นขายาว Red Village M</v>
          </cell>
          <cell r="E10598">
            <v>0</v>
          </cell>
          <cell r="F10598">
            <v>890</v>
          </cell>
        </row>
        <row r="10599">
          <cell r="A10599" t="str">
            <v>ST0798-XL</v>
          </cell>
          <cell r="B10599" t="str">
            <v>T798</v>
          </cell>
          <cell r="C10599" t="str">
            <v>ซาติน แขนสั้นขายาว Red Village XL</v>
          </cell>
          <cell r="E10599">
            <v>0</v>
          </cell>
          <cell r="F10599">
            <v>890</v>
          </cell>
        </row>
        <row r="10600">
          <cell r="A10600" t="str">
            <v>ST0800-2XL</v>
          </cell>
          <cell r="B10600" t="str">
            <v>T800</v>
          </cell>
          <cell r="C10600" t="str">
            <v>ซาติน แขนสั้นขายาว กุหลาบ พื้นขาว ปกชมพู 2XL</v>
          </cell>
          <cell r="E10600">
            <v>0</v>
          </cell>
          <cell r="F10600">
            <v>890</v>
          </cell>
        </row>
        <row r="10601">
          <cell r="A10601" t="str">
            <v>ST0800-L</v>
          </cell>
          <cell r="B10601" t="str">
            <v>T800</v>
          </cell>
          <cell r="C10601" t="str">
            <v>ซิลค์แจ็คการ์ด แขนสั้นขายาว กุหลาบ พื้นขาว ปกชมพู L</v>
          </cell>
          <cell r="E10601">
            <v>0</v>
          </cell>
          <cell r="F10601">
            <v>890</v>
          </cell>
        </row>
        <row r="10602">
          <cell r="A10602" t="str">
            <v>ST0800-M</v>
          </cell>
          <cell r="B10602" t="str">
            <v>QT800</v>
          </cell>
          <cell r="C10602" t="str">
            <v>ซิลค์แจ็คการ์ด แขนสั้นขายาว กุหลาบ พื้นขาว ปกชมพู M QC</v>
          </cell>
          <cell r="E10602">
            <v>0</v>
          </cell>
          <cell r="F10602">
            <v>890</v>
          </cell>
        </row>
        <row r="10603">
          <cell r="A10603" t="str">
            <v>ST0800-XL</v>
          </cell>
          <cell r="B10603" t="str">
            <v>T800</v>
          </cell>
          <cell r="C10603" t="str">
            <v>ซิลค์แจ็คการ์ด แขนสั้นขายาว กุหลาบ พื้นขาว ปกชมพู XL</v>
          </cell>
          <cell r="E10603">
            <v>0</v>
          </cell>
          <cell r="F10603">
            <v>890</v>
          </cell>
        </row>
        <row r="10604">
          <cell r="A10604" t="str">
            <v>ST0801-L</v>
          </cell>
          <cell r="B10604" t="str">
            <v>JT801</v>
          </cell>
          <cell r="C10604" t="str">
            <v>ซาติน แขนสั้นขายาว พื้นฟ้าคราม สีครีม L ตัวโชว์</v>
          </cell>
          <cell r="E10604">
            <v>0</v>
          </cell>
          <cell r="F10604">
            <v>890</v>
          </cell>
        </row>
        <row r="10605">
          <cell r="A10605" t="str">
            <v>ST0801-M</v>
          </cell>
          <cell r="B10605" t="str">
            <v>JT801</v>
          </cell>
          <cell r="C10605" t="str">
            <v>ซาติน แขนสั้นขายาว พื้นฟ้าคราม สีครีม M ตัวโชว์</v>
          </cell>
          <cell r="E10605">
            <v>0</v>
          </cell>
          <cell r="F10605">
            <v>890</v>
          </cell>
        </row>
        <row r="10606">
          <cell r="A10606" t="str">
            <v>ST0801-XL</v>
          </cell>
          <cell r="B10606" t="str">
            <v>JT801</v>
          </cell>
          <cell r="C10606" t="str">
            <v>ซาติน แขนสั้นขายาว พื้นฟ้าคราม สีครีม XL ตัวโชว์</v>
          </cell>
          <cell r="E10606">
            <v>0</v>
          </cell>
          <cell r="F10606">
            <v>890</v>
          </cell>
        </row>
        <row r="10607">
          <cell r="A10607" t="str">
            <v>ST0802-L</v>
          </cell>
          <cell r="B10607" t="str">
            <v>JT802</v>
          </cell>
          <cell r="C10607" t="str">
            <v>ซิลค์แจ็คการ์ด แขนสั้นขายาว พื้นเขียว ดอกไม้ฟ้าขาว L ตัวโชว์</v>
          </cell>
          <cell r="E10607">
            <v>0</v>
          </cell>
          <cell r="F10607">
            <v>890</v>
          </cell>
        </row>
        <row r="10608">
          <cell r="A10608" t="str">
            <v>ST0802-M</v>
          </cell>
          <cell r="B10608" t="str">
            <v>JT802</v>
          </cell>
          <cell r="C10608" t="str">
            <v>ซิลค์แจ็คการ์ด แขนสั้นขายาว พื้นเขียว ดอกไม้ฟ้าขาว M ตัวโชว์</v>
          </cell>
          <cell r="E10608">
            <v>0</v>
          </cell>
          <cell r="F10608">
            <v>890</v>
          </cell>
        </row>
        <row r="10609">
          <cell r="A10609" t="str">
            <v>ST0802-XL</v>
          </cell>
          <cell r="B10609" t="str">
            <v>JT802</v>
          </cell>
          <cell r="C10609" t="str">
            <v>ซิลค์แจ็คการ์ด แขนสั้นขายาว พื้นเขียว ดอกไม้ฟ้าขาว XL</v>
          </cell>
          <cell r="E10609">
            <v>0</v>
          </cell>
          <cell r="F10609">
            <v>890</v>
          </cell>
        </row>
        <row r="10610">
          <cell r="A10610" t="str">
            <v>ST0804-L</v>
          </cell>
          <cell r="B10610" t="str">
            <v>T804</v>
          </cell>
          <cell r="C10610" t="str">
            <v>ซาติน แขนสั้นขายาว พื้นชมพูคราม สีครีม L</v>
          </cell>
          <cell r="E10610">
            <v>0</v>
          </cell>
          <cell r="F10610">
            <v>890</v>
          </cell>
        </row>
        <row r="10611">
          <cell r="A10611" t="str">
            <v>ST0804-M</v>
          </cell>
          <cell r="B10611" t="str">
            <v>T804</v>
          </cell>
          <cell r="C10611" t="str">
            <v>ซาติน แขนสั้นขายาว พื้นชมพูคราม สีครีม M</v>
          </cell>
          <cell r="E10611">
            <v>0</v>
          </cell>
          <cell r="F10611">
            <v>890</v>
          </cell>
        </row>
        <row r="10612">
          <cell r="A10612" t="str">
            <v>ST0804-XL</v>
          </cell>
          <cell r="B10612" t="str">
            <v>T804</v>
          </cell>
          <cell r="C10612" t="str">
            <v>ซาติน แขนสั้นขายาว พื้นชมพูคราม สีครีม XL</v>
          </cell>
          <cell r="E10612">
            <v>0</v>
          </cell>
          <cell r="F10612">
            <v>890</v>
          </cell>
        </row>
        <row r="10613">
          <cell r="A10613" t="str">
            <v>ST0806-L</v>
          </cell>
          <cell r="B10613" t="str">
            <v>T806</v>
          </cell>
          <cell r="C10613" t="str">
            <v>ซาติน แขนสั้นขายาว ดอกไม้เขียว ชมพู L</v>
          </cell>
          <cell r="E10613">
            <v>0</v>
          </cell>
          <cell r="F10613">
            <v>890</v>
          </cell>
        </row>
        <row r="10614">
          <cell r="A10614" t="str">
            <v>ST0806-M</v>
          </cell>
          <cell r="B10614" t="str">
            <v>T806</v>
          </cell>
          <cell r="C10614" t="str">
            <v>ซาติน แขนสั้นขายาว ดอกไม้เขียว ชมพู M</v>
          </cell>
          <cell r="E10614">
            <v>0</v>
          </cell>
          <cell r="F10614">
            <v>890</v>
          </cell>
        </row>
        <row r="10615">
          <cell r="A10615" t="str">
            <v>ST0806-XL</v>
          </cell>
          <cell r="B10615" t="str">
            <v>T806</v>
          </cell>
          <cell r="C10615" t="str">
            <v>ซาติน แขนสั้นขายาว ดอกไม้เขียว ชมพู XL</v>
          </cell>
          <cell r="E10615">
            <v>0</v>
          </cell>
          <cell r="F10615">
            <v>890</v>
          </cell>
        </row>
        <row r="10616">
          <cell r="A10616" t="str">
            <v>ST0807-L</v>
          </cell>
          <cell r="B10616" t="str">
            <v>T807</v>
          </cell>
          <cell r="C10616" t="str">
            <v>ซาติน แขนสั้นขายาว หกเหลี่ยม เขียว ขาว L</v>
          </cell>
          <cell r="E10616">
            <v>0</v>
          </cell>
          <cell r="F10616">
            <v>890</v>
          </cell>
        </row>
        <row r="10617">
          <cell r="A10617" t="str">
            <v>ST0807-M</v>
          </cell>
          <cell r="B10617" t="str">
            <v>JT807</v>
          </cell>
          <cell r="C10617" t="str">
            <v>ซาติน แขนสั้นขายาว หกเหลี่ยม เขียว ขาว M ตัวโชว์</v>
          </cell>
          <cell r="E10617">
            <v>0</v>
          </cell>
          <cell r="F10617">
            <v>890</v>
          </cell>
        </row>
        <row r="10618">
          <cell r="A10618" t="str">
            <v>ST0807-XL</v>
          </cell>
          <cell r="B10618" t="str">
            <v>T807</v>
          </cell>
          <cell r="C10618" t="str">
            <v>ซาติน แขนสั้นขายาว หกเหลี่ยม เขียว ขาว XL</v>
          </cell>
          <cell r="E10618">
            <v>0</v>
          </cell>
          <cell r="F10618">
            <v>890</v>
          </cell>
        </row>
        <row r="10619">
          <cell r="A10619" t="str">
            <v>ST0808-2XL</v>
          </cell>
          <cell r="B10619" t="str">
            <v>T808</v>
          </cell>
          <cell r="C10619" t="str">
            <v>ซาติน แขนสั้นขายาว tulip ม่วง 2XL</v>
          </cell>
          <cell r="E10619">
            <v>0</v>
          </cell>
          <cell r="F10619">
            <v>890</v>
          </cell>
        </row>
        <row r="10620">
          <cell r="A10620" t="str">
            <v>ST0808-3XL</v>
          </cell>
          <cell r="B10620" t="str">
            <v>T808</v>
          </cell>
          <cell r="C10620" t="str">
            <v>ซาติน แขนสั้นขายาว tulip ม่วง 3XL</v>
          </cell>
          <cell r="E10620">
            <v>0</v>
          </cell>
          <cell r="F10620">
            <v>890</v>
          </cell>
        </row>
        <row r="10621">
          <cell r="A10621" t="str">
            <v>ST0808-L</v>
          </cell>
          <cell r="B10621" t="str">
            <v>T808</v>
          </cell>
          <cell r="C10621" t="str">
            <v>ซาติน แขนสั้นขายาว tulip ม่วง L</v>
          </cell>
          <cell r="E10621">
            <v>0</v>
          </cell>
          <cell r="F10621">
            <v>890</v>
          </cell>
        </row>
        <row r="10622">
          <cell r="A10622" t="str">
            <v>ST0808-M</v>
          </cell>
          <cell r="B10622" t="str">
            <v>T808</v>
          </cell>
          <cell r="C10622" t="str">
            <v>ซาติน แขนสั้นขายาว tulip ม่วง M</v>
          </cell>
          <cell r="E10622">
            <v>0</v>
          </cell>
          <cell r="F10622">
            <v>890</v>
          </cell>
        </row>
        <row r="10623">
          <cell r="A10623" t="str">
            <v>ST0808-S</v>
          </cell>
          <cell r="B10623" t="str">
            <v>T808</v>
          </cell>
          <cell r="C10623" t="str">
            <v>ซาติน แขนสั้นขายาว tulip ม่วง S</v>
          </cell>
          <cell r="E10623">
            <v>0</v>
          </cell>
          <cell r="F10623">
            <v>890</v>
          </cell>
        </row>
        <row r="10624">
          <cell r="A10624" t="str">
            <v>ST0808-XL</v>
          </cell>
          <cell r="B10624" t="str">
            <v>QT808</v>
          </cell>
          <cell r="C10624" t="str">
            <v>ซาติน แขนสั้นขายาว tulip ม่วง XL QC</v>
          </cell>
          <cell r="E10624">
            <v>0</v>
          </cell>
          <cell r="F10624">
            <v>890</v>
          </cell>
        </row>
        <row r="10625">
          <cell r="A10625" t="str">
            <v>ST0813-2XL</v>
          </cell>
          <cell r="B10625" t="str">
            <v>T813</v>
          </cell>
          <cell r="C10625" t="str">
            <v>ซาติน แขนสั้นขายาว ดอกโสน พื้นฟ้า 2XL</v>
          </cell>
          <cell r="E10625">
            <v>0</v>
          </cell>
          <cell r="F10625">
            <v>890</v>
          </cell>
        </row>
        <row r="10626">
          <cell r="A10626" t="str">
            <v>ST0813-3XL</v>
          </cell>
          <cell r="B10626" t="str">
            <v>BT813</v>
          </cell>
          <cell r="C10626" t="str">
            <v>ซาติน แขนสั้นขายาว ดอกโสน พื้นฟ้า 3XL</v>
          </cell>
          <cell r="E10626">
            <v>0</v>
          </cell>
          <cell r="F10626">
            <v>890</v>
          </cell>
        </row>
        <row r="10627">
          <cell r="A10627" t="str">
            <v>ST0813-L</v>
          </cell>
          <cell r="B10627" t="str">
            <v>T813</v>
          </cell>
          <cell r="C10627" t="str">
            <v>ซาติน แขนสั้นขายาว ดอกโสน พื้นฟ้า L</v>
          </cell>
          <cell r="E10627">
            <v>0</v>
          </cell>
          <cell r="F10627">
            <v>890</v>
          </cell>
        </row>
        <row r="10628">
          <cell r="A10628" t="str">
            <v>ST0813-M</v>
          </cell>
          <cell r="B10628" t="str">
            <v>T813</v>
          </cell>
          <cell r="C10628" t="str">
            <v>ซาติน แขนสั้นขายาว ดอกโสน พื้นฟ้า M</v>
          </cell>
          <cell r="E10628">
            <v>0</v>
          </cell>
          <cell r="F10628">
            <v>890</v>
          </cell>
        </row>
        <row r="10629">
          <cell r="A10629" t="str">
            <v>ST0813-XL</v>
          </cell>
          <cell r="B10629" t="str">
            <v>T813</v>
          </cell>
          <cell r="C10629" t="str">
            <v>ซาติน แขนสั้นขายาว ดอกโสน พื้นฟ้า XL</v>
          </cell>
          <cell r="E10629">
            <v>0</v>
          </cell>
          <cell r="F10629">
            <v>890</v>
          </cell>
        </row>
        <row r="10630">
          <cell r="A10630" t="str">
            <v>ST0818-2XL</v>
          </cell>
          <cell r="B10630" t="str">
            <v>T818</v>
          </cell>
          <cell r="C10630" t="str">
            <v>ซาติน แขนสั้นขายาว Royal Green Art 2XL</v>
          </cell>
          <cell r="E10630">
            <v>0</v>
          </cell>
          <cell r="F10630">
            <v>890</v>
          </cell>
        </row>
        <row r="10631">
          <cell r="A10631" t="str">
            <v>ST0818-3XL</v>
          </cell>
          <cell r="B10631" t="str">
            <v>T818</v>
          </cell>
          <cell r="C10631" t="str">
            <v>ซาติน แขนสั้นขายาว Royal Green Art 3XL</v>
          </cell>
          <cell r="E10631">
            <v>0</v>
          </cell>
          <cell r="F10631">
            <v>890</v>
          </cell>
        </row>
        <row r="10632">
          <cell r="A10632" t="str">
            <v>ST0818-L</v>
          </cell>
          <cell r="B10632" t="str">
            <v>T818</v>
          </cell>
          <cell r="C10632" t="str">
            <v>ซาติน แขนสั้นขายาว Royal Green Art L</v>
          </cell>
          <cell r="E10632">
            <v>0</v>
          </cell>
          <cell r="F10632">
            <v>890</v>
          </cell>
        </row>
        <row r="10633">
          <cell r="A10633" t="str">
            <v>ST0818-M</v>
          </cell>
          <cell r="B10633" t="str">
            <v>T818</v>
          </cell>
          <cell r="C10633" t="str">
            <v>ซาติน แขนสั้นขายาว Royal Green Art M</v>
          </cell>
          <cell r="E10633">
            <v>0</v>
          </cell>
          <cell r="F10633">
            <v>890</v>
          </cell>
        </row>
        <row r="10634">
          <cell r="A10634" t="str">
            <v>ST0818-S</v>
          </cell>
          <cell r="B10634" t="str">
            <v>T818</v>
          </cell>
          <cell r="C10634" t="str">
            <v>ซาติน แขนสั้นขายาว Royal Green Art S</v>
          </cell>
          <cell r="E10634">
            <v>0</v>
          </cell>
          <cell r="F10634">
            <v>890</v>
          </cell>
        </row>
        <row r="10635">
          <cell r="A10635" t="str">
            <v>ST0818-XL</v>
          </cell>
          <cell r="B10635" t="str">
            <v>T818</v>
          </cell>
          <cell r="C10635" t="str">
            <v>ซาติน แขนสั้นขายาว Royal Green Art XL</v>
          </cell>
          <cell r="E10635">
            <v>0</v>
          </cell>
          <cell r="F10635">
            <v>890</v>
          </cell>
        </row>
        <row r="10636">
          <cell r="A10636" t="str">
            <v>ST0819-2XL</v>
          </cell>
          <cell r="B10636" t="str">
            <v>T819</v>
          </cell>
          <cell r="C10636" t="str">
            <v>ซาติน แขนสั้นขายาว ดอกมะลิ พื้นฟ้า 2XL</v>
          </cell>
          <cell r="E10636">
            <v>0</v>
          </cell>
          <cell r="F10636">
            <v>890</v>
          </cell>
        </row>
        <row r="10637">
          <cell r="A10637" t="str">
            <v>ST0819-L</v>
          </cell>
          <cell r="B10637" t="str">
            <v>BT819</v>
          </cell>
          <cell r="C10637" t="str">
            <v>ซาติน แขนสั้นขายาว ดอกมะลิ พื้นฟ้า L</v>
          </cell>
          <cell r="E10637">
            <v>0</v>
          </cell>
          <cell r="F10637">
            <v>890</v>
          </cell>
        </row>
        <row r="10638">
          <cell r="A10638" t="str">
            <v>ST0819-M</v>
          </cell>
          <cell r="B10638" t="str">
            <v>T819</v>
          </cell>
          <cell r="C10638" t="str">
            <v>ซาติน แขนสั้นขายาว ดอกมะลิ พื้นฟ้า M</v>
          </cell>
          <cell r="E10638">
            <v>0</v>
          </cell>
          <cell r="F10638">
            <v>890</v>
          </cell>
        </row>
        <row r="10639">
          <cell r="A10639" t="str">
            <v>ST0819-XL</v>
          </cell>
          <cell r="B10639" t="str">
            <v>T819</v>
          </cell>
          <cell r="C10639" t="str">
            <v>ซาติน แขนสั้นขายาว ดอกมะลิ พื้นฟ้า XL</v>
          </cell>
          <cell r="E10639">
            <v>0</v>
          </cell>
          <cell r="F10639">
            <v>890</v>
          </cell>
        </row>
        <row r="10640">
          <cell r="A10640" t="str">
            <v>ST0820-2XL</v>
          </cell>
          <cell r="B10640" t="str">
            <v>T820</v>
          </cell>
          <cell r="C10640" t="str">
            <v>ซาติน แขนสั้นขายาว Blue Lotus 2XL (กปก)</v>
          </cell>
          <cell r="E10640">
            <v>0</v>
          </cell>
          <cell r="F10640">
            <v>890</v>
          </cell>
        </row>
        <row r="10641">
          <cell r="A10641" t="str">
            <v>ST0820-L</v>
          </cell>
          <cell r="B10641" t="str">
            <v>T820</v>
          </cell>
          <cell r="C10641" t="str">
            <v>ซาติน แขนสั้นขายาว Blue Lotus L (กปก)</v>
          </cell>
          <cell r="E10641">
            <v>0</v>
          </cell>
          <cell r="F10641">
            <v>890</v>
          </cell>
        </row>
        <row r="10642">
          <cell r="A10642" t="str">
            <v>ST0820-M</v>
          </cell>
          <cell r="B10642" t="str">
            <v>BT820</v>
          </cell>
          <cell r="C10642" t="str">
            <v>ซาติน แขนสั้นขายาว Blue Lotus M (กปก)</v>
          </cell>
          <cell r="E10642">
            <v>0</v>
          </cell>
          <cell r="F10642">
            <v>890</v>
          </cell>
        </row>
        <row r="10643">
          <cell r="A10643" t="str">
            <v>ST0820-XL</v>
          </cell>
          <cell r="B10643" t="str">
            <v>BT820</v>
          </cell>
          <cell r="C10643" t="str">
            <v>ซาติน แขนสั้นขายาว Blue Lotus XL (กปก)</v>
          </cell>
          <cell r="E10643">
            <v>0</v>
          </cell>
          <cell r="F10643">
            <v>890</v>
          </cell>
        </row>
        <row r="10644">
          <cell r="A10644" t="str">
            <v>ST0826-2XL</v>
          </cell>
          <cell r="B10644" t="str">
            <v>T826</v>
          </cell>
          <cell r="C10644" t="str">
            <v>ซาติน แขนสั้นขายาว ป่าดิบชื้น 2XL</v>
          </cell>
          <cell r="E10644">
            <v>0</v>
          </cell>
          <cell r="F10644">
            <v>890</v>
          </cell>
        </row>
        <row r="10645">
          <cell r="A10645" t="str">
            <v>ST0826-3XL</v>
          </cell>
          <cell r="B10645" t="str">
            <v>T826</v>
          </cell>
          <cell r="C10645" t="str">
            <v>ซาติน แขนสั้นขายาว ป่าดิบชื้น 3XL</v>
          </cell>
          <cell r="E10645">
            <v>0</v>
          </cell>
          <cell r="F10645">
            <v>890</v>
          </cell>
        </row>
        <row r="10646">
          <cell r="A10646" t="str">
            <v>ST0826-L</v>
          </cell>
          <cell r="B10646" t="str">
            <v>T826</v>
          </cell>
          <cell r="C10646" t="str">
            <v>ซาติน แขนสั้นขายาว ป่าดิบชื้น L</v>
          </cell>
          <cell r="E10646">
            <v>0</v>
          </cell>
          <cell r="F10646">
            <v>890</v>
          </cell>
        </row>
        <row r="10647">
          <cell r="A10647" t="str">
            <v>ST0826-M</v>
          </cell>
          <cell r="B10647" t="str">
            <v>T826</v>
          </cell>
          <cell r="C10647" t="str">
            <v>ซาติน แขนสั้นขายาว ป่าดิบชื้น M</v>
          </cell>
          <cell r="E10647">
            <v>0</v>
          </cell>
          <cell r="F10647">
            <v>890</v>
          </cell>
        </row>
        <row r="10648">
          <cell r="A10648" t="str">
            <v>ST0826-XL</v>
          </cell>
          <cell r="B10648" t="str">
            <v>BT826</v>
          </cell>
          <cell r="C10648" t="str">
            <v>ซาติน แขนสั้นขายาว ป่าดิบชื้น XL</v>
          </cell>
          <cell r="E10648">
            <v>0</v>
          </cell>
          <cell r="F10648">
            <v>890</v>
          </cell>
        </row>
        <row r="10649">
          <cell r="A10649" t="str">
            <v>ST0827-2XL</v>
          </cell>
          <cell r="B10649" t="str">
            <v>T827</v>
          </cell>
          <cell r="C10649" t="str">
            <v>ซาติน แขนสั้นขายาว ดอกไม้พาสเทล ปกฟ้า 2XL</v>
          </cell>
          <cell r="E10649">
            <v>0</v>
          </cell>
          <cell r="F10649">
            <v>890</v>
          </cell>
        </row>
        <row r="10650">
          <cell r="A10650" t="str">
            <v>ST0827-3XL</v>
          </cell>
          <cell r="B10650" t="str">
            <v>T827</v>
          </cell>
          <cell r="C10650" t="str">
            <v>ซาติน แขนสั้นขายาว ดอกไม้พาสเทล ปกฟ้า 3XL</v>
          </cell>
          <cell r="E10650">
            <v>0</v>
          </cell>
          <cell r="F10650">
            <v>890</v>
          </cell>
        </row>
        <row r="10651">
          <cell r="A10651" t="str">
            <v>ST0827-L</v>
          </cell>
          <cell r="B10651" t="str">
            <v>T827</v>
          </cell>
          <cell r="C10651" t="str">
            <v>ซาติน แขนสั้นขายาว ดอกไม้พาสเทล ปกฟ้า L</v>
          </cell>
          <cell r="E10651">
            <v>0</v>
          </cell>
          <cell r="F10651">
            <v>890</v>
          </cell>
        </row>
        <row r="10652">
          <cell r="A10652" t="str">
            <v>ST0827-M</v>
          </cell>
          <cell r="B10652" t="str">
            <v>QT827</v>
          </cell>
          <cell r="C10652" t="str">
            <v>ซาติน แขนสั้นขายาว ดอกไม้พาสเทล ปกฟ้า M QC</v>
          </cell>
          <cell r="E10652">
            <v>0</v>
          </cell>
          <cell r="F10652">
            <v>890</v>
          </cell>
        </row>
        <row r="10653">
          <cell r="A10653" t="str">
            <v>ST0827-XL</v>
          </cell>
          <cell r="B10653" t="str">
            <v>BT827</v>
          </cell>
          <cell r="C10653" t="str">
            <v>ซาติน แขนสั้นขายาว ดอกไม้พาสเทล ปกฟ้า XL</v>
          </cell>
          <cell r="E10653">
            <v>0</v>
          </cell>
          <cell r="F10653">
            <v>890</v>
          </cell>
        </row>
        <row r="10654">
          <cell r="A10654" t="str">
            <v>ST0828-2XL</v>
          </cell>
          <cell r="B10654" t="str">
            <v>T828</v>
          </cell>
          <cell r="C10654" t="str">
            <v>ซาติน แขนสั้นขายาว ผีเสื้อ ชมพู 2XL</v>
          </cell>
          <cell r="E10654">
            <v>0</v>
          </cell>
          <cell r="F10654">
            <v>890</v>
          </cell>
        </row>
        <row r="10655">
          <cell r="A10655" t="str">
            <v>ST0828-L</v>
          </cell>
          <cell r="B10655" t="str">
            <v>T828</v>
          </cell>
          <cell r="C10655" t="str">
            <v>ซาติน แขนสั้นขายาว ผีเสื้อ ชมพู L</v>
          </cell>
          <cell r="E10655">
            <v>0</v>
          </cell>
          <cell r="F10655">
            <v>890</v>
          </cell>
        </row>
        <row r="10656">
          <cell r="A10656" t="str">
            <v>ST0828-M</v>
          </cell>
          <cell r="B10656" t="str">
            <v>T828</v>
          </cell>
          <cell r="C10656" t="str">
            <v>ซาติน แขนสั้นขายาว ผีเสื้อ ชมพู M</v>
          </cell>
          <cell r="E10656">
            <v>0</v>
          </cell>
          <cell r="F10656">
            <v>890</v>
          </cell>
        </row>
        <row r="10657">
          <cell r="A10657" t="str">
            <v>ST0828-XL</v>
          </cell>
          <cell r="B10657" t="str">
            <v>T828</v>
          </cell>
          <cell r="C10657" t="str">
            <v>ซาติน แขนสั้นขายาว ผีเสื้อ ชมพู XL</v>
          </cell>
          <cell r="E10657">
            <v>0</v>
          </cell>
          <cell r="F10657">
            <v>890</v>
          </cell>
        </row>
        <row r="10658">
          <cell r="A10658" t="str">
            <v>ST0836-2XL</v>
          </cell>
          <cell r="B10658" t="str">
            <v>T836</v>
          </cell>
          <cell r="C10658" t="str">
            <v>ซาติน แขนสั้นขายาว เสือดาว พื้นเขียว 2XL</v>
          </cell>
          <cell r="E10658">
            <v>0</v>
          </cell>
          <cell r="F10658">
            <v>890</v>
          </cell>
        </row>
        <row r="10659">
          <cell r="A10659" t="str">
            <v>ST0836-3XL</v>
          </cell>
          <cell r="B10659" t="str">
            <v>T836</v>
          </cell>
          <cell r="C10659" t="str">
            <v>ซาติน แขนสั้นขายาว เสือดาว พื้นเขียว 3XL</v>
          </cell>
          <cell r="E10659">
            <v>0</v>
          </cell>
          <cell r="F10659">
            <v>890</v>
          </cell>
        </row>
        <row r="10660">
          <cell r="A10660" t="str">
            <v>ST0836-L</v>
          </cell>
          <cell r="B10660" t="str">
            <v>T836</v>
          </cell>
          <cell r="C10660" t="str">
            <v>ซาติน แขนสั้นขายาว เสือดาว พื้นเขียว L</v>
          </cell>
          <cell r="E10660">
            <v>0</v>
          </cell>
          <cell r="F10660">
            <v>890</v>
          </cell>
        </row>
        <row r="10661">
          <cell r="A10661" t="str">
            <v>ST0836-M</v>
          </cell>
          <cell r="B10661" t="str">
            <v>T836</v>
          </cell>
          <cell r="C10661" t="str">
            <v>ซาติน แขนสั้นขายาว เสือดาว พื้นเขียว M</v>
          </cell>
          <cell r="E10661">
            <v>0</v>
          </cell>
          <cell r="F10661">
            <v>890</v>
          </cell>
        </row>
        <row r="10662">
          <cell r="A10662" t="str">
            <v>ST0836-XL</v>
          </cell>
          <cell r="B10662" t="str">
            <v>T836</v>
          </cell>
          <cell r="C10662" t="str">
            <v>ซาติน แขนสั้นขายาว เสือดาว พื้นเขียว XL</v>
          </cell>
          <cell r="E10662">
            <v>0</v>
          </cell>
          <cell r="F10662">
            <v>890</v>
          </cell>
        </row>
        <row r="10663">
          <cell r="A10663" t="str">
            <v>ST0837-2XL</v>
          </cell>
          <cell r="B10663" t="str">
            <v>T837</v>
          </cell>
          <cell r="C10663" t="str">
            <v>ซาติน แขนสั้นขายาว ซากุระ ไทเกอร์ พื้นชมพู  2XL</v>
          </cell>
          <cell r="E10663">
            <v>0</v>
          </cell>
          <cell r="F10663">
            <v>890</v>
          </cell>
        </row>
        <row r="10664">
          <cell r="A10664" t="str">
            <v>ST0837-3XL</v>
          </cell>
          <cell r="B10664" t="str">
            <v>T837</v>
          </cell>
          <cell r="C10664" t="str">
            <v>ซาติน แขนสั้นขายาว ซากุระ ไทเกอร์ พื้นชมพู  3XL</v>
          </cell>
          <cell r="E10664">
            <v>0</v>
          </cell>
          <cell r="F10664">
            <v>890</v>
          </cell>
        </row>
        <row r="10665">
          <cell r="A10665" t="str">
            <v>ST0837-L</v>
          </cell>
          <cell r="B10665" t="str">
            <v>T837</v>
          </cell>
          <cell r="C10665" t="str">
            <v>ซาติน แขนสั้นขายาว ซากุระ ไทเกอร์ พื้นชมพู  L</v>
          </cell>
          <cell r="E10665">
            <v>0</v>
          </cell>
          <cell r="F10665">
            <v>890</v>
          </cell>
        </row>
        <row r="10666">
          <cell r="A10666" t="str">
            <v>ST0837-M</v>
          </cell>
          <cell r="B10666" t="str">
            <v>T837</v>
          </cell>
          <cell r="C10666" t="str">
            <v>ซาติน แขนสั้นขายาว ซากุระ ไทเกอร์ พื้นชมพู  M</v>
          </cell>
          <cell r="E10666">
            <v>0</v>
          </cell>
          <cell r="F10666">
            <v>890</v>
          </cell>
        </row>
        <row r="10667">
          <cell r="A10667" t="str">
            <v>ST0837-XL</v>
          </cell>
          <cell r="B10667" t="str">
            <v>T837</v>
          </cell>
          <cell r="C10667" t="str">
            <v>ซาติน แขนสั้นขายาว ซากุระ ไทเกอร์ พื้นชมพู  XL</v>
          </cell>
          <cell r="E10667">
            <v>0</v>
          </cell>
          <cell r="F10667">
            <v>890</v>
          </cell>
        </row>
        <row r="10668">
          <cell r="A10668" t="str">
            <v>ST0838-2XL</v>
          </cell>
          <cell r="B10668" t="str">
            <v>T838</v>
          </cell>
          <cell r="C10668" t="str">
            <v>ซาติน แขนสั้นขายาว ซากุระ ไทเกอร์ พื้นกรม  2XL</v>
          </cell>
          <cell r="E10668">
            <v>0</v>
          </cell>
          <cell r="F10668">
            <v>890</v>
          </cell>
        </row>
        <row r="10669">
          <cell r="A10669" t="str">
            <v>ST0838-3XL</v>
          </cell>
          <cell r="B10669" t="str">
            <v>T838</v>
          </cell>
          <cell r="C10669" t="str">
            <v>ซาติน แขนสั้นขายาว ซากุระ ไทเกอร์ พื้นกรม  3XL</v>
          </cell>
          <cell r="E10669">
            <v>0</v>
          </cell>
          <cell r="F10669">
            <v>890</v>
          </cell>
        </row>
        <row r="10670">
          <cell r="A10670" t="str">
            <v>ST0838-L</v>
          </cell>
          <cell r="B10670" t="str">
            <v>T838</v>
          </cell>
          <cell r="C10670" t="str">
            <v>ซาติน แขนสั้นขายาว ซากุระ ไทเกอร์ พื้นกรม  L</v>
          </cell>
          <cell r="E10670">
            <v>0</v>
          </cell>
          <cell r="F10670">
            <v>890</v>
          </cell>
        </row>
        <row r="10671">
          <cell r="A10671" t="str">
            <v>ST0838-M</v>
          </cell>
          <cell r="B10671" t="str">
            <v>T838</v>
          </cell>
          <cell r="C10671" t="str">
            <v>ซาติน แขนสั้นขายาว ซากุระ ไทเกอร์ พื้นกรม  M</v>
          </cell>
          <cell r="E10671">
            <v>0</v>
          </cell>
          <cell r="F10671">
            <v>890</v>
          </cell>
        </row>
        <row r="10672">
          <cell r="A10672" t="str">
            <v>ST0838-XL</v>
          </cell>
          <cell r="B10672" t="str">
            <v>T838</v>
          </cell>
          <cell r="C10672" t="str">
            <v>ซาติน แขนสั้นขายาว ซากุระ ไทเกอร์ พื้นกรม  XL</v>
          </cell>
          <cell r="E10672">
            <v>0</v>
          </cell>
          <cell r="F10672">
            <v>890</v>
          </cell>
        </row>
        <row r="10673">
          <cell r="A10673" t="str">
            <v>ST0841-2XL</v>
          </cell>
          <cell r="B10673" t="str">
            <v>T841</v>
          </cell>
          <cell r="C10673" t="str">
            <v>ซาติน แขนสั้นขายาว Green Forest 2XL</v>
          </cell>
          <cell r="E10673">
            <v>0</v>
          </cell>
          <cell r="F10673">
            <v>890</v>
          </cell>
        </row>
        <row r="10674">
          <cell r="A10674" t="str">
            <v>ST0841-3XL</v>
          </cell>
          <cell r="B10674" t="str">
            <v>T841</v>
          </cell>
          <cell r="C10674" t="str">
            <v>ซาติน แขนสั้นขายาว Green Forest 3XL</v>
          </cell>
          <cell r="E10674">
            <v>0</v>
          </cell>
          <cell r="F10674">
            <v>890</v>
          </cell>
        </row>
        <row r="10675">
          <cell r="A10675" t="str">
            <v>ST0841-L</v>
          </cell>
          <cell r="B10675" t="str">
            <v>T841</v>
          </cell>
          <cell r="C10675" t="str">
            <v>ซาติน แขนสั้นขายาว Green Forest L</v>
          </cell>
          <cell r="E10675">
            <v>0</v>
          </cell>
          <cell r="F10675">
            <v>890</v>
          </cell>
        </row>
        <row r="10676">
          <cell r="A10676" t="str">
            <v>ST0841-M</v>
          </cell>
          <cell r="B10676" t="str">
            <v>QT841</v>
          </cell>
          <cell r="C10676" t="str">
            <v>ซาติน แขนสั้นขายาว Green Forest M QC</v>
          </cell>
          <cell r="E10676">
            <v>0</v>
          </cell>
          <cell r="F10676">
            <v>890</v>
          </cell>
        </row>
        <row r="10677">
          <cell r="A10677" t="str">
            <v>ST0841-XL</v>
          </cell>
          <cell r="B10677" t="str">
            <v>T841</v>
          </cell>
          <cell r="C10677" t="str">
            <v>ซาติน แขนสั้นขายาว Green Forest XL</v>
          </cell>
          <cell r="E10677">
            <v>0</v>
          </cell>
          <cell r="F10677">
            <v>890</v>
          </cell>
        </row>
        <row r="10678">
          <cell r="A10678" t="str">
            <v>ST0844-2XL</v>
          </cell>
          <cell r="B10678" t="str">
            <v>T844</v>
          </cell>
          <cell r="C10678" t="str">
            <v>ซาติน แขนสั้นขายาว ดอกไม้แมงกระพรุน ขอบม่วง 2XL</v>
          </cell>
          <cell r="E10678">
            <v>0</v>
          </cell>
          <cell r="F10678">
            <v>890</v>
          </cell>
        </row>
        <row r="10679">
          <cell r="A10679" t="str">
            <v>ST0844-3XL</v>
          </cell>
          <cell r="B10679" t="str">
            <v>T844</v>
          </cell>
          <cell r="C10679" t="str">
            <v>ซาติน แขนสั้นขายาว ดอกไม้แมงกระพรุน ขอบม่วง 3XL</v>
          </cell>
          <cell r="E10679">
            <v>0</v>
          </cell>
          <cell r="F10679">
            <v>890</v>
          </cell>
        </row>
        <row r="10680">
          <cell r="A10680" t="str">
            <v>ST0844-L</v>
          </cell>
          <cell r="B10680" t="str">
            <v>T844</v>
          </cell>
          <cell r="C10680" t="str">
            <v>ซาติน แขนสั้นขายาว ดอกไม้แมงกระพรุน ขอบม่วง L</v>
          </cell>
          <cell r="E10680">
            <v>0</v>
          </cell>
          <cell r="F10680">
            <v>890</v>
          </cell>
        </row>
        <row r="10681">
          <cell r="A10681" t="str">
            <v>ST0844-M</v>
          </cell>
          <cell r="B10681" t="str">
            <v>T844</v>
          </cell>
          <cell r="C10681" t="str">
            <v>ซาติน แขนสั้นขายาว ดอกไม้แมงกระพรุน ขอบม่วง M</v>
          </cell>
          <cell r="E10681">
            <v>0</v>
          </cell>
          <cell r="F10681">
            <v>890</v>
          </cell>
        </row>
        <row r="10682">
          <cell r="A10682" t="str">
            <v>ST0844-XL</v>
          </cell>
          <cell r="B10682" t="str">
            <v>T844</v>
          </cell>
          <cell r="C10682" t="str">
            <v>ซาติน แขนสั้นขายาว ดอกไม้แมงกระพรุน ขอบม่วง XL</v>
          </cell>
          <cell r="E10682">
            <v>0</v>
          </cell>
          <cell r="F10682">
            <v>890</v>
          </cell>
        </row>
        <row r="10683">
          <cell r="A10683" t="str">
            <v>ST0846-2XL</v>
          </cell>
          <cell r="B10683" t="str">
            <v>T846</v>
          </cell>
          <cell r="C10683" t="str">
            <v>ซาติน แขนสั้นขายาว ภาพหญ้าแห้ง 2XL</v>
          </cell>
          <cell r="E10683">
            <v>0</v>
          </cell>
          <cell r="F10683">
            <v>890</v>
          </cell>
        </row>
        <row r="10684">
          <cell r="A10684" t="str">
            <v>ST0846-3XL</v>
          </cell>
          <cell r="B10684" t="str">
            <v>T846</v>
          </cell>
          <cell r="C10684" t="str">
            <v>ซาติน แขนสั้นขายาว ภาพหญ้าแห้ง 3XL</v>
          </cell>
          <cell r="E10684">
            <v>0</v>
          </cell>
          <cell r="F10684">
            <v>890</v>
          </cell>
        </row>
        <row r="10685">
          <cell r="A10685" t="str">
            <v>ST0846-L</v>
          </cell>
          <cell r="B10685" t="str">
            <v>T846</v>
          </cell>
          <cell r="C10685" t="str">
            <v>ซาติน แขนสั้นขายาว ภาพหญ้าแห้ง L</v>
          </cell>
          <cell r="E10685">
            <v>0</v>
          </cell>
          <cell r="F10685">
            <v>890</v>
          </cell>
        </row>
        <row r="10686">
          <cell r="A10686" t="str">
            <v>ST0846-M</v>
          </cell>
          <cell r="B10686" t="str">
            <v>T846</v>
          </cell>
          <cell r="C10686" t="str">
            <v>ซาติน แขนสั้นขายาว ภาพหญ้าแห้ง M</v>
          </cell>
          <cell r="E10686">
            <v>0</v>
          </cell>
          <cell r="F10686">
            <v>890</v>
          </cell>
        </row>
        <row r="10687">
          <cell r="A10687" t="str">
            <v>ST0846-XL</v>
          </cell>
          <cell r="B10687" t="str">
            <v>T846</v>
          </cell>
          <cell r="C10687" t="str">
            <v>ซาติน แขนสั้นขายาว ภาพหญ้าแห้ง XL</v>
          </cell>
          <cell r="E10687">
            <v>0</v>
          </cell>
          <cell r="F10687">
            <v>890</v>
          </cell>
        </row>
        <row r="10688">
          <cell r="A10688" t="str">
            <v>ST0849-2XL</v>
          </cell>
          <cell r="B10688" t="str">
            <v>T849</v>
          </cell>
          <cell r="C10688" t="str">
            <v>ซาติน แขนสั้นขายาว Green to tones 2XL</v>
          </cell>
          <cell r="E10688">
            <v>0</v>
          </cell>
          <cell r="F10688">
            <v>890</v>
          </cell>
        </row>
        <row r="10689">
          <cell r="A10689" t="str">
            <v>ST0849-3XL</v>
          </cell>
          <cell r="B10689" t="str">
            <v>T849</v>
          </cell>
          <cell r="C10689" t="str">
            <v>ซาติน แขนสั้นขายาว Green to tones 3XL</v>
          </cell>
          <cell r="E10689">
            <v>0</v>
          </cell>
          <cell r="F10689">
            <v>890</v>
          </cell>
        </row>
        <row r="10690">
          <cell r="A10690" t="str">
            <v>ST0849-L</v>
          </cell>
          <cell r="B10690" t="str">
            <v>T849</v>
          </cell>
          <cell r="C10690" t="str">
            <v>ซาติน แขนสั้นขายาว Green to tones L</v>
          </cell>
          <cell r="E10690">
            <v>0</v>
          </cell>
          <cell r="F10690">
            <v>890</v>
          </cell>
        </row>
        <row r="10691">
          <cell r="A10691" t="str">
            <v>ST0849-M</v>
          </cell>
          <cell r="B10691" t="str">
            <v>T849</v>
          </cell>
          <cell r="C10691" t="str">
            <v>ซาติน แขนสั้นขายาว Green to tones M</v>
          </cell>
          <cell r="E10691">
            <v>0</v>
          </cell>
          <cell r="F10691">
            <v>890</v>
          </cell>
        </row>
        <row r="10692">
          <cell r="A10692" t="str">
            <v>ST0849-XL</v>
          </cell>
          <cell r="B10692" t="str">
            <v>T849</v>
          </cell>
          <cell r="C10692" t="str">
            <v>ซาติน แขนสั้นขายาว Green to tones XL</v>
          </cell>
          <cell r="E10692">
            <v>0</v>
          </cell>
          <cell r="F10692">
            <v>890</v>
          </cell>
        </row>
        <row r="10693">
          <cell r="A10693" t="str">
            <v>ST0852-2XL</v>
          </cell>
          <cell r="B10693" t="str">
            <v>T852</v>
          </cell>
          <cell r="C10693" t="str">
            <v>ซาติน แขนสั้นขายาว แมวเทา พื้นครีม 2XL</v>
          </cell>
          <cell r="E10693">
            <v>0</v>
          </cell>
          <cell r="F10693">
            <v>890</v>
          </cell>
        </row>
        <row r="10694">
          <cell r="A10694" t="str">
            <v>ST0852-L</v>
          </cell>
          <cell r="B10694" t="str">
            <v>T852</v>
          </cell>
          <cell r="C10694" t="str">
            <v>ซาติน แขนสั้นขายาว แมวเทา พื้นครีม L</v>
          </cell>
          <cell r="E10694">
            <v>0</v>
          </cell>
          <cell r="F10694">
            <v>890</v>
          </cell>
        </row>
        <row r="10695">
          <cell r="A10695" t="str">
            <v>ST0852-M</v>
          </cell>
          <cell r="B10695" t="str">
            <v>T852</v>
          </cell>
          <cell r="C10695" t="str">
            <v>ซาติน แขนสั้นขายาว แมวเทา พื้นครีม M</v>
          </cell>
          <cell r="E10695">
            <v>0</v>
          </cell>
          <cell r="F10695">
            <v>890</v>
          </cell>
        </row>
        <row r="10696">
          <cell r="A10696" t="str">
            <v>ST0852-XL</v>
          </cell>
          <cell r="B10696" t="str">
            <v>T852</v>
          </cell>
          <cell r="C10696" t="str">
            <v>ซาติน แขนสั้นขายาว แมวเทา พื้นครีม XL</v>
          </cell>
          <cell r="E10696">
            <v>0</v>
          </cell>
          <cell r="F10696">
            <v>890</v>
          </cell>
        </row>
        <row r="10697">
          <cell r="A10697" t="str">
            <v>ST0853-2XL</v>
          </cell>
          <cell r="B10697" t="str">
            <v>QT853</v>
          </cell>
          <cell r="C10697" t="str">
            <v>ซาติน แขนสั้นขายาว พื้นดำ ดอกไม้เหลือง 2XL QC</v>
          </cell>
          <cell r="E10697">
            <v>0</v>
          </cell>
          <cell r="F10697">
            <v>890</v>
          </cell>
        </row>
        <row r="10698">
          <cell r="A10698" t="str">
            <v>ST0853-L</v>
          </cell>
          <cell r="B10698" t="str">
            <v>T853</v>
          </cell>
          <cell r="C10698" t="str">
            <v>ซาติน แขนสั้นขายาว พื้นดำ ดอกไม้เหลือง L</v>
          </cell>
          <cell r="E10698">
            <v>0</v>
          </cell>
          <cell r="F10698">
            <v>890</v>
          </cell>
        </row>
        <row r="10699">
          <cell r="A10699" t="str">
            <v>ST0853-M</v>
          </cell>
          <cell r="B10699" t="str">
            <v>T853</v>
          </cell>
          <cell r="C10699" t="str">
            <v>ซาติน แขนสั้นขายาว พื้นดำ ดอกไม้เหลือง M</v>
          </cell>
          <cell r="E10699">
            <v>0</v>
          </cell>
          <cell r="F10699">
            <v>890</v>
          </cell>
        </row>
        <row r="10700">
          <cell r="A10700" t="str">
            <v>ST0853-XL</v>
          </cell>
          <cell r="B10700" t="str">
            <v>T853</v>
          </cell>
          <cell r="C10700" t="str">
            <v>ซาติน แขนสั้นขายาว พื้นดำ ดอกไม้เหลือง XL</v>
          </cell>
          <cell r="E10700">
            <v>0</v>
          </cell>
          <cell r="F10700">
            <v>890</v>
          </cell>
        </row>
        <row r="10701">
          <cell r="A10701" t="str">
            <v>ST0854-2XL</v>
          </cell>
          <cell r="B10701" t="str">
            <v>T854</v>
          </cell>
          <cell r="C10701" t="str">
            <v>ซาติน แขนสั้นขายาว Women พื้นชมพู 2XL</v>
          </cell>
          <cell r="E10701">
            <v>0</v>
          </cell>
          <cell r="F10701">
            <v>890</v>
          </cell>
        </row>
        <row r="10702">
          <cell r="A10702" t="str">
            <v>ST0854-L</v>
          </cell>
          <cell r="B10702" t="str">
            <v>QT854</v>
          </cell>
          <cell r="C10702" t="str">
            <v>ซาติน แขนสั้นขายาว Women พื้นชมพู L QC</v>
          </cell>
          <cell r="E10702">
            <v>0</v>
          </cell>
          <cell r="F10702">
            <v>890</v>
          </cell>
        </row>
        <row r="10703">
          <cell r="A10703" t="str">
            <v>ST0854-M</v>
          </cell>
          <cell r="B10703" t="str">
            <v>QT854</v>
          </cell>
          <cell r="C10703" t="str">
            <v>ซาติน แขนสั้นขายาว Women พื้นชมพู M QC</v>
          </cell>
          <cell r="E10703">
            <v>0</v>
          </cell>
          <cell r="F10703">
            <v>890</v>
          </cell>
        </row>
        <row r="10704">
          <cell r="A10704" t="str">
            <v>ST0854-XL</v>
          </cell>
          <cell r="B10704" t="str">
            <v>QT854</v>
          </cell>
          <cell r="C10704" t="str">
            <v>ซาติน แขนสั้นขายาว Women พื้นชมพู XL QC</v>
          </cell>
          <cell r="E10704">
            <v>0</v>
          </cell>
          <cell r="F10704">
            <v>890</v>
          </cell>
        </row>
        <row r="10705">
          <cell r="A10705" t="str">
            <v>ST0855-2XL</v>
          </cell>
          <cell r="B10705" t="str">
            <v>T855</v>
          </cell>
          <cell r="C10705" t="str">
            <v>ซาติน แขนสั้นขายาว ซากุระ พื้นชมพู 2XL</v>
          </cell>
          <cell r="E10705">
            <v>0</v>
          </cell>
          <cell r="F10705">
            <v>890</v>
          </cell>
        </row>
        <row r="10706">
          <cell r="A10706" t="str">
            <v>ST0855-L</v>
          </cell>
          <cell r="B10706" t="str">
            <v>T855</v>
          </cell>
          <cell r="C10706" t="str">
            <v>ซาติน แขนสั้นขายาว ซากุระ พื้นชมพู L</v>
          </cell>
          <cell r="E10706">
            <v>0</v>
          </cell>
          <cell r="F10706">
            <v>890</v>
          </cell>
        </row>
        <row r="10707">
          <cell r="A10707" t="str">
            <v>ST0855-M</v>
          </cell>
          <cell r="B10707" t="str">
            <v>T855</v>
          </cell>
          <cell r="C10707" t="str">
            <v>ซาติน แขนสั้นขายาว ซากุระ พื้นชมพู M</v>
          </cell>
          <cell r="E10707">
            <v>0</v>
          </cell>
          <cell r="F10707">
            <v>890</v>
          </cell>
        </row>
        <row r="10708">
          <cell r="A10708" t="str">
            <v>ST0855-XL</v>
          </cell>
          <cell r="B10708" t="str">
            <v>T855</v>
          </cell>
          <cell r="C10708" t="str">
            <v>ซาติน แขนสั้นขายาว ซากุระ พื้นชมพู XL</v>
          </cell>
          <cell r="E10708">
            <v>0</v>
          </cell>
          <cell r="F10708">
            <v>890</v>
          </cell>
        </row>
        <row r="10709">
          <cell r="A10709" t="str">
            <v>ST0856-2XL</v>
          </cell>
          <cell r="B10709" t="str">
            <v>T856</v>
          </cell>
          <cell r="C10709" t="str">
            <v>ซาติน แขนสั้นขายาว โซ่ ลายทาง (กปก) 2XL</v>
          </cell>
          <cell r="E10709">
            <v>0</v>
          </cell>
          <cell r="F10709">
            <v>890</v>
          </cell>
        </row>
        <row r="10710">
          <cell r="A10710" t="str">
            <v>ST0856-3XL</v>
          </cell>
          <cell r="B10710" t="str">
            <v>T856</v>
          </cell>
          <cell r="C10710" t="str">
            <v>ซาติน แขนสั้นขายาว โซ่ ลายทาง (กปก) 3XL</v>
          </cell>
          <cell r="E10710">
            <v>0</v>
          </cell>
          <cell r="F10710">
            <v>890</v>
          </cell>
        </row>
        <row r="10711">
          <cell r="A10711" t="str">
            <v>ST0856-L</v>
          </cell>
          <cell r="B10711" t="str">
            <v>T856</v>
          </cell>
          <cell r="C10711" t="str">
            <v>ซาติน แขนสั้นขายาว โซ่ ลายทาง (กปก) L</v>
          </cell>
          <cell r="E10711">
            <v>0</v>
          </cell>
          <cell r="F10711">
            <v>890</v>
          </cell>
        </row>
        <row r="10712">
          <cell r="A10712" t="str">
            <v>ST0856-M</v>
          </cell>
          <cell r="B10712" t="str">
            <v>T856</v>
          </cell>
          <cell r="C10712" t="str">
            <v>ซาติน แขนสั้นขายาว โซ่ ลายทาง (กปก) M</v>
          </cell>
          <cell r="E10712">
            <v>0</v>
          </cell>
          <cell r="F10712">
            <v>890</v>
          </cell>
        </row>
        <row r="10713">
          <cell r="A10713" t="str">
            <v>ST0856-XL</v>
          </cell>
          <cell r="B10713" t="str">
            <v>T856</v>
          </cell>
          <cell r="C10713" t="str">
            <v>ซาติน แขนสั้นขายาว โซ่ ลายทาง (กปก) XL</v>
          </cell>
          <cell r="E10713">
            <v>0</v>
          </cell>
          <cell r="F10713">
            <v>890</v>
          </cell>
        </row>
        <row r="10714">
          <cell r="A10714" t="str">
            <v>ST0857-2XL</v>
          </cell>
          <cell r="B10714" t="str">
            <v>T857</v>
          </cell>
          <cell r="C10714" t="str">
            <v>ซาติน แขนสั้นขายาว ดอกไม้ฟ้า พื้นชมพู 2XL</v>
          </cell>
          <cell r="E10714">
            <v>0</v>
          </cell>
          <cell r="F10714">
            <v>890</v>
          </cell>
        </row>
        <row r="10715">
          <cell r="A10715" t="str">
            <v>ST0857-3XL</v>
          </cell>
          <cell r="B10715" t="str">
            <v>T857</v>
          </cell>
          <cell r="C10715" t="str">
            <v>ซาติน แขนสั้นขายาว ดอกไม้ฟ้า พื้นชมพู 3XL</v>
          </cell>
          <cell r="E10715">
            <v>0</v>
          </cell>
          <cell r="F10715">
            <v>890</v>
          </cell>
        </row>
        <row r="10716">
          <cell r="A10716" t="str">
            <v>ST0857-L</v>
          </cell>
          <cell r="B10716" t="str">
            <v>T857</v>
          </cell>
          <cell r="C10716" t="str">
            <v>ซาติน แขนสั้นขายาว ดอกไม้ฟ้า พื้นชมพู L</v>
          </cell>
          <cell r="E10716">
            <v>0</v>
          </cell>
          <cell r="F10716">
            <v>890</v>
          </cell>
        </row>
        <row r="10717">
          <cell r="A10717" t="str">
            <v>ST0857-M</v>
          </cell>
          <cell r="B10717" t="str">
            <v>T857</v>
          </cell>
          <cell r="C10717" t="str">
            <v>ซาติน แขนสั้นขายาว ดอกไม้ฟ้า พื้นชมพู M</v>
          </cell>
          <cell r="E10717">
            <v>0</v>
          </cell>
          <cell r="F10717">
            <v>890</v>
          </cell>
        </row>
        <row r="10718">
          <cell r="A10718" t="str">
            <v>ST0857-XL</v>
          </cell>
          <cell r="B10718" t="str">
            <v>T857</v>
          </cell>
          <cell r="C10718" t="str">
            <v>ซาติน แขนสั้นขายาว ดอกไม้ฟ้า พื้นชมพู XL</v>
          </cell>
          <cell r="E10718">
            <v>0</v>
          </cell>
          <cell r="F10718">
            <v>890</v>
          </cell>
        </row>
        <row r="10719">
          <cell r="A10719" t="str">
            <v>ST0862-2XL</v>
          </cell>
          <cell r="B10719" t="str">
            <v>BT862</v>
          </cell>
          <cell r="C10719" t="str">
            <v>ซาติน แขนสั้นขายาว Blue Comic 2XL</v>
          </cell>
          <cell r="E10719">
            <v>0</v>
          </cell>
          <cell r="F10719">
            <v>890</v>
          </cell>
        </row>
        <row r="10720">
          <cell r="A10720" t="str">
            <v>ST0862-3XL</v>
          </cell>
          <cell r="B10720" t="str">
            <v>BT862</v>
          </cell>
          <cell r="C10720" t="str">
            <v>ซาติน แขนสั้นขายาว Blue Comic 3XL</v>
          </cell>
          <cell r="E10720">
            <v>0</v>
          </cell>
          <cell r="F10720">
            <v>890</v>
          </cell>
        </row>
        <row r="10721">
          <cell r="A10721" t="str">
            <v>ST0862-L</v>
          </cell>
          <cell r="B10721" t="str">
            <v>T862</v>
          </cell>
          <cell r="C10721" t="str">
            <v>ซาติน แขนสั้นขายาว Blue Comic L</v>
          </cell>
          <cell r="E10721">
            <v>0</v>
          </cell>
          <cell r="F10721">
            <v>890</v>
          </cell>
        </row>
        <row r="10722">
          <cell r="A10722" t="str">
            <v>ST0862-M</v>
          </cell>
          <cell r="B10722" t="str">
            <v>T862</v>
          </cell>
          <cell r="C10722" t="str">
            <v>ซาติน แขนสั้นขายาว Blue Comic M</v>
          </cell>
          <cell r="E10722">
            <v>0</v>
          </cell>
          <cell r="F10722">
            <v>890</v>
          </cell>
        </row>
        <row r="10723">
          <cell r="A10723" t="str">
            <v>ST0862-XL</v>
          </cell>
          <cell r="B10723" t="str">
            <v>T862</v>
          </cell>
          <cell r="C10723" t="str">
            <v>ซาติน แขนสั้นขายาว Blue Comic XL</v>
          </cell>
          <cell r="E10723">
            <v>0</v>
          </cell>
          <cell r="F10723">
            <v>890</v>
          </cell>
        </row>
        <row r="10724">
          <cell r="A10724" t="str">
            <v>ST0864-2XL</v>
          </cell>
          <cell r="B10724" t="str">
            <v>T864</v>
          </cell>
          <cell r="C10724" t="str">
            <v>ซาติน แขนสั้นขายาว Pangea 2XL</v>
          </cell>
          <cell r="E10724">
            <v>0</v>
          </cell>
          <cell r="F10724">
            <v>890</v>
          </cell>
        </row>
        <row r="10725">
          <cell r="A10725" t="str">
            <v>ST0864-3XL</v>
          </cell>
          <cell r="B10725" t="str">
            <v>T864</v>
          </cell>
          <cell r="C10725" t="str">
            <v>ซาติน แขนสั้นขายาว Pangea 3XL</v>
          </cell>
          <cell r="E10725">
            <v>0</v>
          </cell>
          <cell r="F10725">
            <v>890</v>
          </cell>
        </row>
        <row r="10726">
          <cell r="A10726" t="str">
            <v>ST0864-L</v>
          </cell>
          <cell r="B10726" t="str">
            <v>T864</v>
          </cell>
          <cell r="C10726" t="str">
            <v>ซาติน แขนสั้นขายาว Pangea L</v>
          </cell>
          <cell r="E10726">
            <v>0</v>
          </cell>
          <cell r="F10726">
            <v>890</v>
          </cell>
        </row>
        <row r="10727">
          <cell r="A10727" t="str">
            <v>ST0864-M</v>
          </cell>
          <cell r="B10727" t="str">
            <v>T864</v>
          </cell>
          <cell r="C10727" t="str">
            <v>ซาติน แขนสั้นขายาว Pangea M</v>
          </cell>
          <cell r="E10727">
            <v>0</v>
          </cell>
          <cell r="F10727">
            <v>890</v>
          </cell>
        </row>
        <row r="10728">
          <cell r="A10728" t="str">
            <v>ST0864-XL</v>
          </cell>
          <cell r="B10728" t="str">
            <v>T864</v>
          </cell>
          <cell r="C10728" t="str">
            <v>ซาติน แขนสั้นขายาว Pangea XL</v>
          </cell>
          <cell r="E10728">
            <v>0</v>
          </cell>
          <cell r="F10728">
            <v>890</v>
          </cell>
        </row>
        <row r="10729">
          <cell r="A10729" t="str">
            <v>ST0865-2XL</v>
          </cell>
          <cell r="B10729" t="str">
            <v>T865</v>
          </cell>
          <cell r="C10729" t="str">
            <v>ซาติน แขนสั้นขายาว Green Garden and Blue flowers 2XL</v>
          </cell>
          <cell r="E10729">
            <v>0</v>
          </cell>
          <cell r="F10729">
            <v>890</v>
          </cell>
        </row>
        <row r="10730">
          <cell r="A10730" t="str">
            <v>ST0865-L</v>
          </cell>
          <cell r="B10730" t="str">
            <v>T865</v>
          </cell>
          <cell r="C10730" t="str">
            <v>ซาติน  แขนสั้นขายาว Green Garden and Blue flowers L</v>
          </cell>
          <cell r="E10730">
            <v>0</v>
          </cell>
          <cell r="F10730">
            <v>890</v>
          </cell>
        </row>
        <row r="10731">
          <cell r="A10731" t="str">
            <v>ST0865-M</v>
          </cell>
          <cell r="B10731" t="str">
            <v>T865</v>
          </cell>
          <cell r="C10731" t="str">
            <v>ซาติน  ขาสั้นขายาว Green Garden and Blue flowers M</v>
          </cell>
          <cell r="E10731">
            <v>0</v>
          </cell>
          <cell r="F10731">
            <v>890</v>
          </cell>
        </row>
        <row r="10732">
          <cell r="A10732" t="str">
            <v>ST0865-XL</v>
          </cell>
          <cell r="B10732" t="str">
            <v>T865</v>
          </cell>
          <cell r="C10732" t="str">
            <v>ซาติน แขนสั้นขายาว Green Garden and Blue flowers XL</v>
          </cell>
          <cell r="E10732">
            <v>0</v>
          </cell>
          <cell r="F10732">
            <v>890</v>
          </cell>
        </row>
        <row r="10733">
          <cell r="A10733" t="str">
            <v>ST0866-2XL</v>
          </cell>
          <cell r="B10733" t="str">
            <v>T866</v>
          </cell>
          <cell r="C10733" t="str">
            <v>ซาติน แขนสั้นขายาว เกสรดอกไม้ คอจีบ 2XL</v>
          </cell>
          <cell r="E10733">
            <v>0</v>
          </cell>
          <cell r="F10733">
            <v>890</v>
          </cell>
        </row>
        <row r="10734">
          <cell r="A10734" t="str">
            <v>ST0866-L</v>
          </cell>
          <cell r="B10734" t="str">
            <v>T866</v>
          </cell>
          <cell r="C10734" t="str">
            <v>ซาติน แขนสั้นขายาว เกสรดอกไม้ คอจีบ L</v>
          </cell>
          <cell r="E10734">
            <v>0</v>
          </cell>
          <cell r="F10734">
            <v>890</v>
          </cell>
        </row>
        <row r="10735">
          <cell r="A10735" t="str">
            <v>ST0866-M</v>
          </cell>
          <cell r="B10735" t="str">
            <v>T866</v>
          </cell>
          <cell r="C10735" t="str">
            <v>ซาติน แขนสั้นขายาว เกสรดอกไม้ คอจีบ M</v>
          </cell>
          <cell r="E10735">
            <v>0</v>
          </cell>
          <cell r="F10735">
            <v>890</v>
          </cell>
        </row>
        <row r="10736">
          <cell r="A10736" t="str">
            <v>ST0866-XL</v>
          </cell>
          <cell r="B10736" t="str">
            <v>T866</v>
          </cell>
          <cell r="C10736" t="str">
            <v>ซาติน แขนสั้นขายาว เกสรดอกไม้ คอจีบ XL</v>
          </cell>
          <cell r="E10736">
            <v>0</v>
          </cell>
          <cell r="F10736">
            <v>890</v>
          </cell>
        </row>
        <row r="10737">
          <cell r="A10737" t="str">
            <v>ST0867-2XL</v>
          </cell>
          <cell r="B10737" t="str">
            <v>T867</v>
          </cell>
          <cell r="C10737" t="str">
            <v>ซาติน แขนสั้นขายาว สวนหลังบ้าน คอปกส้ม 2XL (กปก)</v>
          </cell>
          <cell r="E10737">
            <v>0</v>
          </cell>
          <cell r="F10737">
            <v>890</v>
          </cell>
        </row>
        <row r="10738">
          <cell r="A10738" t="str">
            <v>ST0867-3XL</v>
          </cell>
          <cell r="B10738" t="str">
            <v>T867</v>
          </cell>
          <cell r="C10738" t="str">
            <v>ซาติน แขนสั้นขายาว สวนหลังบ้าน คอปกส้ม 3XL (กปก)</v>
          </cell>
          <cell r="E10738">
            <v>0</v>
          </cell>
          <cell r="F10738">
            <v>890</v>
          </cell>
        </row>
        <row r="10739">
          <cell r="A10739" t="str">
            <v>ST0867-L</v>
          </cell>
          <cell r="B10739" t="str">
            <v>T867</v>
          </cell>
          <cell r="C10739" t="str">
            <v>ซาติน แขนสั้นขายาว สวนหลังบ้าน คอปกส้ม L (กปก)</v>
          </cell>
          <cell r="E10739">
            <v>0</v>
          </cell>
          <cell r="F10739">
            <v>890</v>
          </cell>
        </row>
        <row r="10740">
          <cell r="A10740" t="str">
            <v>ST0867-M</v>
          </cell>
          <cell r="B10740" t="str">
            <v>T867</v>
          </cell>
          <cell r="C10740" t="str">
            <v>ซาติน แขนสั้นขายาว สวนหลังบ้าน คอปกส้ม M (กปก)</v>
          </cell>
          <cell r="E10740">
            <v>0</v>
          </cell>
          <cell r="F10740">
            <v>890</v>
          </cell>
        </row>
        <row r="10741">
          <cell r="A10741" t="str">
            <v>ST0867-XL</v>
          </cell>
          <cell r="B10741" t="str">
            <v>T867</v>
          </cell>
          <cell r="C10741" t="str">
            <v>ซาติน แขนสั้นขายาว สวนหลังบ้าน คอปกส้ม XL (กปก)</v>
          </cell>
          <cell r="E10741">
            <v>0</v>
          </cell>
          <cell r="F10741">
            <v>890</v>
          </cell>
        </row>
        <row r="10742">
          <cell r="A10742" t="str">
            <v>ST0868-2XL</v>
          </cell>
          <cell r="B10742" t="str">
            <v>BT868</v>
          </cell>
          <cell r="C10742" t="str">
            <v>ซาติน แขนสั้นขายาว Red Rose And Heart 2XL</v>
          </cell>
          <cell r="E10742">
            <v>0</v>
          </cell>
          <cell r="F10742">
            <v>890</v>
          </cell>
        </row>
        <row r="10743">
          <cell r="A10743" t="str">
            <v>ST0868-L</v>
          </cell>
          <cell r="B10743" t="str">
            <v>T868</v>
          </cell>
          <cell r="C10743" t="str">
            <v>ซาติน แขนสั้นขายาว Red Rose And Heart L</v>
          </cell>
          <cell r="E10743">
            <v>0</v>
          </cell>
          <cell r="F10743">
            <v>890</v>
          </cell>
        </row>
        <row r="10744">
          <cell r="A10744" t="str">
            <v>ST0868-M</v>
          </cell>
          <cell r="B10744" t="str">
            <v>BT868</v>
          </cell>
          <cell r="C10744" t="str">
            <v>ซาติน แขนสั้นขายาว Red Rose And Heart M</v>
          </cell>
          <cell r="E10744">
            <v>0</v>
          </cell>
          <cell r="F10744">
            <v>890</v>
          </cell>
        </row>
        <row r="10745">
          <cell r="A10745" t="str">
            <v>ST0868-XL</v>
          </cell>
          <cell r="B10745" t="str">
            <v>T868</v>
          </cell>
          <cell r="C10745" t="str">
            <v>ซาติน แขนสั้นขายาว Red Rose And Heart XL</v>
          </cell>
          <cell r="E10745">
            <v>0</v>
          </cell>
          <cell r="F10745">
            <v>890</v>
          </cell>
        </row>
        <row r="10746">
          <cell r="A10746" t="str">
            <v>ST0880-2XL</v>
          </cell>
          <cell r="B10746" t="str">
            <v>T880</v>
          </cell>
          <cell r="C10746" t="str">
            <v>ซาติน แขนสั้นขายาว ฮัมมิ่งเบิร์ด พื้นเขียว ขอบส้ม 2XL</v>
          </cell>
          <cell r="E10746">
            <v>0</v>
          </cell>
          <cell r="F10746">
            <v>890</v>
          </cell>
        </row>
        <row r="10747">
          <cell r="A10747" t="str">
            <v>ST0880-3XL</v>
          </cell>
          <cell r="B10747" t="str">
            <v>T880</v>
          </cell>
          <cell r="C10747" t="str">
            <v>ซาติน แขนสั้นขายาว ฮัมมิ่งเบิร์ด พื้นเขียว ขอบส้ม 3XL</v>
          </cell>
          <cell r="E10747">
            <v>0</v>
          </cell>
          <cell r="F10747">
            <v>890</v>
          </cell>
        </row>
        <row r="10748">
          <cell r="A10748" t="str">
            <v>ST0880-L</v>
          </cell>
          <cell r="B10748" t="str">
            <v>T880</v>
          </cell>
          <cell r="C10748" t="str">
            <v>ซาติน แขนสั้นขายาว ฮัมมิ่งเบิร์ด พื้นเขียว ขอบส้ม L</v>
          </cell>
          <cell r="E10748">
            <v>0</v>
          </cell>
          <cell r="F10748">
            <v>890</v>
          </cell>
        </row>
        <row r="10749">
          <cell r="A10749" t="str">
            <v>ST0880-M</v>
          </cell>
          <cell r="B10749" t="str">
            <v>T880</v>
          </cell>
          <cell r="C10749" t="str">
            <v>ซาติน แขนสั้นขายาว ฮัมมิ่งเบิร์ด พื้นเขียว ขอบส้ม M</v>
          </cell>
          <cell r="E10749">
            <v>0</v>
          </cell>
          <cell r="F10749">
            <v>890</v>
          </cell>
        </row>
        <row r="10750">
          <cell r="A10750" t="str">
            <v>ST0880-XL</v>
          </cell>
          <cell r="B10750" t="str">
            <v>T880</v>
          </cell>
          <cell r="C10750" t="str">
            <v>ซาติน แขนสั้นขายาว ฮัมมิ่งเบิร์ด พื้นเขียว ขอบส้ม XL</v>
          </cell>
          <cell r="E10750">
            <v>0</v>
          </cell>
          <cell r="F10750">
            <v>890</v>
          </cell>
        </row>
        <row r="10751">
          <cell r="A10751" t="str">
            <v>ST0881-2XL</v>
          </cell>
          <cell r="B10751" t="str">
            <v>T881</v>
          </cell>
          <cell r="C10751" t="str">
            <v>ซาติน แขนสั้นขายาว ดอกไม้ใต้ทะเล ปกชมพู 2XL (กปก)</v>
          </cell>
          <cell r="E10751">
            <v>0</v>
          </cell>
          <cell r="F10751">
            <v>890</v>
          </cell>
        </row>
        <row r="10752">
          <cell r="A10752" t="str">
            <v>ST0881-3XL</v>
          </cell>
          <cell r="B10752" t="str">
            <v>T881</v>
          </cell>
          <cell r="C10752" t="str">
            <v>ซาติน แขนสั้นขายาว ดอกไม้ใต้ทะเล ปกชมพู 3XL (กปก)</v>
          </cell>
          <cell r="E10752">
            <v>0</v>
          </cell>
          <cell r="F10752">
            <v>890</v>
          </cell>
        </row>
        <row r="10753">
          <cell r="A10753" t="str">
            <v>ST0881-L</v>
          </cell>
          <cell r="B10753" t="str">
            <v>T881</v>
          </cell>
          <cell r="C10753" t="str">
            <v>ซาติน แขนสั้นขายาว ดอกไม้ใต้ทะเล ปกชมพู L (กปก)</v>
          </cell>
          <cell r="E10753">
            <v>0</v>
          </cell>
          <cell r="F10753">
            <v>890</v>
          </cell>
        </row>
        <row r="10754">
          <cell r="A10754" t="str">
            <v>ST0881-M</v>
          </cell>
          <cell r="B10754" t="str">
            <v>T881</v>
          </cell>
          <cell r="C10754" t="str">
            <v>ซาติน แขนสั้นขายาว ดอกไม้ใต้ทะเล ปกชมพู M (กปก)</v>
          </cell>
          <cell r="E10754">
            <v>0</v>
          </cell>
          <cell r="F10754">
            <v>890</v>
          </cell>
        </row>
        <row r="10755">
          <cell r="A10755" t="str">
            <v>ST0881-XL</v>
          </cell>
          <cell r="B10755" t="str">
            <v>T881</v>
          </cell>
          <cell r="C10755" t="str">
            <v>ซาติน แขนสั้นขายาว ดอกไม้ใต้ทะเล ปกชมพู XL (กปก)</v>
          </cell>
          <cell r="E10755">
            <v>0</v>
          </cell>
          <cell r="F10755">
            <v>890</v>
          </cell>
        </row>
        <row r="10756">
          <cell r="A10756" t="str">
            <v>ST0882-2XL</v>
          </cell>
          <cell r="B10756" t="str">
            <v>T882</v>
          </cell>
          <cell r="C10756" t="str">
            <v>ซาติน แขนสั้นขายาว กุหลาบและผีเสื้อ พื้นครีม 2XL (กปก)</v>
          </cell>
          <cell r="E10756">
            <v>0</v>
          </cell>
          <cell r="F10756">
            <v>890</v>
          </cell>
        </row>
        <row r="10757">
          <cell r="A10757" t="str">
            <v>ST0882-3XL</v>
          </cell>
          <cell r="B10757" t="str">
            <v>T882</v>
          </cell>
          <cell r="C10757" t="str">
            <v>ซาติน แขนสั้นขายาว กุหลาบและผีเสื้อ พื้นครีม 3XL (กปก)</v>
          </cell>
          <cell r="E10757">
            <v>0</v>
          </cell>
          <cell r="F10757">
            <v>890</v>
          </cell>
        </row>
        <row r="10758">
          <cell r="A10758" t="str">
            <v>ST0882-L</v>
          </cell>
          <cell r="B10758" t="str">
            <v>T882</v>
          </cell>
          <cell r="C10758" t="str">
            <v>ซาติน แขนสั้นขายาว กุหลาบและผีเสื้อ พื้นครีม L (กปก)</v>
          </cell>
          <cell r="E10758">
            <v>0</v>
          </cell>
          <cell r="F10758">
            <v>890</v>
          </cell>
        </row>
        <row r="10759">
          <cell r="A10759" t="str">
            <v>ST0882-M</v>
          </cell>
          <cell r="B10759" t="str">
            <v>T882</v>
          </cell>
          <cell r="C10759" t="str">
            <v>ซาติน แขนสั้นขายาว กุหลาบและผีเสื้อ พื้นครีม M (กปก)</v>
          </cell>
          <cell r="E10759">
            <v>0</v>
          </cell>
          <cell r="F10759">
            <v>890</v>
          </cell>
        </row>
        <row r="10760">
          <cell r="A10760" t="str">
            <v>ST0882-XL</v>
          </cell>
          <cell r="B10760" t="str">
            <v>T882</v>
          </cell>
          <cell r="C10760" t="str">
            <v>ซาติน แขนสั้นขายาว กุหลาบและผีเสื้อ พื้นครีม XL (กปก)</v>
          </cell>
          <cell r="E10760">
            <v>0</v>
          </cell>
          <cell r="F10760">
            <v>890</v>
          </cell>
        </row>
        <row r="10761">
          <cell r="A10761" t="str">
            <v>ST0883-2XL</v>
          </cell>
          <cell r="B10761" t="str">
            <v>T883</v>
          </cell>
          <cell r="C10761" t="str">
            <v>ซาติน แขนสั้นขายาว Pinky Flowers 2XL (กปก)</v>
          </cell>
          <cell r="E10761">
            <v>0</v>
          </cell>
          <cell r="F10761">
            <v>890</v>
          </cell>
        </row>
        <row r="10762">
          <cell r="A10762" t="str">
            <v>ST0883-3XL</v>
          </cell>
          <cell r="B10762" t="str">
            <v>T883</v>
          </cell>
          <cell r="C10762" t="str">
            <v>ซาติน แขนสั้นขายาว Pinky Flowers 3XL (กปก)</v>
          </cell>
          <cell r="E10762">
            <v>0</v>
          </cell>
          <cell r="F10762">
            <v>890</v>
          </cell>
        </row>
        <row r="10763">
          <cell r="A10763" t="str">
            <v>ST0883-L</v>
          </cell>
          <cell r="B10763" t="str">
            <v>T883</v>
          </cell>
          <cell r="C10763" t="str">
            <v>ซาติน แขนสั้นขายาว Pinky Flowers L (กปก)</v>
          </cell>
          <cell r="E10763">
            <v>0</v>
          </cell>
          <cell r="F10763">
            <v>890</v>
          </cell>
        </row>
        <row r="10764">
          <cell r="A10764" t="str">
            <v>ST0883-M</v>
          </cell>
          <cell r="B10764" t="str">
            <v>T883</v>
          </cell>
          <cell r="C10764" t="str">
            <v>ซาติน แขนสั้นขายาว Pinky Flowers M (กปก)</v>
          </cell>
          <cell r="E10764">
            <v>0</v>
          </cell>
          <cell r="F10764">
            <v>590</v>
          </cell>
        </row>
        <row r="10765">
          <cell r="A10765" t="str">
            <v>ST0883-XL</v>
          </cell>
          <cell r="B10765" t="str">
            <v>BT883</v>
          </cell>
          <cell r="C10765" t="str">
            <v>ซาติน แขนสั้นขายาว Pinky Flowers XL (กปก)</v>
          </cell>
          <cell r="E10765">
            <v>0</v>
          </cell>
          <cell r="F10765">
            <v>890</v>
          </cell>
        </row>
        <row r="10766">
          <cell r="A10766" t="str">
            <v>ST0884-2XL</v>
          </cell>
          <cell r="B10766" t="str">
            <v>T884</v>
          </cell>
          <cell r="C10766" t="str">
            <v>ซาติน แขนสั้นขายาว สวนดอกไม้ พื้นเขียว 2XL (กปก)</v>
          </cell>
          <cell r="E10766">
            <v>0</v>
          </cell>
          <cell r="F10766">
            <v>890</v>
          </cell>
        </row>
        <row r="10767">
          <cell r="A10767" t="str">
            <v>ST0884-3XL</v>
          </cell>
          <cell r="B10767" t="str">
            <v>T884</v>
          </cell>
          <cell r="C10767" t="str">
            <v>ซาติน แขนสั้นขายาว สวนดอกไม้ พื้นเขียว 3XL (กปก)</v>
          </cell>
          <cell r="E10767">
            <v>0</v>
          </cell>
          <cell r="F10767">
            <v>890</v>
          </cell>
        </row>
        <row r="10768">
          <cell r="A10768" t="str">
            <v>ST0884-L</v>
          </cell>
          <cell r="B10768" t="str">
            <v>T884</v>
          </cell>
          <cell r="C10768" t="str">
            <v>ซาติน แขนสั้นขายาว สวนดอกไม้ พื้นเขียว L (กปก)</v>
          </cell>
          <cell r="E10768">
            <v>0</v>
          </cell>
          <cell r="F10768">
            <v>890</v>
          </cell>
        </row>
        <row r="10769">
          <cell r="A10769" t="str">
            <v>ST0884-M</v>
          </cell>
          <cell r="B10769" t="str">
            <v>T884</v>
          </cell>
          <cell r="C10769" t="str">
            <v>ซาติน แขนสั้นขายาว สวนดอกไม้ พื้นเขียว M (กปก)</v>
          </cell>
          <cell r="E10769">
            <v>0</v>
          </cell>
          <cell r="F10769">
            <v>890</v>
          </cell>
        </row>
        <row r="10770">
          <cell r="A10770" t="str">
            <v>ST0884-XL</v>
          </cell>
          <cell r="B10770" t="str">
            <v>T884</v>
          </cell>
          <cell r="C10770" t="str">
            <v>ซาติน แขนสั้นขายาว สวนดอกไม้ พื้นเขียว XL (กปก)</v>
          </cell>
          <cell r="E10770">
            <v>0</v>
          </cell>
          <cell r="F10770">
            <v>890</v>
          </cell>
        </row>
        <row r="10771">
          <cell r="A10771" t="str">
            <v>ST0885-2XL</v>
          </cell>
          <cell r="B10771" t="str">
            <v>T885</v>
          </cell>
          <cell r="C10771" t="str">
            <v>ซาติน แขนสั้นขายาว สุนัขรวม พื้นชมพู 2XL</v>
          </cell>
          <cell r="E10771">
            <v>0</v>
          </cell>
          <cell r="F10771">
            <v>890</v>
          </cell>
        </row>
        <row r="10772">
          <cell r="A10772" t="str">
            <v>ST0885-3XL</v>
          </cell>
          <cell r="B10772" t="str">
            <v>T885</v>
          </cell>
          <cell r="C10772" t="str">
            <v>ซาติน แขนสั้นขายาว สุนัขรวม พื้นชมพู 3XL</v>
          </cell>
          <cell r="E10772">
            <v>0</v>
          </cell>
          <cell r="F10772">
            <v>890</v>
          </cell>
        </row>
        <row r="10773">
          <cell r="A10773" t="str">
            <v>ST0885-L</v>
          </cell>
          <cell r="B10773" t="str">
            <v>T885</v>
          </cell>
          <cell r="C10773" t="str">
            <v>ซาติน แขนสั้นขายาว สุนัขรวม พื้นชมพู L</v>
          </cell>
          <cell r="E10773">
            <v>0</v>
          </cell>
          <cell r="F10773">
            <v>890</v>
          </cell>
        </row>
        <row r="10774">
          <cell r="A10774" t="str">
            <v>ST0885-M</v>
          </cell>
          <cell r="B10774" t="str">
            <v>QT885</v>
          </cell>
          <cell r="C10774" t="str">
            <v>ซาติน แขนสั้นขายาว สุนัขรวม พื้นชมพู M QC</v>
          </cell>
          <cell r="E10774">
            <v>0</v>
          </cell>
          <cell r="F10774">
            <v>890</v>
          </cell>
        </row>
        <row r="10775">
          <cell r="A10775" t="str">
            <v>ST0885-XL</v>
          </cell>
          <cell r="B10775" t="str">
            <v>T885</v>
          </cell>
          <cell r="C10775" t="str">
            <v>ซาติน แขนสั้นขายาว สุนัขรวม พื้นชมพู XL</v>
          </cell>
          <cell r="E10775">
            <v>0</v>
          </cell>
          <cell r="F10775">
            <v>890</v>
          </cell>
        </row>
        <row r="10776">
          <cell r="A10776" t="str">
            <v>ST0886-2XL</v>
          </cell>
          <cell r="B10776" t="str">
            <v>T886</v>
          </cell>
          <cell r="C10776" t="str">
            <v>ซาติน แขนสั้นขายาว แพนกวินรวม พื้นเขียว 2XL</v>
          </cell>
          <cell r="E10776">
            <v>0</v>
          </cell>
          <cell r="F10776">
            <v>890</v>
          </cell>
        </row>
        <row r="10777">
          <cell r="A10777" t="str">
            <v>ST0886-L</v>
          </cell>
          <cell r="B10777" t="str">
            <v>T886</v>
          </cell>
          <cell r="C10777" t="str">
            <v>ซาติน แขนสั้นขายาว แพนกวินรวม พื้นเขียว L</v>
          </cell>
          <cell r="E10777">
            <v>0</v>
          </cell>
          <cell r="F10777">
            <v>890</v>
          </cell>
        </row>
        <row r="10778">
          <cell r="A10778" t="str">
            <v>ST0886-M</v>
          </cell>
          <cell r="B10778" t="str">
            <v>T886</v>
          </cell>
          <cell r="C10778" t="str">
            <v>ซาติน แขนสั้นขายาว แพนกวินรวม พื้นเขียว M</v>
          </cell>
          <cell r="E10778">
            <v>0</v>
          </cell>
          <cell r="F10778">
            <v>890</v>
          </cell>
        </row>
        <row r="10779">
          <cell r="A10779" t="str">
            <v>ST0886-XL</v>
          </cell>
          <cell r="B10779" t="str">
            <v>T886</v>
          </cell>
          <cell r="C10779" t="str">
            <v>ซาติน แขนสั้นขายาว แพนกวินรวม พื้นเขียว XL</v>
          </cell>
          <cell r="E10779">
            <v>0</v>
          </cell>
          <cell r="F10779">
            <v>890</v>
          </cell>
        </row>
        <row r="10780">
          <cell r="A10780" t="str">
            <v>ST0887-2XL</v>
          </cell>
          <cell r="B10780" t="str">
            <v>T887</v>
          </cell>
          <cell r="C10780" t="str">
            <v>ซาติน แขนสั้นขายาว แมวรวม พื้นเขียวขี้ม้า 2XL</v>
          </cell>
          <cell r="E10780">
            <v>0</v>
          </cell>
          <cell r="F10780">
            <v>890</v>
          </cell>
        </row>
        <row r="10781">
          <cell r="A10781" t="str">
            <v>ST0887-3XL</v>
          </cell>
          <cell r="B10781" t="str">
            <v>T887</v>
          </cell>
          <cell r="C10781" t="str">
            <v>ซาติน แขนสั้นขายาว แมวรวม พื้นเขียวขี้ม้า 3XL</v>
          </cell>
          <cell r="E10781">
            <v>0</v>
          </cell>
          <cell r="F10781">
            <v>890</v>
          </cell>
        </row>
        <row r="10782">
          <cell r="A10782" t="str">
            <v>ST0887-L</v>
          </cell>
          <cell r="B10782" t="str">
            <v>T887</v>
          </cell>
          <cell r="C10782" t="str">
            <v>ซาติน แขนสั้นขายาว แมวรวม พื้นเขียวขี้ม้า L</v>
          </cell>
          <cell r="E10782">
            <v>0</v>
          </cell>
          <cell r="F10782">
            <v>890</v>
          </cell>
        </row>
        <row r="10783">
          <cell r="A10783" t="str">
            <v>ST0887-M</v>
          </cell>
          <cell r="B10783" t="str">
            <v>T887</v>
          </cell>
          <cell r="C10783" t="str">
            <v>ซาติน แขนสั้นขายาว แมวรวม พื้นเขียวขี้ม้า M</v>
          </cell>
          <cell r="E10783">
            <v>0</v>
          </cell>
          <cell r="F10783">
            <v>890</v>
          </cell>
        </row>
        <row r="10784">
          <cell r="A10784" t="str">
            <v>ST0887-XL</v>
          </cell>
          <cell r="B10784" t="str">
            <v>T887</v>
          </cell>
          <cell r="C10784" t="str">
            <v>ซาติน แขนสั้นขายาว แมวรวม พื้นเขียวขี้ม้า XL</v>
          </cell>
          <cell r="E10784">
            <v>0</v>
          </cell>
          <cell r="F10784">
            <v>890</v>
          </cell>
        </row>
        <row r="10785">
          <cell r="A10785" t="str">
            <v>ST0888-2XL</v>
          </cell>
          <cell r="B10785" t="str">
            <v>T888</v>
          </cell>
          <cell r="C10785" t="str">
            <v>ซาติน แขนสั้นขายาว ผักรวม พื้นชมพู 2XL</v>
          </cell>
          <cell r="E10785">
            <v>0</v>
          </cell>
          <cell r="F10785">
            <v>890</v>
          </cell>
        </row>
        <row r="10786">
          <cell r="A10786" t="str">
            <v>ST0888-L</v>
          </cell>
          <cell r="B10786" t="str">
            <v>T888</v>
          </cell>
          <cell r="C10786" t="str">
            <v>ซาติน แขนสั้นขายาว ผักรวม พื้นชมพู L</v>
          </cell>
          <cell r="E10786">
            <v>0</v>
          </cell>
          <cell r="F10786">
            <v>890</v>
          </cell>
        </row>
        <row r="10787">
          <cell r="A10787" t="str">
            <v>ST0888-M</v>
          </cell>
          <cell r="B10787" t="str">
            <v>T888</v>
          </cell>
          <cell r="C10787" t="str">
            <v>ซาติน แขนสั้นขายาว ผักรวม พื้นชมพู M</v>
          </cell>
          <cell r="E10787">
            <v>0</v>
          </cell>
          <cell r="F10787">
            <v>890</v>
          </cell>
        </row>
        <row r="10788">
          <cell r="A10788" t="str">
            <v>ST0888-XL</v>
          </cell>
          <cell r="B10788" t="str">
            <v>T888</v>
          </cell>
          <cell r="C10788" t="str">
            <v>ซาติน แขนสั้นขายาว ผักรวม พื้นชมพู XL</v>
          </cell>
          <cell r="E10788">
            <v>0</v>
          </cell>
          <cell r="F10788">
            <v>890</v>
          </cell>
        </row>
        <row r="10789">
          <cell r="A10789" t="str">
            <v>ST0889-2XL</v>
          </cell>
          <cell r="B10789" t="str">
            <v>T889</v>
          </cell>
          <cell r="C10789" t="str">
            <v>ซาติน แขนสั้นขายาว แมวรวม พื้นฟ้า 2XL</v>
          </cell>
          <cell r="E10789">
            <v>0</v>
          </cell>
          <cell r="F10789">
            <v>890</v>
          </cell>
        </row>
        <row r="10790">
          <cell r="A10790" t="str">
            <v>ST0889-L</v>
          </cell>
          <cell r="B10790" t="str">
            <v>T889</v>
          </cell>
          <cell r="C10790" t="str">
            <v>ซาติน แขนสั้นขายาว แมวรวม พื้นฟ้า L</v>
          </cell>
          <cell r="E10790">
            <v>0</v>
          </cell>
          <cell r="F10790">
            <v>890</v>
          </cell>
        </row>
        <row r="10791">
          <cell r="A10791" t="str">
            <v>ST0889-M</v>
          </cell>
          <cell r="B10791" t="str">
            <v>T889</v>
          </cell>
          <cell r="C10791" t="str">
            <v>ซาติน แขนสั้นขายาว แมวรวม พื้นฟ้า M</v>
          </cell>
          <cell r="E10791">
            <v>0</v>
          </cell>
          <cell r="F10791">
            <v>890</v>
          </cell>
        </row>
        <row r="10792">
          <cell r="A10792" t="str">
            <v>ST0889-XL</v>
          </cell>
          <cell r="B10792" t="str">
            <v>BT889</v>
          </cell>
          <cell r="C10792" t="str">
            <v>ซาติน แขนสั้นขายาว แมวรวม พื้นฟ้า XL</v>
          </cell>
          <cell r="E10792">
            <v>0</v>
          </cell>
          <cell r="F10792">
            <v>890</v>
          </cell>
        </row>
        <row r="10793">
          <cell r="A10793" t="str">
            <v>ST0891-2XL</v>
          </cell>
          <cell r="B10793" t="str">
            <v>T891</v>
          </cell>
          <cell r="C10793" t="str">
            <v>ซาติน แขนสั้นขายาว Sweety Rainbow 2XL (กปก)</v>
          </cell>
          <cell r="E10793">
            <v>0</v>
          </cell>
          <cell r="F10793">
            <v>890</v>
          </cell>
        </row>
        <row r="10794">
          <cell r="A10794" t="str">
            <v>ST0891-L</v>
          </cell>
          <cell r="B10794" t="str">
            <v>T891</v>
          </cell>
          <cell r="C10794" t="str">
            <v>ซาติน แขนสั้นขายาว Sweety Rainbow L (กปก)</v>
          </cell>
          <cell r="E10794">
            <v>0</v>
          </cell>
          <cell r="F10794">
            <v>890</v>
          </cell>
        </row>
        <row r="10795">
          <cell r="A10795" t="str">
            <v>ST0891-M</v>
          </cell>
          <cell r="B10795" t="str">
            <v>T891</v>
          </cell>
          <cell r="C10795" t="str">
            <v>ซาติน แขนสั้นขายาว Sweety Rainbow M (กปก)</v>
          </cell>
          <cell r="E10795">
            <v>0</v>
          </cell>
          <cell r="F10795">
            <v>890</v>
          </cell>
        </row>
        <row r="10796">
          <cell r="A10796" t="str">
            <v>ST0891-XL</v>
          </cell>
          <cell r="B10796" t="str">
            <v>T891</v>
          </cell>
          <cell r="C10796" t="str">
            <v>ซาติน แขนสั้นขายาว Sweety Rainbow XL (กปก)</v>
          </cell>
          <cell r="E10796">
            <v>0</v>
          </cell>
          <cell r="F10796">
            <v>890</v>
          </cell>
        </row>
        <row r="10797">
          <cell r="A10797" t="str">
            <v>ST0892-2XL</v>
          </cell>
          <cell r="B10797" t="str">
            <v>QT892</v>
          </cell>
          <cell r="C10797" t="str">
            <v>ซาติน แขนสั้นขายาว เสือ น้ำตาล 2XL  (กปก) QC</v>
          </cell>
          <cell r="E10797">
            <v>0</v>
          </cell>
          <cell r="F10797">
            <v>890</v>
          </cell>
        </row>
        <row r="10798">
          <cell r="A10798" t="str">
            <v>ST0892-3XL</v>
          </cell>
          <cell r="B10798" t="str">
            <v>QT892</v>
          </cell>
          <cell r="C10798" t="str">
            <v>ซาติน แขนสั้นขายาว เสือ น้ำตาล 3XL  (กปก) QC</v>
          </cell>
          <cell r="E10798">
            <v>0</v>
          </cell>
          <cell r="F10798">
            <v>890</v>
          </cell>
        </row>
        <row r="10799">
          <cell r="A10799" t="str">
            <v>ST0892-L</v>
          </cell>
          <cell r="B10799" t="str">
            <v>QT892</v>
          </cell>
          <cell r="C10799" t="str">
            <v>ซาติน แขนสั้นขายาว เสือ น้ำตาล L (กปก) QC</v>
          </cell>
          <cell r="E10799">
            <v>0</v>
          </cell>
          <cell r="F10799">
            <v>890</v>
          </cell>
        </row>
        <row r="10800">
          <cell r="A10800" t="str">
            <v>ST0892-M</v>
          </cell>
          <cell r="B10800" t="str">
            <v>T892</v>
          </cell>
          <cell r="C10800" t="str">
            <v>ซาติน แขนสั้นขายาว เสือ น้ำตาล M (กปก)</v>
          </cell>
          <cell r="E10800">
            <v>0</v>
          </cell>
          <cell r="F10800">
            <v>890</v>
          </cell>
        </row>
        <row r="10801">
          <cell r="A10801" t="str">
            <v>ST0892-XL</v>
          </cell>
          <cell r="B10801" t="str">
            <v>QT892</v>
          </cell>
          <cell r="C10801" t="str">
            <v>ซาติน แขนสั้นขายาว เสือ น้ำตาล XL (กปก) QC</v>
          </cell>
          <cell r="E10801">
            <v>0</v>
          </cell>
          <cell r="F10801">
            <v>890</v>
          </cell>
        </row>
        <row r="10802">
          <cell r="A10802" t="str">
            <v>ST0906-2XL</v>
          </cell>
          <cell r="B10802" t="str">
            <v>T906</v>
          </cell>
          <cell r="C10802" t="str">
            <v>ซาติน แขนสั้นขายาว ใบไม้ขาว พื้นดำ 2XL (กปก)</v>
          </cell>
          <cell r="E10802">
            <v>0</v>
          </cell>
          <cell r="F10802">
            <v>890</v>
          </cell>
        </row>
        <row r="10803">
          <cell r="A10803" t="str">
            <v>ST0906-3XL</v>
          </cell>
          <cell r="B10803" t="str">
            <v>T906</v>
          </cell>
          <cell r="C10803" t="str">
            <v>ซาติน แขนสั้นขายาว ใบไม้ขาว พื้นดำ 3XL (กปก)</v>
          </cell>
          <cell r="E10803">
            <v>0</v>
          </cell>
          <cell r="F10803">
            <v>890</v>
          </cell>
        </row>
        <row r="10804">
          <cell r="A10804" t="str">
            <v>ST0906-L</v>
          </cell>
          <cell r="B10804" t="str">
            <v>T906</v>
          </cell>
          <cell r="C10804" t="str">
            <v>ซาติน แขนสั้นขายาว ใบไม้ขาว พื้นดำ L (กปก)</v>
          </cell>
          <cell r="E10804">
            <v>0</v>
          </cell>
          <cell r="F10804">
            <v>890</v>
          </cell>
        </row>
        <row r="10805">
          <cell r="A10805" t="str">
            <v>ST0906-M</v>
          </cell>
          <cell r="B10805" t="str">
            <v>QT906</v>
          </cell>
          <cell r="C10805" t="str">
            <v>ซาติน แขนสั้นขายาว ใบไม้ขาว พื้นดำ M (กปก) QC</v>
          </cell>
          <cell r="E10805">
            <v>0</v>
          </cell>
          <cell r="F10805">
            <v>890</v>
          </cell>
        </row>
        <row r="10806">
          <cell r="A10806" t="str">
            <v>ST0906-XL</v>
          </cell>
          <cell r="B10806" t="str">
            <v>T906</v>
          </cell>
          <cell r="C10806" t="str">
            <v>ซาติน แขนสั้นขายาว ใบไม้ขาว พื้นดำ XL (กปก)</v>
          </cell>
          <cell r="E10806">
            <v>0</v>
          </cell>
          <cell r="F10806">
            <v>590</v>
          </cell>
        </row>
        <row r="10807">
          <cell r="A10807" t="str">
            <v>ST0908-2XL</v>
          </cell>
          <cell r="B10807" t="str">
            <v>T908</v>
          </cell>
          <cell r="C10807" t="str">
            <v>ซาติน แขนสั้นขายาว ลายจิงโจ้ขาว พื้นม่วง 2XL (กปก)</v>
          </cell>
          <cell r="E10807">
            <v>0</v>
          </cell>
          <cell r="F10807">
            <v>890</v>
          </cell>
        </row>
        <row r="10808">
          <cell r="A10808" t="str">
            <v>ST0908-3XL</v>
          </cell>
          <cell r="B10808" t="str">
            <v>T908</v>
          </cell>
          <cell r="C10808" t="str">
            <v>ซาติน แขนสั้นขายาว ลายจิงโจ้ขาว พื้นม่วง 3XL (กปก)</v>
          </cell>
          <cell r="E10808">
            <v>0</v>
          </cell>
          <cell r="F10808">
            <v>890</v>
          </cell>
        </row>
        <row r="10809">
          <cell r="A10809" t="str">
            <v>ST0908-L</v>
          </cell>
          <cell r="B10809" t="str">
            <v>T908</v>
          </cell>
          <cell r="C10809" t="str">
            <v>ซาติน แขนสั้นขายาว ลายจิงโจ้ขาว พื้นม่วง L (กปก)</v>
          </cell>
          <cell r="E10809">
            <v>0</v>
          </cell>
          <cell r="F10809">
            <v>890</v>
          </cell>
        </row>
        <row r="10810">
          <cell r="A10810" t="str">
            <v>ST0908-M</v>
          </cell>
          <cell r="B10810" t="str">
            <v>T908</v>
          </cell>
          <cell r="C10810" t="str">
            <v>ซาติน แขนสั้นขายาว ลายจิงโจ้ขาว พื้นม่วง M (กปก)</v>
          </cell>
          <cell r="E10810">
            <v>0</v>
          </cell>
          <cell r="F10810">
            <v>890</v>
          </cell>
        </row>
        <row r="10811">
          <cell r="A10811" t="str">
            <v>ST0908-XL</v>
          </cell>
          <cell r="B10811" t="str">
            <v>T908</v>
          </cell>
          <cell r="C10811" t="str">
            <v>ซาติน แขนสั้นขายาว ลายจิงโจ้ขาว พื้นม่วง XL (กปก)</v>
          </cell>
          <cell r="E10811">
            <v>0</v>
          </cell>
          <cell r="F10811">
            <v>890</v>
          </cell>
        </row>
        <row r="10812">
          <cell r="A10812" t="str">
            <v>ST0918-L</v>
          </cell>
          <cell r="B10812" t="str">
            <v>T918</v>
          </cell>
          <cell r="C10812" t="str">
            <v>ซาติน แขนสั้นขายาว ลายทาง ชมพู เหลือง L</v>
          </cell>
          <cell r="E10812">
            <v>0</v>
          </cell>
          <cell r="F10812">
            <v>990</v>
          </cell>
        </row>
        <row r="10813">
          <cell r="A10813" t="str">
            <v>ST0918-M</v>
          </cell>
          <cell r="B10813" t="str">
            <v>T918</v>
          </cell>
          <cell r="C10813" t="str">
            <v>ซาติน แขนสั้นขายาว ลายทาง ชมพู เหลือง M</v>
          </cell>
          <cell r="E10813">
            <v>0</v>
          </cell>
          <cell r="F10813">
            <v>990</v>
          </cell>
        </row>
        <row r="10814">
          <cell r="A10814" t="str">
            <v>ST0919-L</v>
          </cell>
          <cell r="B10814" t="str">
            <v>T919</v>
          </cell>
          <cell r="C10814" t="str">
            <v>ซาติน แขนสั้นขายาว ลายทาง ชมพู ขาว L</v>
          </cell>
          <cell r="E10814">
            <v>0</v>
          </cell>
          <cell r="F10814">
            <v>990</v>
          </cell>
        </row>
        <row r="10815">
          <cell r="A10815" t="str">
            <v>ST0919-M</v>
          </cell>
          <cell r="B10815" t="str">
            <v>T919</v>
          </cell>
          <cell r="C10815" t="str">
            <v>ซาติน แขนสั้นขายาว ลายทาง ชมพู ขาว M</v>
          </cell>
          <cell r="E10815">
            <v>0</v>
          </cell>
          <cell r="F10815">
            <v>990</v>
          </cell>
        </row>
        <row r="10816">
          <cell r="A10816" t="str">
            <v>ST0920-2XL</v>
          </cell>
          <cell r="B10816" t="str">
            <v>T920</v>
          </cell>
          <cell r="C10816" t="str">
            <v>ซาติน แขนสั้นขายาว Butterfly พื้นเขียว 2XL (กปก)</v>
          </cell>
          <cell r="E10816">
            <v>0</v>
          </cell>
          <cell r="F10816">
            <v>890</v>
          </cell>
        </row>
        <row r="10817">
          <cell r="A10817" t="str">
            <v>ST0920-L</v>
          </cell>
          <cell r="B10817" t="str">
            <v>T920</v>
          </cell>
          <cell r="C10817" t="str">
            <v>ซาติน แขนสั้นขายาว Butterfly พื้นเขียว L (กปก)</v>
          </cell>
          <cell r="E10817">
            <v>0</v>
          </cell>
          <cell r="F10817">
            <v>890</v>
          </cell>
        </row>
        <row r="10818">
          <cell r="A10818" t="str">
            <v>ST0920-M</v>
          </cell>
          <cell r="B10818" t="str">
            <v>T920</v>
          </cell>
          <cell r="C10818" t="str">
            <v>ซาติน แขนสั้นขายาว Butterfly พื้นเขียว M (กปก)</v>
          </cell>
          <cell r="E10818">
            <v>0</v>
          </cell>
          <cell r="F10818">
            <v>890</v>
          </cell>
        </row>
        <row r="10819">
          <cell r="A10819" t="str">
            <v>ST0920-XL</v>
          </cell>
          <cell r="B10819" t="str">
            <v>T920</v>
          </cell>
          <cell r="C10819" t="str">
            <v>ซาติน แขนสั้นขายาว Butterfly พื้นเขียว XL (กปก)</v>
          </cell>
          <cell r="E10819">
            <v>0</v>
          </cell>
          <cell r="F10819">
            <v>890</v>
          </cell>
        </row>
        <row r="10820">
          <cell r="A10820" t="str">
            <v>ST0921-2XL</v>
          </cell>
          <cell r="B10820" t="str">
            <v>T921</v>
          </cell>
          <cell r="C10820" t="str">
            <v>ซาติน แขนสั้นขายาว Butterfly พื้นครีม 2XL (กปก)</v>
          </cell>
          <cell r="E10820">
            <v>0</v>
          </cell>
          <cell r="F10820">
            <v>890</v>
          </cell>
        </row>
        <row r="10821">
          <cell r="A10821" t="str">
            <v>ST0921-L</v>
          </cell>
          <cell r="B10821" t="str">
            <v>T921</v>
          </cell>
          <cell r="C10821" t="str">
            <v>ซาติน แขนสั้นขายาว Butterfly พื้นครีม L (กปก)</v>
          </cell>
          <cell r="E10821">
            <v>0</v>
          </cell>
          <cell r="F10821">
            <v>890</v>
          </cell>
        </row>
        <row r="10822">
          <cell r="A10822" t="str">
            <v>ST0921-M</v>
          </cell>
          <cell r="B10822" t="str">
            <v>T921</v>
          </cell>
          <cell r="C10822" t="str">
            <v>ซาติน แขนสั้นขายาว Butterfly พื้นครีม M (กปก)</v>
          </cell>
          <cell r="E10822">
            <v>0</v>
          </cell>
          <cell r="F10822">
            <v>890</v>
          </cell>
        </row>
        <row r="10823">
          <cell r="A10823" t="str">
            <v>ST0921-XL</v>
          </cell>
          <cell r="B10823" t="str">
            <v>T921</v>
          </cell>
          <cell r="C10823" t="str">
            <v>ซาติน แขนสั้นขายาว Butterfly พื้นครีม XL (กปก)</v>
          </cell>
          <cell r="E10823">
            <v>0</v>
          </cell>
          <cell r="F10823">
            <v>890</v>
          </cell>
        </row>
        <row r="10824">
          <cell r="A10824" t="str">
            <v>ST0922-2XL</v>
          </cell>
          <cell r="B10824" t="str">
            <v>T922</v>
          </cell>
          <cell r="C10824" t="str">
            <v>ซาติน แขนสั้นขายาว Bird Orchid พื้นขาว 2XL  (กปก)</v>
          </cell>
          <cell r="E10824">
            <v>0</v>
          </cell>
          <cell r="F10824">
            <v>890</v>
          </cell>
        </row>
        <row r="10825">
          <cell r="A10825" t="str">
            <v>ST0922-L</v>
          </cell>
          <cell r="B10825" t="str">
            <v>T922</v>
          </cell>
          <cell r="C10825" t="str">
            <v>ซาติน แขนสั้นขายาว Bird Orchid พื้นขาว L (กปก)</v>
          </cell>
          <cell r="E10825">
            <v>0</v>
          </cell>
          <cell r="F10825">
            <v>890</v>
          </cell>
        </row>
        <row r="10826">
          <cell r="A10826" t="str">
            <v>ST0922-M</v>
          </cell>
          <cell r="B10826" t="str">
            <v>T922</v>
          </cell>
          <cell r="C10826" t="str">
            <v>ซาติน แขนสั้นขายาว Bird Orchid พื้นขาว M (กปก)</v>
          </cell>
          <cell r="E10826">
            <v>0</v>
          </cell>
          <cell r="F10826">
            <v>890</v>
          </cell>
        </row>
        <row r="10827">
          <cell r="A10827" t="str">
            <v>ST0922-XL</v>
          </cell>
          <cell r="B10827" t="str">
            <v>T922</v>
          </cell>
          <cell r="C10827" t="str">
            <v>ซาติน แขนสั้นขายาว Bird Orchid พื้นขาว XL (กปก)</v>
          </cell>
          <cell r="E10827">
            <v>0</v>
          </cell>
          <cell r="F10827">
            <v>890</v>
          </cell>
        </row>
        <row r="10828">
          <cell r="A10828" t="str">
            <v>ST0923-2XL</v>
          </cell>
          <cell r="B10828" t="str">
            <v>T923</v>
          </cell>
          <cell r="C10828" t="str">
            <v>ซาติน แขนสั้นขายาว Jungle Cruise ดำ 2XL  (กปก)</v>
          </cell>
          <cell r="E10828">
            <v>0</v>
          </cell>
          <cell r="F10828">
            <v>890</v>
          </cell>
        </row>
        <row r="10829">
          <cell r="A10829" t="str">
            <v>ST0923-3XL</v>
          </cell>
          <cell r="B10829" t="str">
            <v>T923</v>
          </cell>
          <cell r="C10829" t="str">
            <v>ซาติน แขนสั้นขายาว Jungle Cruise ดำ 3XL  (กปก)</v>
          </cell>
          <cell r="E10829">
            <v>0</v>
          </cell>
          <cell r="F10829">
            <v>890</v>
          </cell>
        </row>
        <row r="10830">
          <cell r="A10830" t="str">
            <v>ST0923-L</v>
          </cell>
          <cell r="B10830" t="str">
            <v>QT923</v>
          </cell>
          <cell r="C10830" t="str">
            <v>ซาติน แขนสั้นขายาว Jungle Cruise ดำ L (กปก) QC</v>
          </cell>
          <cell r="E10830">
            <v>0</v>
          </cell>
          <cell r="F10830">
            <v>890</v>
          </cell>
        </row>
        <row r="10831">
          <cell r="A10831" t="str">
            <v>ST0923-M</v>
          </cell>
          <cell r="B10831" t="str">
            <v>T923</v>
          </cell>
          <cell r="C10831" t="str">
            <v>ซาติน แขนสั้นขายาว Jungle Cruise ดำ M (กปก)</v>
          </cell>
          <cell r="E10831">
            <v>0</v>
          </cell>
          <cell r="F10831">
            <v>890</v>
          </cell>
        </row>
        <row r="10832">
          <cell r="A10832" t="str">
            <v>ST0923-XL</v>
          </cell>
          <cell r="B10832" t="str">
            <v>T923</v>
          </cell>
          <cell r="C10832" t="str">
            <v>ซาติน แขนสั้นขายาว Jungle Cruise ดำ XL (กปก)</v>
          </cell>
          <cell r="E10832">
            <v>0</v>
          </cell>
          <cell r="F10832">
            <v>890</v>
          </cell>
        </row>
        <row r="10833">
          <cell r="A10833" t="str">
            <v>ST0924-2XL</v>
          </cell>
          <cell r="B10833" t="str">
            <v>T924</v>
          </cell>
          <cell r="C10833" t="str">
            <v>ซาติน แขนสั้นขายาว Jungle Cruise ครีม 2XL  (กปก)</v>
          </cell>
          <cell r="E10833">
            <v>0</v>
          </cell>
          <cell r="F10833">
            <v>890</v>
          </cell>
        </row>
        <row r="10834">
          <cell r="A10834" t="str">
            <v>ST0924-3XL</v>
          </cell>
          <cell r="B10834" t="str">
            <v>QT924</v>
          </cell>
          <cell r="C10834" t="str">
            <v>ซาติน แขนสั้นขายาว Jungle Cruise ครีม 3XL  (กปก) QC</v>
          </cell>
          <cell r="E10834">
            <v>0</v>
          </cell>
          <cell r="F10834">
            <v>890</v>
          </cell>
        </row>
        <row r="10835">
          <cell r="A10835" t="str">
            <v>ST0924-L</v>
          </cell>
          <cell r="B10835" t="str">
            <v>T924</v>
          </cell>
          <cell r="C10835" t="str">
            <v>ซาติน แขนสั้นขายาว Jungle Cruise ครีม L (กปก)</v>
          </cell>
          <cell r="E10835">
            <v>0</v>
          </cell>
          <cell r="F10835">
            <v>890</v>
          </cell>
        </row>
        <row r="10836">
          <cell r="A10836" t="str">
            <v>ST0924-M</v>
          </cell>
          <cell r="B10836" t="str">
            <v>T924</v>
          </cell>
          <cell r="C10836" t="str">
            <v>ซาติน แขนสั้นขายาว Jungle Cruise ครีม M (กปก)</v>
          </cell>
          <cell r="E10836">
            <v>0</v>
          </cell>
          <cell r="F10836">
            <v>890</v>
          </cell>
        </row>
        <row r="10837">
          <cell r="A10837" t="str">
            <v>ST0924-XL</v>
          </cell>
          <cell r="B10837" t="str">
            <v>T924</v>
          </cell>
          <cell r="C10837" t="str">
            <v>ซาติน แขนสั้นขายาว Jungle Cruise ครีม XL (กปก)</v>
          </cell>
          <cell r="E10837">
            <v>0</v>
          </cell>
          <cell r="F10837">
            <v>890</v>
          </cell>
        </row>
        <row r="10838">
          <cell r="A10838" t="str">
            <v>ST0925-2XL</v>
          </cell>
          <cell r="B10838" t="str">
            <v>T925</v>
          </cell>
          <cell r="C10838" t="str">
            <v>ซาติน แขนสั้นขายาว Bird Orchid พื้นเขียว 2XL  (กปก)</v>
          </cell>
          <cell r="E10838">
            <v>0</v>
          </cell>
          <cell r="F10838">
            <v>890</v>
          </cell>
        </row>
        <row r="10839">
          <cell r="A10839" t="str">
            <v>ST0925-L</v>
          </cell>
          <cell r="B10839" t="str">
            <v>T925</v>
          </cell>
          <cell r="C10839" t="str">
            <v>ซาติน แขนสั้นขายาว Bird Orchid พื้นเขียว L (กปก)</v>
          </cell>
          <cell r="E10839">
            <v>0</v>
          </cell>
          <cell r="F10839">
            <v>890</v>
          </cell>
        </row>
        <row r="10840">
          <cell r="A10840" t="str">
            <v>ST0925-M</v>
          </cell>
          <cell r="B10840" t="str">
            <v>T925</v>
          </cell>
          <cell r="C10840" t="str">
            <v>ซาติน แขนสั้นขายาว Bird Orchid พื้นเขียว M (กปก)</v>
          </cell>
          <cell r="E10840">
            <v>0</v>
          </cell>
          <cell r="F10840">
            <v>890</v>
          </cell>
        </row>
        <row r="10841">
          <cell r="A10841" t="str">
            <v>ST0925-XL</v>
          </cell>
          <cell r="B10841" t="str">
            <v>T925</v>
          </cell>
          <cell r="C10841" t="str">
            <v>ซาติน แขนสั้นขายาว Bird Orchid พื้นเขียว XL (กปก)</v>
          </cell>
          <cell r="E10841">
            <v>0</v>
          </cell>
          <cell r="F10841">
            <v>590</v>
          </cell>
        </row>
        <row r="10842">
          <cell r="A10842" t="str">
            <v>ST0926-2XL</v>
          </cell>
          <cell r="B10842" t="str">
            <v>T926</v>
          </cell>
          <cell r="C10842" t="str">
            <v>ซาติน แขนสั้นขายาว พื้นกรม ลายม้าลาย 2XL (กปก)</v>
          </cell>
          <cell r="E10842">
            <v>0</v>
          </cell>
          <cell r="F10842">
            <v>890</v>
          </cell>
        </row>
        <row r="10843">
          <cell r="A10843" t="str">
            <v>ST0926-3XL</v>
          </cell>
          <cell r="B10843" t="str">
            <v>T926</v>
          </cell>
          <cell r="C10843" t="str">
            <v>ซาติน แขนสั้นขายาว พื้นกรม ลายม้าลาย 3XL (กปก)</v>
          </cell>
          <cell r="E10843">
            <v>0</v>
          </cell>
          <cell r="F10843">
            <v>890</v>
          </cell>
        </row>
        <row r="10844">
          <cell r="A10844" t="str">
            <v>ST0926-L</v>
          </cell>
          <cell r="B10844" t="str">
            <v>T926</v>
          </cell>
          <cell r="C10844" t="str">
            <v>ซาติน แขนสั้นขายาว พื้นกรม ลายม้าลาย L (กปก)</v>
          </cell>
          <cell r="E10844">
            <v>0</v>
          </cell>
          <cell r="F10844">
            <v>890</v>
          </cell>
        </row>
        <row r="10845">
          <cell r="A10845" t="str">
            <v>ST0926-M</v>
          </cell>
          <cell r="B10845" t="str">
            <v>T926</v>
          </cell>
          <cell r="C10845" t="str">
            <v>ซาติน แขนสั้นขายาว พื้นกรม ลายม้าลาย M (กปก)</v>
          </cell>
          <cell r="E10845">
            <v>0</v>
          </cell>
          <cell r="F10845">
            <v>890</v>
          </cell>
        </row>
        <row r="10846">
          <cell r="A10846" t="str">
            <v>ST0926-XL</v>
          </cell>
          <cell r="B10846" t="str">
            <v>QT926</v>
          </cell>
          <cell r="C10846" t="str">
            <v>ซาติน แขนสั้นขายาว พื้นกรม ลายม้าลาย XL (กปก) QC</v>
          </cell>
          <cell r="E10846">
            <v>0</v>
          </cell>
          <cell r="F10846">
            <v>890</v>
          </cell>
        </row>
        <row r="10847">
          <cell r="A10847" t="str">
            <v>ST0927-2XL</v>
          </cell>
          <cell r="B10847" t="str">
            <v>T927</v>
          </cell>
          <cell r="C10847" t="str">
            <v>ซาติน แขนสั้นขายาว หน้าแมว พื้นดำ 2XL</v>
          </cell>
          <cell r="E10847">
            <v>0</v>
          </cell>
          <cell r="F10847">
            <v>890</v>
          </cell>
        </row>
        <row r="10848">
          <cell r="A10848" t="str">
            <v>ST0927-3XL</v>
          </cell>
          <cell r="B10848" t="str">
            <v>T927</v>
          </cell>
          <cell r="C10848" t="str">
            <v>ซาติน แขนสั้นขายาว หน้าแมว พื้นดำ 3XL</v>
          </cell>
          <cell r="E10848">
            <v>0</v>
          </cell>
          <cell r="F10848">
            <v>890</v>
          </cell>
        </row>
        <row r="10849">
          <cell r="A10849" t="str">
            <v>ST0927-L</v>
          </cell>
          <cell r="B10849" t="str">
            <v>T927</v>
          </cell>
          <cell r="C10849" t="str">
            <v>ซาติน แขนสั้นขายาว หน้าแมว พื้นดำ L</v>
          </cell>
          <cell r="E10849">
            <v>0</v>
          </cell>
          <cell r="F10849">
            <v>890</v>
          </cell>
        </row>
        <row r="10850">
          <cell r="A10850" t="str">
            <v>ST0927-M</v>
          </cell>
          <cell r="B10850" t="str">
            <v>T927</v>
          </cell>
          <cell r="C10850" t="str">
            <v>ซาติน แขนสั้นขายาว หน้าแมว พื้นดำ M</v>
          </cell>
          <cell r="E10850">
            <v>0</v>
          </cell>
          <cell r="F10850">
            <v>590</v>
          </cell>
        </row>
        <row r="10851">
          <cell r="A10851" t="str">
            <v>ST0927-XL</v>
          </cell>
          <cell r="B10851" t="str">
            <v>T927</v>
          </cell>
          <cell r="C10851" t="str">
            <v>ซาติน แขนสั้นขายาว หน้าแมว พื้นดำ XL</v>
          </cell>
          <cell r="E10851">
            <v>0</v>
          </cell>
          <cell r="F10851">
            <v>890</v>
          </cell>
        </row>
        <row r="10852">
          <cell r="A10852" t="str">
            <v>ST0928-2XL</v>
          </cell>
          <cell r="B10852" t="str">
            <v>T928</v>
          </cell>
          <cell r="C10852" t="str">
            <v>ซาติน แขนสั้นขายาว ลายทางน้ำตาล 2XL (กปก)</v>
          </cell>
          <cell r="E10852">
            <v>0</v>
          </cell>
          <cell r="F10852">
            <v>890</v>
          </cell>
        </row>
        <row r="10853">
          <cell r="A10853" t="str">
            <v>ST0928-3XL</v>
          </cell>
          <cell r="B10853" t="str">
            <v>T928</v>
          </cell>
          <cell r="C10853" t="str">
            <v>ซาติน แขนสั้นขายาว ลายทางน้ำตาล 3XL (กปก)</v>
          </cell>
          <cell r="E10853">
            <v>0</v>
          </cell>
          <cell r="F10853">
            <v>890</v>
          </cell>
        </row>
        <row r="10854">
          <cell r="A10854" t="str">
            <v>ST0928-L</v>
          </cell>
          <cell r="B10854" t="str">
            <v>T928</v>
          </cell>
          <cell r="C10854" t="str">
            <v>ซาติน แขนสั้นขายาว ลายทางน้ำตาล L (กปก)</v>
          </cell>
          <cell r="E10854">
            <v>0</v>
          </cell>
          <cell r="F10854">
            <v>890</v>
          </cell>
        </row>
        <row r="10855">
          <cell r="A10855" t="str">
            <v>ST0928-M</v>
          </cell>
          <cell r="B10855" t="str">
            <v>T928</v>
          </cell>
          <cell r="C10855" t="str">
            <v>ซาติน แขนสั้นขายาว ลายทางน้ำตาล M (กปก)</v>
          </cell>
          <cell r="E10855">
            <v>0</v>
          </cell>
          <cell r="F10855">
            <v>890</v>
          </cell>
        </row>
        <row r="10856">
          <cell r="A10856" t="str">
            <v>ST0928-XL</v>
          </cell>
          <cell r="B10856" t="str">
            <v>T928</v>
          </cell>
          <cell r="C10856" t="str">
            <v>ซาติน แขนสั้นขายาว ลายทางน้ำตาล XL (กปก)</v>
          </cell>
          <cell r="E10856">
            <v>0</v>
          </cell>
          <cell r="F10856">
            <v>890</v>
          </cell>
        </row>
        <row r="10857">
          <cell r="A10857" t="str">
            <v>ST0929-2XL</v>
          </cell>
          <cell r="B10857" t="str">
            <v>T929</v>
          </cell>
          <cell r="C10857" t="str">
            <v>ซาติน แขนสั้นขายาว ดอกไม้ฟ้า ปะการัง ปกชมพู 2XL</v>
          </cell>
          <cell r="E10857">
            <v>0</v>
          </cell>
          <cell r="F10857">
            <v>890</v>
          </cell>
        </row>
        <row r="10858">
          <cell r="A10858" t="str">
            <v>ST0929-3XL</v>
          </cell>
          <cell r="B10858" t="str">
            <v>T929</v>
          </cell>
          <cell r="C10858" t="str">
            <v>ซาติน แขนสั้นขายาว ดอกไม้ฟ้า ปะการัง ปกชมพู 3XL</v>
          </cell>
          <cell r="E10858">
            <v>0</v>
          </cell>
          <cell r="F10858">
            <v>890</v>
          </cell>
        </row>
        <row r="10859">
          <cell r="A10859" t="str">
            <v>ST0929-L</v>
          </cell>
          <cell r="B10859" t="str">
            <v>T929</v>
          </cell>
          <cell r="C10859" t="str">
            <v>ซาติน แขนสั้นขายาว ดอกไม้ฟ้า ปะการัง ปกชมพู L</v>
          </cell>
          <cell r="E10859">
            <v>0</v>
          </cell>
          <cell r="F10859">
            <v>890</v>
          </cell>
        </row>
        <row r="10860">
          <cell r="A10860" t="str">
            <v>ST0929-M</v>
          </cell>
          <cell r="B10860" t="str">
            <v>T929</v>
          </cell>
          <cell r="C10860" t="str">
            <v>ซาติน แขนสั้นขายาว ดอกไม้ฟ้า ปะการัง ปกชมพู M</v>
          </cell>
          <cell r="E10860">
            <v>0</v>
          </cell>
          <cell r="F10860">
            <v>890</v>
          </cell>
        </row>
        <row r="10861">
          <cell r="A10861" t="str">
            <v>ST0929-XL</v>
          </cell>
          <cell r="B10861" t="str">
            <v>T929</v>
          </cell>
          <cell r="C10861" t="str">
            <v>ซาติน แขนสั้นขายาว ดอกไม้ฟ้า ปะการัง ปกชมพู XL</v>
          </cell>
          <cell r="E10861">
            <v>0</v>
          </cell>
          <cell r="F10861">
            <v>890</v>
          </cell>
        </row>
        <row r="10862">
          <cell r="A10862" t="str">
            <v>ST0930-2XL</v>
          </cell>
          <cell r="B10862" t="str">
            <v>T930</v>
          </cell>
          <cell r="C10862" t="str">
            <v>ซาติน แขนสั้นขายาว pinky 2XL (กปก)</v>
          </cell>
          <cell r="E10862">
            <v>0</v>
          </cell>
          <cell r="F10862">
            <v>890</v>
          </cell>
        </row>
        <row r="10863">
          <cell r="A10863" t="str">
            <v>ST0930-L</v>
          </cell>
          <cell r="B10863" t="str">
            <v>T930</v>
          </cell>
          <cell r="C10863" t="str">
            <v>ซาติน แขนสั้นขายาว pinky L (กปก)</v>
          </cell>
          <cell r="E10863">
            <v>0</v>
          </cell>
          <cell r="F10863">
            <v>890</v>
          </cell>
        </row>
        <row r="10864">
          <cell r="A10864" t="str">
            <v>ST0930-M</v>
          </cell>
          <cell r="B10864" t="str">
            <v>T930</v>
          </cell>
          <cell r="C10864" t="str">
            <v>ซาติน แขนสั้นขายาว pinky M (กปก)</v>
          </cell>
          <cell r="E10864">
            <v>0</v>
          </cell>
          <cell r="F10864">
            <v>890</v>
          </cell>
        </row>
        <row r="10865">
          <cell r="A10865" t="str">
            <v>ST0930-XL</v>
          </cell>
          <cell r="B10865" t="str">
            <v>T930</v>
          </cell>
          <cell r="C10865" t="str">
            <v>ซาติน แขนสั้นขายาว pinky XL (กปก)</v>
          </cell>
          <cell r="E10865">
            <v>0</v>
          </cell>
          <cell r="F10865">
            <v>890</v>
          </cell>
        </row>
        <row r="10866">
          <cell r="A10866" t="str">
            <v>ST0931-2XL</v>
          </cell>
          <cell r="B10866" t="str">
            <v>T931</v>
          </cell>
          <cell r="C10866" t="str">
            <v>ซาติน แขนสั้นขายาว olivia 2XL (กปก)</v>
          </cell>
          <cell r="E10866">
            <v>0</v>
          </cell>
          <cell r="F10866">
            <v>890</v>
          </cell>
        </row>
        <row r="10867">
          <cell r="A10867" t="str">
            <v>ST0931-L</v>
          </cell>
          <cell r="B10867" t="str">
            <v>T931</v>
          </cell>
          <cell r="C10867" t="str">
            <v>ซาติน แขนสั้นขายาว olivia L (กปก)</v>
          </cell>
          <cell r="E10867">
            <v>0</v>
          </cell>
          <cell r="F10867">
            <v>890</v>
          </cell>
        </row>
        <row r="10868">
          <cell r="A10868" t="str">
            <v>ST0931-M</v>
          </cell>
          <cell r="B10868" t="str">
            <v>T931</v>
          </cell>
          <cell r="C10868" t="str">
            <v>ซาติน แขนสั้นขายาว olivia M (กปก)</v>
          </cell>
          <cell r="E10868">
            <v>0</v>
          </cell>
          <cell r="F10868">
            <v>890</v>
          </cell>
        </row>
        <row r="10869">
          <cell r="A10869" t="str">
            <v>ST0931-XL</v>
          </cell>
          <cell r="B10869" t="str">
            <v>T931</v>
          </cell>
          <cell r="C10869" t="str">
            <v>ซาติน แขนสั้นขายาว olivia XL (กปก)</v>
          </cell>
          <cell r="E10869">
            <v>0</v>
          </cell>
          <cell r="F10869">
            <v>890</v>
          </cell>
        </row>
        <row r="10870">
          <cell r="A10870" t="str">
            <v>ST0932-2XL</v>
          </cell>
          <cell r="B10870" t="str">
            <v>T932</v>
          </cell>
          <cell r="C10870" t="str">
            <v>ซาติน แขนสั้นขายาว violet 2XL (กปก)</v>
          </cell>
          <cell r="E10870">
            <v>0</v>
          </cell>
          <cell r="F10870">
            <v>890</v>
          </cell>
        </row>
        <row r="10871">
          <cell r="A10871" t="str">
            <v>ST0932-L</v>
          </cell>
          <cell r="B10871" t="str">
            <v>T932</v>
          </cell>
          <cell r="C10871" t="str">
            <v>ซาติน แขนสั้นขายาว violet L (กปก)</v>
          </cell>
          <cell r="E10871">
            <v>0</v>
          </cell>
          <cell r="F10871">
            <v>890</v>
          </cell>
        </row>
        <row r="10872">
          <cell r="A10872" t="str">
            <v>ST0932-M</v>
          </cell>
          <cell r="B10872" t="str">
            <v>T932</v>
          </cell>
          <cell r="C10872" t="str">
            <v>ซาติน แขนสั้นขายาว violet M (กปก)</v>
          </cell>
          <cell r="E10872">
            <v>0</v>
          </cell>
          <cell r="F10872">
            <v>890</v>
          </cell>
        </row>
        <row r="10873">
          <cell r="A10873" t="str">
            <v>ST0932-XL</v>
          </cell>
          <cell r="B10873" t="str">
            <v>T932</v>
          </cell>
          <cell r="C10873" t="str">
            <v>ซาติน แขนสั้นขายาว violet XL (กปก)</v>
          </cell>
          <cell r="E10873">
            <v>0</v>
          </cell>
          <cell r="F10873">
            <v>890</v>
          </cell>
        </row>
        <row r="10874">
          <cell r="A10874" t="str">
            <v>ST0934-2XL</v>
          </cell>
          <cell r="B10874" t="str">
            <v>T934</v>
          </cell>
          <cell r="C10874" t="str">
            <v>ซาติน แขนสั้นขายาว navy 2XL (กปก)</v>
          </cell>
          <cell r="E10874">
            <v>0</v>
          </cell>
          <cell r="F10874">
            <v>890</v>
          </cell>
        </row>
        <row r="10875">
          <cell r="A10875" t="str">
            <v>ST0934-L</v>
          </cell>
          <cell r="B10875" t="str">
            <v>T934</v>
          </cell>
          <cell r="C10875" t="str">
            <v>ซาติน แขนสั้นขายาว navy L (กปก)</v>
          </cell>
          <cell r="E10875">
            <v>0</v>
          </cell>
          <cell r="F10875">
            <v>890</v>
          </cell>
        </row>
        <row r="10876">
          <cell r="A10876" t="str">
            <v>ST0934-M</v>
          </cell>
          <cell r="B10876" t="str">
            <v>T934</v>
          </cell>
          <cell r="C10876" t="str">
            <v>ซาติน แขนสั้นขายาว navy M (กปก)</v>
          </cell>
          <cell r="E10876">
            <v>0</v>
          </cell>
          <cell r="F10876">
            <v>890</v>
          </cell>
        </row>
        <row r="10877">
          <cell r="A10877" t="str">
            <v>ST0934-XL</v>
          </cell>
          <cell r="B10877" t="str">
            <v>QT934</v>
          </cell>
          <cell r="C10877" t="str">
            <v>ซาติน แขนสั้นขายาว navy XL (กปก) QC</v>
          </cell>
          <cell r="E10877">
            <v>0</v>
          </cell>
          <cell r="F10877">
            <v>890</v>
          </cell>
        </row>
        <row r="10878">
          <cell r="A10878" t="str">
            <v>ST0935-2XL</v>
          </cell>
          <cell r="B10878" t="str">
            <v>T935</v>
          </cell>
          <cell r="C10878" t="str">
            <v>ซาติน แขนสั้นขายาว Cute old totoro 2XL (กปก)</v>
          </cell>
          <cell r="E10878">
            <v>0</v>
          </cell>
          <cell r="F10878">
            <v>890</v>
          </cell>
        </row>
        <row r="10879">
          <cell r="A10879" t="str">
            <v>ST0935-3XL</v>
          </cell>
          <cell r="B10879" t="str">
            <v>T935</v>
          </cell>
          <cell r="C10879" t="str">
            <v>ซาติน แขนสั้นขายาว Cute old totoro 3XL (กปก)</v>
          </cell>
          <cell r="E10879">
            <v>0</v>
          </cell>
          <cell r="F10879">
            <v>890</v>
          </cell>
        </row>
        <row r="10880">
          <cell r="A10880" t="str">
            <v>ST0935-L</v>
          </cell>
          <cell r="B10880" t="str">
            <v>QT935</v>
          </cell>
          <cell r="C10880" t="str">
            <v>ซาติน แขนสั้นขายาว Cute old totoro L (กปก) QC</v>
          </cell>
          <cell r="E10880">
            <v>0</v>
          </cell>
          <cell r="F10880">
            <v>890</v>
          </cell>
        </row>
        <row r="10881">
          <cell r="A10881" t="str">
            <v>ST0935-M</v>
          </cell>
          <cell r="B10881" t="str">
            <v>T935</v>
          </cell>
          <cell r="C10881" t="str">
            <v>ซาติน แขนสั้นขายาว Cute old totoro M (กปก)</v>
          </cell>
          <cell r="E10881">
            <v>0</v>
          </cell>
          <cell r="F10881">
            <v>890</v>
          </cell>
        </row>
        <row r="10882">
          <cell r="A10882" t="str">
            <v>ST0935-XL</v>
          </cell>
          <cell r="B10882" t="str">
            <v>T935</v>
          </cell>
          <cell r="C10882" t="str">
            <v>ซาติน แขนสั้นขายาว Cute old totoro XL (กปก)</v>
          </cell>
          <cell r="E10882">
            <v>0</v>
          </cell>
          <cell r="F10882">
            <v>890</v>
          </cell>
        </row>
        <row r="10883">
          <cell r="A10883" t="str">
            <v>ST0936-2XL</v>
          </cell>
          <cell r="B10883" t="str">
            <v>T936</v>
          </cell>
          <cell r="C10883" t="str">
            <v>ซาติน แขนสั้นขายาว Balloon Cat พื้นชมพู 2XL (กปก)</v>
          </cell>
          <cell r="E10883">
            <v>0</v>
          </cell>
          <cell r="F10883">
            <v>890</v>
          </cell>
        </row>
        <row r="10884">
          <cell r="A10884" t="str">
            <v>ST0936-3XL</v>
          </cell>
          <cell r="B10884" t="str">
            <v>T936</v>
          </cell>
          <cell r="C10884" t="str">
            <v>ซาติน แขนสั้นขายาว Balloon Cat พื้นชมพู 3XL (กปก)</v>
          </cell>
          <cell r="E10884">
            <v>0</v>
          </cell>
          <cell r="F10884">
            <v>890</v>
          </cell>
        </row>
        <row r="10885">
          <cell r="A10885" t="str">
            <v>ST0936-L</v>
          </cell>
          <cell r="B10885" t="str">
            <v>T936</v>
          </cell>
          <cell r="C10885" t="str">
            <v>ซาติน แขนสั้นขายาว Balloon Cat พื้นชมพู L (กปก)</v>
          </cell>
          <cell r="E10885">
            <v>0</v>
          </cell>
          <cell r="F10885">
            <v>890</v>
          </cell>
        </row>
        <row r="10886">
          <cell r="A10886" t="str">
            <v>ST0936-M</v>
          </cell>
          <cell r="B10886" t="str">
            <v>T936</v>
          </cell>
          <cell r="C10886" t="str">
            <v>ซาติน แขนสั้นขายาว Balloon Cat พื้นชมพู M (กปก)</v>
          </cell>
          <cell r="E10886">
            <v>0</v>
          </cell>
          <cell r="F10886">
            <v>890</v>
          </cell>
        </row>
        <row r="10887">
          <cell r="A10887" t="str">
            <v>ST0936-XL</v>
          </cell>
          <cell r="B10887" t="str">
            <v>T936</v>
          </cell>
          <cell r="C10887" t="str">
            <v>ซาติน แขนสั้นขายาว Balloon Cat พื้นชมพู XL (กปก)</v>
          </cell>
          <cell r="E10887">
            <v>0</v>
          </cell>
          <cell r="F10887">
            <v>890</v>
          </cell>
        </row>
        <row r="10888">
          <cell r="A10888" t="str">
            <v>ST0937-2XL</v>
          </cell>
          <cell r="B10888" t="str">
            <v>T937</v>
          </cell>
          <cell r="C10888" t="str">
            <v>ซาติน แขนสั้นขายาว Little pink tiger 2XL</v>
          </cell>
          <cell r="E10888">
            <v>0</v>
          </cell>
          <cell r="F10888">
            <v>890</v>
          </cell>
        </row>
        <row r="10889">
          <cell r="A10889" t="str">
            <v>ST0937-3XL</v>
          </cell>
          <cell r="B10889" t="str">
            <v>T937</v>
          </cell>
          <cell r="C10889" t="str">
            <v>ซาติน แขนสั้นขายาว Little pink tiger 3XL</v>
          </cell>
          <cell r="E10889">
            <v>0</v>
          </cell>
          <cell r="F10889">
            <v>890</v>
          </cell>
        </row>
        <row r="10890">
          <cell r="A10890" t="str">
            <v>ST0937-L</v>
          </cell>
          <cell r="B10890" t="str">
            <v>T937</v>
          </cell>
          <cell r="C10890" t="str">
            <v>ซาติน แขนสั้นขายาว Little pink tiger L</v>
          </cell>
          <cell r="E10890">
            <v>0</v>
          </cell>
          <cell r="F10890">
            <v>890</v>
          </cell>
        </row>
        <row r="10891">
          <cell r="A10891" t="str">
            <v>ST0937-M</v>
          </cell>
          <cell r="B10891" t="str">
            <v>T937</v>
          </cell>
          <cell r="C10891" t="str">
            <v>ซาติน แขนสั้นขายาว Little pink tiger M</v>
          </cell>
          <cell r="E10891">
            <v>0</v>
          </cell>
          <cell r="F10891">
            <v>890</v>
          </cell>
        </row>
        <row r="10892">
          <cell r="A10892" t="str">
            <v>ST0937-XL</v>
          </cell>
          <cell r="B10892" t="str">
            <v>T937</v>
          </cell>
          <cell r="C10892" t="str">
            <v>ซาติน แขนสั้นขายาว Little pink tiger XL</v>
          </cell>
          <cell r="E10892">
            <v>0</v>
          </cell>
          <cell r="F10892">
            <v>890</v>
          </cell>
        </row>
        <row r="10893">
          <cell r="A10893" t="str">
            <v>ST0938-2XL</v>
          </cell>
          <cell r="B10893" t="str">
            <v>T938</v>
          </cell>
          <cell r="C10893" t="str">
            <v>ซาติน แขนสั้นขายาว Black Forest 2XL</v>
          </cell>
          <cell r="E10893">
            <v>0</v>
          </cell>
          <cell r="F10893">
            <v>990</v>
          </cell>
        </row>
        <row r="10894">
          <cell r="A10894" t="str">
            <v>ST0938-3XL</v>
          </cell>
          <cell r="B10894" t="str">
            <v>T938</v>
          </cell>
          <cell r="C10894" t="str">
            <v>ซาติน แขนสั้นขายาว Black forest 3XL</v>
          </cell>
          <cell r="E10894">
            <v>0</v>
          </cell>
          <cell r="F10894">
            <v>890</v>
          </cell>
        </row>
        <row r="10895">
          <cell r="A10895" t="str">
            <v>ST0938-L</v>
          </cell>
          <cell r="B10895" t="str">
            <v>T938</v>
          </cell>
          <cell r="C10895" t="str">
            <v>ซาติน แขนสั้นขายาว Black Forest L</v>
          </cell>
          <cell r="E10895">
            <v>0</v>
          </cell>
          <cell r="F10895">
            <v>990</v>
          </cell>
        </row>
        <row r="10896">
          <cell r="A10896" t="str">
            <v>ST0938-M</v>
          </cell>
          <cell r="B10896" t="str">
            <v>T938</v>
          </cell>
          <cell r="C10896" t="str">
            <v>ซาติน แขนสั้นขายาว Black Forest M</v>
          </cell>
          <cell r="E10896">
            <v>30</v>
          </cell>
          <cell r="F10896">
            <v>990</v>
          </cell>
        </row>
        <row r="10897">
          <cell r="A10897" t="str">
            <v>ST0938-XL</v>
          </cell>
          <cell r="B10897" t="str">
            <v>T938</v>
          </cell>
          <cell r="C10897" t="str">
            <v>ซาติน แขนสั้นขายาว Black Forest XL</v>
          </cell>
          <cell r="E10897">
            <v>2</v>
          </cell>
          <cell r="F10897">
            <v>990</v>
          </cell>
        </row>
        <row r="10898">
          <cell r="A10898" t="str">
            <v>ST0940-2XL</v>
          </cell>
          <cell r="B10898" t="str">
            <v>T940</v>
          </cell>
          <cell r="C10898" t="str">
            <v>ซาติน แขนสั้นขายาว Zebra ดำ (กปก) 2XL</v>
          </cell>
          <cell r="E10898">
            <v>0</v>
          </cell>
          <cell r="F10898">
            <v>890</v>
          </cell>
        </row>
        <row r="10899">
          <cell r="A10899" t="str">
            <v>ST0940-3XL</v>
          </cell>
          <cell r="B10899" t="str">
            <v>QT940</v>
          </cell>
          <cell r="C10899" t="str">
            <v>ซาติน แขนสั้นขายาว Zebra ดำ (กปก) 3XL QC</v>
          </cell>
          <cell r="E10899">
            <v>0</v>
          </cell>
          <cell r="F10899">
            <v>890</v>
          </cell>
        </row>
        <row r="10900">
          <cell r="A10900" t="str">
            <v>ST0940-L</v>
          </cell>
          <cell r="B10900" t="str">
            <v>T940</v>
          </cell>
          <cell r="C10900" t="str">
            <v>ซาติน แขนสั้นขายาว Zebra ดำ (กปก) L</v>
          </cell>
          <cell r="E10900">
            <v>0</v>
          </cell>
          <cell r="F10900">
            <v>890</v>
          </cell>
        </row>
        <row r="10901">
          <cell r="A10901" t="str">
            <v>ST0940-M</v>
          </cell>
          <cell r="B10901" t="str">
            <v>T940</v>
          </cell>
          <cell r="C10901" t="str">
            <v>ซาติน แขนสั้นขายาว Zebra ดำ (กปก) M</v>
          </cell>
          <cell r="E10901">
            <v>0</v>
          </cell>
          <cell r="F10901">
            <v>890</v>
          </cell>
        </row>
        <row r="10902">
          <cell r="A10902" t="str">
            <v>ST0940-XL</v>
          </cell>
          <cell r="B10902" t="str">
            <v>T940</v>
          </cell>
          <cell r="C10902" t="str">
            <v>ซาติน แขนสั้นขายาว Zebra ดำ (กปก) XL</v>
          </cell>
          <cell r="E10902">
            <v>0</v>
          </cell>
          <cell r="F10902">
            <v>890</v>
          </cell>
        </row>
        <row r="10903">
          <cell r="A10903" t="str">
            <v>ST0941-2XL</v>
          </cell>
          <cell r="B10903" t="str">
            <v>T941</v>
          </cell>
          <cell r="C10903" t="str">
            <v>ซาติน แขนสั้นขายาว Ebony Tiger Lily 2XL (กปก)</v>
          </cell>
          <cell r="E10903">
            <v>5</v>
          </cell>
          <cell r="F10903">
            <v>890</v>
          </cell>
        </row>
        <row r="10904">
          <cell r="A10904" t="str">
            <v>ST0941-3XL</v>
          </cell>
          <cell r="B10904" t="str">
            <v>QT941</v>
          </cell>
          <cell r="C10904" t="str">
            <v>ซาติน แขนสั้นขายาว เกสรดอกไม้ ไฟ พื้นกรม 3XL (กปก) QC</v>
          </cell>
          <cell r="E10904">
            <v>0</v>
          </cell>
          <cell r="F10904">
            <v>890</v>
          </cell>
        </row>
        <row r="10905">
          <cell r="A10905" t="str">
            <v>ST0941-L</v>
          </cell>
          <cell r="B10905" t="str">
            <v>T941</v>
          </cell>
          <cell r="C10905" t="str">
            <v>ซาติน แขนสั้นขายาว Ebony Tiger Lily L (กปก)</v>
          </cell>
          <cell r="E10905">
            <v>0</v>
          </cell>
          <cell r="F10905">
            <v>890</v>
          </cell>
        </row>
        <row r="10906">
          <cell r="A10906" t="str">
            <v>ST0941-M</v>
          </cell>
          <cell r="B10906" t="str">
            <v>T941</v>
          </cell>
          <cell r="C10906" t="str">
            <v>ซาติน แขนสั้นขายาว Ebony Tiger Lily M (กปก)</v>
          </cell>
          <cell r="E10906">
            <v>0</v>
          </cell>
          <cell r="F10906">
            <v>890</v>
          </cell>
        </row>
        <row r="10907">
          <cell r="A10907" t="str">
            <v>ST0941-XL</v>
          </cell>
          <cell r="B10907" t="str">
            <v>T941</v>
          </cell>
          <cell r="C10907" t="str">
            <v>ซาติน แขนสั้นขายาว Ebony Tiger Lily XL (กปก)</v>
          </cell>
          <cell r="E10907">
            <v>0</v>
          </cell>
          <cell r="F10907">
            <v>890</v>
          </cell>
        </row>
        <row r="10908">
          <cell r="A10908" t="str">
            <v>ST0944-2XL</v>
          </cell>
          <cell r="B10908" t="str">
            <v>T944</v>
          </cell>
          <cell r="C10908" t="str">
            <v>ซาติน แขนสั้นขายาว กวางพื้นกรม  2XL</v>
          </cell>
          <cell r="E10908">
            <v>0</v>
          </cell>
          <cell r="F10908">
            <v>890</v>
          </cell>
        </row>
        <row r="10909">
          <cell r="A10909" t="str">
            <v>ST0944-3XL</v>
          </cell>
          <cell r="B10909" t="str">
            <v>T944</v>
          </cell>
          <cell r="C10909" t="str">
            <v>ซาติน แขนสั้นขายาว กวางพื้นกรม  3XL</v>
          </cell>
          <cell r="E10909">
            <v>0</v>
          </cell>
          <cell r="F10909">
            <v>890</v>
          </cell>
        </row>
        <row r="10910">
          <cell r="A10910" t="str">
            <v>ST0944-L</v>
          </cell>
          <cell r="B10910" t="str">
            <v>T944</v>
          </cell>
          <cell r="C10910" t="str">
            <v>ซาติน แขนสั้นขายาว กวางพื้นกรม  L</v>
          </cell>
          <cell r="E10910">
            <v>0</v>
          </cell>
          <cell r="F10910">
            <v>890</v>
          </cell>
        </row>
        <row r="10911">
          <cell r="A10911" t="str">
            <v>ST0944-M</v>
          </cell>
          <cell r="B10911" t="str">
            <v>T944</v>
          </cell>
          <cell r="C10911" t="str">
            <v>ซาติน แขนสั้นขายาว กวางพื้นกรม  M</v>
          </cell>
          <cell r="E10911">
            <v>0</v>
          </cell>
          <cell r="F10911">
            <v>890</v>
          </cell>
        </row>
        <row r="10912">
          <cell r="A10912" t="str">
            <v>ST0944-XL</v>
          </cell>
          <cell r="B10912" t="str">
            <v>T944</v>
          </cell>
          <cell r="C10912" t="str">
            <v>ซาติน แขนสั้นขายาว กวางพื้นกรม  XL</v>
          </cell>
          <cell r="E10912">
            <v>0</v>
          </cell>
          <cell r="F10912">
            <v>890</v>
          </cell>
        </row>
        <row r="10913">
          <cell r="A10913" t="str">
            <v>ST0945-2XL</v>
          </cell>
          <cell r="B10913" t="str">
            <v>T945</v>
          </cell>
          <cell r="C10913" t="str">
            <v>ซาติน แขนสั้นขายาว พื้นกรม ดอกกุหลาบแดง กล้วยไม้ 2XL (กปก)</v>
          </cell>
          <cell r="E10913">
            <v>0</v>
          </cell>
          <cell r="F10913">
            <v>890</v>
          </cell>
        </row>
        <row r="10914">
          <cell r="A10914" t="str">
            <v>ST0945-3XL</v>
          </cell>
          <cell r="B10914" t="str">
            <v>T945</v>
          </cell>
          <cell r="C10914" t="str">
            <v>ซาติน แขนสั้นขายาว พื้นกรม ดอกกุหลาบแดง กล้วยไม้ 3XL (กปก)</v>
          </cell>
          <cell r="E10914">
            <v>0</v>
          </cell>
          <cell r="F10914">
            <v>890</v>
          </cell>
        </row>
        <row r="10915">
          <cell r="A10915" t="str">
            <v>ST0945-L</v>
          </cell>
          <cell r="B10915" t="str">
            <v>T945</v>
          </cell>
          <cell r="C10915" t="str">
            <v>ซาติน แขนสั้นขายาว พื้นกรม ดอกกุหลาบแดง กล้วยไม้ L (กปก)</v>
          </cell>
          <cell r="E10915">
            <v>0</v>
          </cell>
          <cell r="F10915">
            <v>890</v>
          </cell>
        </row>
        <row r="10916">
          <cell r="A10916" t="str">
            <v>ST0945-M</v>
          </cell>
          <cell r="B10916" t="str">
            <v>T945</v>
          </cell>
          <cell r="C10916" t="str">
            <v>ซาติน แขนสั้นขายาว พื้นกรม ดอกกุหลาบแดง กล้วยไม้ M (กปก)</v>
          </cell>
          <cell r="E10916">
            <v>0</v>
          </cell>
          <cell r="F10916">
            <v>890</v>
          </cell>
        </row>
        <row r="10917">
          <cell r="A10917" t="str">
            <v>ST0945-XL</v>
          </cell>
          <cell r="B10917" t="str">
            <v>T945</v>
          </cell>
          <cell r="C10917" t="str">
            <v>ซาติน แขนสั้นขายาว พื้นกรม ดอกกุหลาบแดง กล้วยไม้ XL (กปก)</v>
          </cell>
          <cell r="E10917">
            <v>0</v>
          </cell>
          <cell r="F10917">
            <v>890</v>
          </cell>
        </row>
        <row r="10918">
          <cell r="A10918" t="str">
            <v>ST0946-2XL</v>
          </cell>
          <cell r="B10918" t="str">
            <v>T946</v>
          </cell>
          <cell r="C10918" t="str">
            <v>ซาติน แขนสั้นขายาว เกสรดอกไม้ พื้นขาว 2XL (กปก)</v>
          </cell>
          <cell r="E10918">
            <v>0</v>
          </cell>
          <cell r="F10918">
            <v>890</v>
          </cell>
        </row>
        <row r="10919">
          <cell r="A10919" t="str">
            <v>ST0946-3XL</v>
          </cell>
          <cell r="B10919" t="str">
            <v>T946</v>
          </cell>
          <cell r="C10919" t="str">
            <v>ซาติน แขนสั้นขายาว เกสรดอกไม้ พื้นขาว 3XL (กปก)</v>
          </cell>
          <cell r="E10919">
            <v>0</v>
          </cell>
          <cell r="F10919">
            <v>890</v>
          </cell>
        </row>
        <row r="10920">
          <cell r="A10920" t="str">
            <v>ST0946-L</v>
          </cell>
          <cell r="B10920" t="str">
            <v>T946</v>
          </cell>
          <cell r="C10920" t="str">
            <v>ซาติน แขนสั้นขายาว เกสรดอกไม้ พื้นขาว L (กปก)</v>
          </cell>
          <cell r="E10920">
            <v>0</v>
          </cell>
          <cell r="F10920">
            <v>890</v>
          </cell>
        </row>
        <row r="10921">
          <cell r="A10921" t="str">
            <v>ST0946-M</v>
          </cell>
          <cell r="B10921" t="str">
            <v>T946</v>
          </cell>
          <cell r="C10921" t="str">
            <v>ซาติน แขนสั้นขายาว เกสรดอกไม้ พื้นขาว M (กปก)</v>
          </cell>
          <cell r="E10921">
            <v>0</v>
          </cell>
          <cell r="F10921">
            <v>890</v>
          </cell>
        </row>
        <row r="10922">
          <cell r="A10922" t="str">
            <v>ST0946-XL</v>
          </cell>
          <cell r="B10922" t="str">
            <v>T946</v>
          </cell>
          <cell r="C10922" t="str">
            <v>ซาติน แขนสั้นขายาว เกสรดอกไม้ พื้นขาว XL (กปก)</v>
          </cell>
          <cell r="E10922">
            <v>0</v>
          </cell>
          <cell r="F10922">
            <v>890</v>
          </cell>
        </row>
        <row r="10923">
          <cell r="A10923" t="str">
            <v>ST0947-2XL</v>
          </cell>
          <cell r="B10923" t="str">
            <v>T947</v>
          </cell>
          <cell r="C10923" t="str">
            <v>ซาติน แขนสั้นขายาว ลายทางฟ้า 2XL (กปก)</v>
          </cell>
          <cell r="E10923">
            <v>0</v>
          </cell>
          <cell r="F10923">
            <v>890</v>
          </cell>
        </row>
        <row r="10924">
          <cell r="A10924" t="str">
            <v>ST0947-3XL</v>
          </cell>
          <cell r="B10924" t="str">
            <v>T947</v>
          </cell>
          <cell r="C10924" t="str">
            <v>ซาติน แขนสั้นขายาว ลายทางฟ้า 3XL (กปก)</v>
          </cell>
          <cell r="E10924">
            <v>0</v>
          </cell>
          <cell r="F10924">
            <v>890</v>
          </cell>
        </row>
        <row r="10925">
          <cell r="A10925" t="str">
            <v>ST0947-L</v>
          </cell>
          <cell r="B10925" t="str">
            <v>T947</v>
          </cell>
          <cell r="C10925" t="str">
            <v>ซาติน แขนสั้นขายาว ลายทางฟ้า L (กปก)</v>
          </cell>
          <cell r="E10925">
            <v>0</v>
          </cell>
          <cell r="F10925">
            <v>890</v>
          </cell>
        </row>
        <row r="10926">
          <cell r="A10926" t="str">
            <v>ST0947-M</v>
          </cell>
          <cell r="B10926" t="str">
            <v>T947</v>
          </cell>
          <cell r="C10926" t="str">
            <v>ซาติน แขนสั้นขายาว ลายทางฟ้า M (กปก)</v>
          </cell>
          <cell r="E10926">
            <v>0</v>
          </cell>
          <cell r="F10926">
            <v>890</v>
          </cell>
        </row>
        <row r="10927">
          <cell r="A10927" t="str">
            <v>ST0947-XL</v>
          </cell>
          <cell r="B10927" t="str">
            <v>T947</v>
          </cell>
          <cell r="C10927" t="str">
            <v>ซาติน แขนสั้นขายาว ลายทางฟ้า XL (กปก)</v>
          </cell>
          <cell r="E10927">
            <v>0</v>
          </cell>
          <cell r="F10927">
            <v>890</v>
          </cell>
        </row>
        <row r="10928">
          <cell r="A10928" t="str">
            <v>ST0948-2XL</v>
          </cell>
          <cell r="B10928" t="str">
            <v>T948</v>
          </cell>
          <cell r="C10928" t="str">
            <v>ซาติน แขนสั้นขายาว แมวดำ พื้นชมพู 2XL (กปก)</v>
          </cell>
          <cell r="E10928">
            <v>0</v>
          </cell>
          <cell r="F10928">
            <v>890</v>
          </cell>
        </row>
        <row r="10929">
          <cell r="A10929" t="str">
            <v>ST0948-3XL</v>
          </cell>
          <cell r="B10929" t="str">
            <v>T948</v>
          </cell>
          <cell r="C10929" t="str">
            <v>ซาติน แขนสั้นขายาว แมวดำ พื้นชมพู 3XL (กปก)</v>
          </cell>
          <cell r="E10929">
            <v>0</v>
          </cell>
          <cell r="F10929">
            <v>890</v>
          </cell>
        </row>
        <row r="10930">
          <cell r="A10930" t="str">
            <v>ST0948-L</v>
          </cell>
          <cell r="B10930" t="str">
            <v>T948</v>
          </cell>
          <cell r="C10930" t="str">
            <v>ซาติน แขนสั้นขายาว แมวดำ พื้นชมพู L (กปก)</v>
          </cell>
          <cell r="E10930">
            <v>0</v>
          </cell>
          <cell r="F10930">
            <v>890</v>
          </cell>
        </row>
        <row r="10931">
          <cell r="A10931" t="str">
            <v>ST0948-M</v>
          </cell>
          <cell r="B10931" t="str">
            <v>T948</v>
          </cell>
          <cell r="C10931" t="str">
            <v>ซาติน แขนสั้นขายาว แมวดำ พื้นชมพู M (กปก)</v>
          </cell>
          <cell r="E10931">
            <v>0</v>
          </cell>
          <cell r="F10931">
            <v>890</v>
          </cell>
        </row>
        <row r="10932">
          <cell r="A10932" t="str">
            <v>ST0948-XL</v>
          </cell>
          <cell r="B10932" t="str">
            <v>T948</v>
          </cell>
          <cell r="C10932" t="str">
            <v>ซาติน แขนสั้นขายาว แมวดำ พื้นชมพู XL (กปก)</v>
          </cell>
          <cell r="E10932">
            <v>0</v>
          </cell>
          <cell r="F10932">
            <v>890</v>
          </cell>
        </row>
        <row r="10933">
          <cell r="A10933" t="str">
            <v>ST0955-2XL</v>
          </cell>
          <cell r="B10933" t="str">
            <v>T955</v>
          </cell>
          <cell r="C10933" t="str">
            <v>ซาติน แขนสั้นขายาว ภาพถ่ายวิวเมือง (กปก) 2XL</v>
          </cell>
          <cell r="E10933">
            <v>0</v>
          </cell>
          <cell r="F10933">
            <v>890</v>
          </cell>
        </row>
        <row r="10934">
          <cell r="A10934" t="str">
            <v>ST0955-3XL</v>
          </cell>
          <cell r="B10934" t="str">
            <v>T955</v>
          </cell>
          <cell r="C10934" t="str">
            <v>ซาติน แขนสั้นขายาว ภาพถ่ายวิวเมือง (กปก) 3XL</v>
          </cell>
          <cell r="E10934">
            <v>0</v>
          </cell>
          <cell r="F10934">
            <v>890</v>
          </cell>
        </row>
        <row r="10935">
          <cell r="A10935" t="str">
            <v>ST0955-L</v>
          </cell>
          <cell r="B10935" t="str">
            <v>T955</v>
          </cell>
          <cell r="C10935" t="str">
            <v>ซาติน แขนสั้นขายาว ภาพถ่ายวิวเมือง (กปก) L</v>
          </cell>
          <cell r="E10935">
            <v>0</v>
          </cell>
          <cell r="F10935">
            <v>890</v>
          </cell>
        </row>
        <row r="10936">
          <cell r="A10936" t="str">
            <v>ST0955-M</v>
          </cell>
          <cell r="B10936" t="str">
            <v>T955</v>
          </cell>
          <cell r="C10936" t="str">
            <v>ซาติน แขนสั้นขายาว ภาพถ่ายวิวเมือง (กปก) M</v>
          </cell>
          <cell r="E10936">
            <v>0</v>
          </cell>
          <cell r="F10936">
            <v>890</v>
          </cell>
        </row>
        <row r="10937">
          <cell r="A10937" t="str">
            <v>ST0955-XL</v>
          </cell>
          <cell r="B10937" t="str">
            <v>T955</v>
          </cell>
          <cell r="C10937" t="str">
            <v>ซาติน แขนสั้นขายาว ภาพถ่ายวิวเมือง (กปก) XL</v>
          </cell>
          <cell r="E10937">
            <v>0</v>
          </cell>
          <cell r="F10937">
            <v>890</v>
          </cell>
        </row>
        <row r="10938">
          <cell r="A10938" t="str">
            <v>ST0956-2XL</v>
          </cell>
          <cell r="B10938" t="str">
            <v>T956</v>
          </cell>
          <cell r="C10938" t="str">
            <v>ซาติน แขนสั้นขายาว ทิวลิปม่วง พื้นขาว 2XL (กปก)</v>
          </cell>
          <cell r="E10938">
            <v>0</v>
          </cell>
          <cell r="F10938">
            <v>890</v>
          </cell>
        </row>
        <row r="10939">
          <cell r="A10939" t="str">
            <v>ST0956-3XL</v>
          </cell>
          <cell r="B10939" t="str">
            <v>T956</v>
          </cell>
          <cell r="C10939" t="str">
            <v>ซาติน แขนสั้นขายาว ทิวลิปม่วง พื้นขาว 3XL (กปก)</v>
          </cell>
          <cell r="E10939">
            <v>0</v>
          </cell>
          <cell r="F10939">
            <v>890</v>
          </cell>
        </row>
        <row r="10940">
          <cell r="A10940" t="str">
            <v>ST0956-L</v>
          </cell>
          <cell r="B10940" t="str">
            <v>T956</v>
          </cell>
          <cell r="C10940" t="str">
            <v>ซาติน แขนสั้นขายาว ทิวลิปม่วง พื้นขาว L (กปก)</v>
          </cell>
          <cell r="E10940">
            <v>0</v>
          </cell>
          <cell r="F10940">
            <v>890</v>
          </cell>
        </row>
        <row r="10941">
          <cell r="A10941" t="str">
            <v>ST0956-M</v>
          </cell>
          <cell r="B10941" t="str">
            <v>T956</v>
          </cell>
          <cell r="C10941" t="str">
            <v>ซาติน แขนสั้นขายาว ทิวลิปม่วง พื้นขาว M (กปก)</v>
          </cell>
          <cell r="E10941">
            <v>0</v>
          </cell>
          <cell r="F10941">
            <v>890</v>
          </cell>
        </row>
        <row r="10942">
          <cell r="A10942" t="str">
            <v>ST0956-XL</v>
          </cell>
          <cell r="B10942" t="str">
            <v>T956</v>
          </cell>
          <cell r="C10942" t="str">
            <v>ซาติน แขนสั้นขายาว ทิวลิปม่วง พื้นขาว XL (กปก)</v>
          </cell>
          <cell r="E10942">
            <v>0</v>
          </cell>
          <cell r="F10942">
            <v>890</v>
          </cell>
        </row>
        <row r="10943">
          <cell r="A10943" t="str">
            <v>ST0959-2XL</v>
          </cell>
          <cell r="B10943" t="str">
            <v>T959</v>
          </cell>
          <cell r="C10943" t="str">
            <v>ซาติน แขนสั้นขายาว เขาวงกต ขาวดำ 2XL</v>
          </cell>
          <cell r="E10943">
            <v>0</v>
          </cell>
          <cell r="F10943">
            <v>890</v>
          </cell>
        </row>
        <row r="10944">
          <cell r="A10944" t="str">
            <v>ST0959-3XL</v>
          </cell>
          <cell r="B10944" t="str">
            <v>QT959</v>
          </cell>
          <cell r="C10944" t="str">
            <v>ซาติน แขนสั้นขายาว เขาวงกต ขาวดำ 3XL QC</v>
          </cell>
          <cell r="E10944">
            <v>0</v>
          </cell>
          <cell r="F10944">
            <v>890</v>
          </cell>
        </row>
        <row r="10945">
          <cell r="A10945" t="str">
            <v>ST0959-L</v>
          </cell>
          <cell r="B10945" t="str">
            <v>T959</v>
          </cell>
          <cell r="C10945" t="str">
            <v>ซาติน แขนสั้นขายาว เขาวงกต ขาวดำ L</v>
          </cell>
          <cell r="E10945">
            <v>0</v>
          </cell>
          <cell r="F10945">
            <v>890</v>
          </cell>
        </row>
        <row r="10946">
          <cell r="A10946" t="str">
            <v>ST0959-M</v>
          </cell>
          <cell r="B10946" t="str">
            <v>T959</v>
          </cell>
          <cell r="C10946" t="str">
            <v>ซาติน แขนสั้นขายาว เขาวงกต ขาวดำ M</v>
          </cell>
          <cell r="E10946">
            <v>0</v>
          </cell>
          <cell r="F10946">
            <v>890</v>
          </cell>
        </row>
        <row r="10947">
          <cell r="A10947" t="str">
            <v>ST0959-XL</v>
          </cell>
          <cell r="B10947" t="str">
            <v>QT959</v>
          </cell>
          <cell r="C10947" t="str">
            <v>ซาติน แขนสั้นขายาว เขาวงกต ขาวดำ XL QC</v>
          </cell>
          <cell r="E10947">
            <v>0</v>
          </cell>
          <cell r="F10947">
            <v>890</v>
          </cell>
        </row>
        <row r="10948">
          <cell r="A10948" t="str">
            <v>ST0960-2XL</v>
          </cell>
          <cell r="B10948" t="str">
            <v>T960</v>
          </cell>
          <cell r="C10948" t="str">
            <v>ซาติน แขนสั้นขายาว ทุ่งดอกไม้ คอปกโอรสขอบกรม (กปก) 2XL</v>
          </cell>
          <cell r="E10948">
            <v>0</v>
          </cell>
          <cell r="F10948">
            <v>890</v>
          </cell>
        </row>
        <row r="10949">
          <cell r="A10949" t="str">
            <v>ST0960-3XL</v>
          </cell>
          <cell r="B10949" t="str">
            <v>T960</v>
          </cell>
          <cell r="C10949" t="str">
            <v>ซาติน แขนสั้นขายาว ทุ่งดอกไม้ คอปกโอรสขอบกรม (กปก) 3XL</v>
          </cell>
          <cell r="E10949">
            <v>0</v>
          </cell>
          <cell r="F10949">
            <v>890</v>
          </cell>
        </row>
        <row r="10950">
          <cell r="A10950" t="str">
            <v>ST0960-L</v>
          </cell>
          <cell r="B10950" t="str">
            <v>T960</v>
          </cell>
          <cell r="C10950" t="str">
            <v>ซาติน แขนสั้นขายาว ทุ่งดอกไม้ คอปกโอรสขอบกรม (กปก) L</v>
          </cell>
          <cell r="E10950">
            <v>0</v>
          </cell>
          <cell r="F10950">
            <v>890</v>
          </cell>
        </row>
        <row r="10951">
          <cell r="A10951" t="str">
            <v>ST0960-M</v>
          </cell>
          <cell r="B10951" t="str">
            <v>T960</v>
          </cell>
          <cell r="C10951" t="str">
            <v>ซาติน แขนสั้นขายาว ทุ่งดอกไม้ คอปกโอรสขอบกรม (กปก) M</v>
          </cell>
          <cell r="E10951">
            <v>0</v>
          </cell>
          <cell r="F10951">
            <v>890</v>
          </cell>
        </row>
        <row r="10952">
          <cell r="A10952" t="str">
            <v>ST0960-XL</v>
          </cell>
          <cell r="B10952" t="str">
            <v>T960</v>
          </cell>
          <cell r="C10952" t="str">
            <v>ซาติน แขนสั้นขายาว ทุ่งดอกไม้ คอปกโอรสขอบกรม (กปก) XL</v>
          </cell>
          <cell r="E10952">
            <v>0</v>
          </cell>
          <cell r="F10952">
            <v>890</v>
          </cell>
        </row>
        <row r="10953">
          <cell r="A10953" t="str">
            <v>ST0961-2XL</v>
          </cell>
          <cell r="B10953" t="str">
            <v>QT961</v>
          </cell>
          <cell r="C10953" t="str">
            <v>แขนสั้นขายาว (กปก) พื้นเขียว สวนดอกไม้ 2XL QC</v>
          </cell>
          <cell r="E10953">
            <v>0</v>
          </cell>
          <cell r="F10953">
            <v>890</v>
          </cell>
        </row>
        <row r="10954">
          <cell r="A10954" t="str">
            <v>ST0961-3XL</v>
          </cell>
          <cell r="B10954" t="str">
            <v>T961</v>
          </cell>
          <cell r="C10954" t="str">
            <v>แขนสั้นขายาว (กปก) พื้นเขียว สวนดอกไม้ 3XL</v>
          </cell>
          <cell r="E10954">
            <v>0</v>
          </cell>
          <cell r="F10954">
            <v>890</v>
          </cell>
        </row>
        <row r="10955">
          <cell r="A10955" t="str">
            <v>ST0961-L</v>
          </cell>
          <cell r="B10955" t="str">
            <v>T961</v>
          </cell>
          <cell r="C10955" t="str">
            <v>แขนสั้นขายาว (กปก) พื้นเขียว สวนดอกไม้ L</v>
          </cell>
          <cell r="E10955">
            <v>0</v>
          </cell>
          <cell r="F10955">
            <v>890</v>
          </cell>
        </row>
        <row r="10956">
          <cell r="A10956" t="str">
            <v>ST0961-M</v>
          </cell>
          <cell r="B10956" t="str">
            <v>T961</v>
          </cell>
          <cell r="C10956" t="str">
            <v>แขนสั้นขายาว (กปก) พื้นเขียว สวนดอกไม้ M</v>
          </cell>
          <cell r="E10956">
            <v>0</v>
          </cell>
          <cell r="F10956">
            <v>890</v>
          </cell>
        </row>
        <row r="10957">
          <cell r="A10957" t="str">
            <v>ST0961-XL</v>
          </cell>
          <cell r="B10957" t="str">
            <v>QT961</v>
          </cell>
          <cell r="C10957" t="str">
            <v>แขนสั้นขายาว (กปก) พื้นเขียว สวนดอกไม้ XL QC</v>
          </cell>
          <cell r="E10957">
            <v>0</v>
          </cell>
          <cell r="F10957">
            <v>890</v>
          </cell>
        </row>
        <row r="10958">
          <cell r="A10958" t="str">
            <v>ST0962-2XL</v>
          </cell>
          <cell r="B10958" t="str">
            <v>T962</v>
          </cell>
          <cell r="C10958" t="str">
            <v>ซาติน แขนสั้นขายาว พื้นครีม สตอเบอรี่ 2XL</v>
          </cell>
          <cell r="E10958">
            <v>0</v>
          </cell>
          <cell r="F10958">
            <v>890</v>
          </cell>
        </row>
        <row r="10959">
          <cell r="A10959" t="str">
            <v>ST0962-3XL</v>
          </cell>
          <cell r="B10959" t="str">
            <v>QT962</v>
          </cell>
          <cell r="C10959" t="str">
            <v>ซาติน แขนสั้นขายาว พื้นครีม สตอเบอรี่ 3XL QC</v>
          </cell>
          <cell r="E10959">
            <v>0</v>
          </cell>
          <cell r="F10959">
            <v>890</v>
          </cell>
        </row>
        <row r="10960">
          <cell r="A10960" t="str">
            <v>ST0962-L</v>
          </cell>
          <cell r="B10960" t="str">
            <v>T962</v>
          </cell>
          <cell r="C10960" t="str">
            <v>ซาติน แขนสั้นขายาว พื้นครีม สตอเบอรี่ L</v>
          </cell>
          <cell r="E10960">
            <v>0</v>
          </cell>
          <cell r="F10960">
            <v>890</v>
          </cell>
        </row>
        <row r="10961">
          <cell r="A10961" t="str">
            <v>ST0962-M</v>
          </cell>
          <cell r="B10961" t="str">
            <v>T962</v>
          </cell>
          <cell r="C10961" t="str">
            <v>ซาติน แขนสั้นขายาว พื้นครีม สตอเบอรี่ M</v>
          </cell>
          <cell r="E10961">
            <v>0</v>
          </cell>
          <cell r="F10961">
            <v>890</v>
          </cell>
        </row>
        <row r="10962">
          <cell r="A10962" t="str">
            <v>ST0962-XL</v>
          </cell>
          <cell r="B10962" t="str">
            <v>T962</v>
          </cell>
          <cell r="C10962" t="str">
            <v>ซาติน แขนสั้นขายาว พื้นครีม สตอเบอรี่ XL</v>
          </cell>
          <cell r="E10962">
            <v>0</v>
          </cell>
          <cell r="F10962">
            <v>890</v>
          </cell>
        </row>
        <row r="10963">
          <cell r="A10963" t="str">
            <v>ST0963-2XL</v>
          </cell>
          <cell r="B10963" t="str">
            <v>T963</v>
          </cell>
          <cell r="C10963" t="str">
            <v>ซาติน แขนสั้นขายาว (กปก) เทพีผมม่วง 2XL</v>
          </cell>
          <cell r="E10963">
            <v>0</v>
          </cell>
          <cell r="F10963">
            <v>890</v>
          </cell>
        </row>
        <row r="10964">
          <cell r="A10964" t="str">
            <v>ST0963-3XL</v>
          </cell>
          <cell r="B10964" t="str">
            <v>T963</v>
          </cell>
          <cell r="C10964" t="str">
            <v>ซาติน แขนสั้นขายาว (กปก) เทพีผมม่วง 3XL</v>
          </cell>
          <cell r="E10964">
            <v>0</v>
          </cell>
          <cell r="F10964">
            <v>890</v>
          </cell>
        </row>
        <row r="10965">
          <cell r="A10965" t="str">
            <v>ST0963-L</v>
          </cell>
          <cell r="B10965" t="str">
            <v>T963</v>
          </cell>
          <cell r="C10965" t="str">
            <v>ซาติน แขนสั้นขายาว (กปก) เทพีผมม่วง L</v>
          </cell>
          <cell r="E10965">
            <v>0</v>
          </cell>
          <cell r="F10965">
            <v>890</v>
          </cell>
        </row>
        <row r="10966">
          <cell r="A10966" t="str">
            <v>ST0963-M</v>
          </cell>
          <cell r="B10966" t="str">
            <v>T963</v>
          </cell>
          <cell r="C10966" t="str">
            <v>ซาติน แขนสั้นขายาว (กปก) เทพีผมม่วง M</v>
          </cell>
          <cell r="E10966">
            <v>0</v>
          </cell>
          <cell r="F10966">
            <v>890</v>
          </cell>
        </row>
        <row r="10967">
          <cell r="A10967" t="str">
            <v>ST0963-XL</v>
          </cell>
          <cell r="B10967" t="str">
            <v>T963</v>
          </cell>
          <cell r="C10967" t="str">
            <v>ซาติน แขนสั้นขายาว (กปก) เทพีผมม่วง XL</v>
          </cell>
          <cell r="E10967">
            <v>0</v>
          </cell>
          <cell r="F10967">
            <v>890</v>
          </cell>
        </row>
        <row r="10968">
          <cell r="A10968" t="str">
            <v>ST0964-2XL</v>
          </cell>
          <cell r="B10968" t="str">
            <v>T964</v>
          </cell>
          <cell r="C10968" t="str">
            <v>ซาติน แขนสั้นขายาว ทิวลิปชมพูพื้นฟ้า  (กปก) 2XL</v>
          </cell>
          <cell r="E10968">
            <v>0</v>
          </cell>
          <cell r="F10968">
            <v>890</v>
          </cell>
        </row>
        <row r="10969">
          <cell r="A10969" t="str">
            <v>ST0964-3XL</v>
          </cell>
          <cell r="B10969" t="str">
            <v>T964</v>
          </cell>
          <cell r="C10969" t="str">
            <v>ซาติน แขนสั้นขายาว ทิวลิปชมพูพื้นฟ้า  (กปก) 3XL</v>
          </cell>
          <cell r="E10969">
            <v>0</v>
          </cell>
          <cell r="F10969">
            <v>890</v>
          </cell>
        </row>
        <row r="10970">
          <cell r="A10970" t="str">
            <v>ST0964-L</v>
          </cell>
          <cell r="B10970" t="str">
            <v>T964</v>
          </cell>
          <cell r="C10970" t="str">
            <v>ซาติน แขนสั้นขายาว ทิวลิปชมพูพื้นฟ้า  (กปก) L</v>
          </cell>
          <cell r="E10970">
            <v>0</v>
          </cell>
          <cell r="F10970">
            <v>890</v>
          </cell>
        </row>
        <row r="10971">
          <cell r="A10971" t="str">
            <v>ST0964-M</v>
          </cell>
          <cell r="B10971" t="str">
            <v>T964</v>
          </cell>
          <cell r="C10971" t="str">
            <v>ซาติน แขนสั้นขายาว ทิวลิปชมพูพื้นฟ้า  (กปก) M</v>
          </cell>
          <cell r="E10971">
            <v>0</v>
          </cell>
          <cell r="F10971">
            <v>890</v>
          </cell>
        </row>
        <row r="10972">
          <cell r="A10972" t="str">
            <v>ST0964-XL</v>
          </cell>
          <cell r="B10972" t="str">
            <v>T964</v>
          </cell>
          <cell r="C10972" t="str">
            <v>ซาติน แขนสั้นขายาว ทิวลิปชมพูพื้นฟ้า  (กปก)  XL</v>
          </cell>
          <cell r="E10972">
            <v>0</v>
          </cell>
          <cell r="F10972">
            <v>890</v>
          </cell>
        </row>
        <row r="10973">
          <cell r="A10973" t="str">
            <v>ST0965-2XL</v>
          </cell>
          <cell r="B10973" t="str">
            <v>QT965</v>
          </cell>
          <cell r="C10973" t="str">
            <v>ซาติน   แขนสั้นขายาว (กปก) พื้นขาว ขอบเขียว 2XL QC</v>
          </cell>
          <cell r="E10973">
            <v>0</v>
          </cell>
          <cell r="F10973">
            <v>890</v>
          </cell>
        </row>
        <row r="10974">
          <cell r="A10974" t="str">
            <v>ST0965-3XL</v>
          </cell>
          <cell r="B10974" t="str">
            <v>T965</v>
          </cell>
          <cell r="C10974" t="str">
            <v>ซาติน   แขนสั้นขายาว (กปก) พื้นขาว ขอบเขียว 3XL</v>
          </cell>
          <cell r="E10974">
            <v>0</v>
          </cell>
          <cell r="F10974">
            <v>890</v>
          </cell>
        </row>
        <row r="10975">
          <cell r="A10975" t="str">
            <v>ST0965-L</v>
          </cell>
          <cell r="B10975" t="str">
            <v>QT965</v>
          </cell>
          <cell r="C10975" t="str">
            <v>ซาติน   แขนสั้น ขายาว (กปก) พื้นขาว ขอบเขียว L QC</v>
          </cell>
          <cell r="E10975">
            <v>0</v>
          </cell>
          <cell r="F10975">
            <v>890</v>
          </cell>
        </row>
        <row r="10976">
          <cell r="A10976" t="str">
            <v>ST0965-M</v>
          </cell>
          <cell r="B10976" t="str">
            <v>QT965</v>
          </cell>
          <cell r="C10976" t="str">
            <v>ซาติน   แขนสั้น ขายาว (กปก) พื้นขาว ขอบเขียว M QC</v>
          </cell>
          <cell r="E10976">
            <v>0</v>
          </cell>
          <cell r="F10976">
            <v>890</v>
          </cell>
        </row>
        <row r="10977">
          <cell r="A10977" t="str">
            <v>ST0965-XL</v>
          </cell>
          <cell r="B10977" t="str">
            <v>T965</v>
          </cell>
          <cell r="C10977" t="str">
            <v>ซาติน   แขนสั้น ขายาว (กปก) พื้นขาว ขอบเขียว XL</v>
          </cell>
          <cell r="E10977">
            <v>0</v>
          </cell>
          <cell r="F10977">
            <v>890</v>
          </cell>
        </row>
        <row r="10978">
          <cell r="A10978" t="str">
            <v>ST0966-2XL</v>
          </cell>
          <cell r="B10978" t="str">
            <v>T966</v>
          </cell>
          <cell r="C10978" t="str">
            <v>ซาติน แขนสั้นขายาว ดอกไม้หลากสี พื้นม่วง  (กปก) 2XL</v>
          </cell>
          <cell r="E10978">
            <v>0</v>
          </cell>
          <cell r="F10978">
            <v>890</v>
          </cell>
        </row>
        <row r="10979">
          <cell r="A10979" t="str">
            <v>ST0966-3XL</v>
          </cell>
          <cell r="B10979" t="str">
            <v>T966</v>
          </cell>
          <cell r="C10979" t="str">
            <v>ซาติน แขนสั้นขายาว ดอกไม้หลากสี พื้นม่วง  (กปก) 3XL</v>
          </cell>
          <cell r="E10979">
            <v>0</v>
          </cell>
          <cell r="F10979">
            <v>890</v>
          </cell>
        </row>
        <row r="10980">
          <cell r="A10980" t="str">
            <v>ST0966-L</v>
          </cell>
          <cell r="B10980" t="str">
            <v>T966</v>
          </cell>
          <cell r="C10980" t="str">
            <v>ซาติน แขนสั้นขายาว ดอกไม้หลากสี พื้นม่วง  (กปก) L</v>
          </cell>
          <cell r="E10980">
            <v>0</v>
          </cell>
          <cell r="F10980">
            <v>890</v>
          </cell>
        </row>
        <row r="10981">
          <cell r="A10981" t="str">
            <v>ST0966-M</v>
          </cell>
          <cell r="B10981" t="str">
            <v>T966</v>
          </cell>
          <cell r="C10981" t="str">
            <v>ซาติน แขนสั้นขายาว ดอกไม้หลากสี พื้นม่วง (กปก) M</v>
          </cell>
          <cell r="E10981">
            <v>0</v>
          </cell>
          <cell r="F10981">
            <v>890</v>
          </cell>
        </row>
        <row r="10982">
          <cell r="A10982" t="str">
            <v>ST0966-XL</v>
          </cell>
          <cell r="B10982" t="str">
            <v>T966</v>
          </cell>
          <cell r="C10982" t="str">
            <v>ซาติน แขนสั้นขายาว ดอกไม้หลากสี พื้นม่วง  (กปก) XL</v>
          </cell>
          <cell r="E10982">
            <v>0</v>
          </cell>
          <cell r="F10982">
            <v>890</v>
          </cell>
        </row>
        <row r="10983">
          <cell r="A10983" t="str">
            <v>ST0967-2XL</v>
          </cell>
          <cell r="B10983" t="str">
            <v>T967</v>
          </cell>
          <cell r="C10983" t="str">
            <v>ซาติน แขนสั้นขายาว ทิวลิปชมพูพื้นฟ้าคราม  2XL</v>
          </cell>
          <cell r="E10983">
            <v>0</v>
          </cell>
          <cell r="F10983">
            <v>890</v>
          </cell>
        </row>
        <row r="10984">
          <cell r="A10984" t="str">
            <v>ST0967-3XL</v>
          </cell>
          <cell r="B10984" t="str">
            <v>T967</v>
          </cell>
          <cell r="C10984" t="str">
            <v>ซาติน แขนสั้นขายาว ทิวลิปชมพูพื้นฟ้าคราม  3XL</v>
          </cell>
          <cell r="E10984">
            <v>0</v>
          </cell>
          <cell r="F10984">
            <v>890</v>
          </cell>
        </row>
        <row r="10985">
          <cell r="A10985" t="str">
            <v>ST0967-L</v>
          </cell>
          <cell r="B10985" t="str">
            <v>QT967</v>
          </cell>
          <cell r="C10985" t="str">
            <v>ซาติน แขนสั้นขายาว ทิวลิปชมพูพื้นฟ้าคราม  L QC</v>
          </cell>
          <cell r="E10985">
            <v>0</v>
          </cell>
          <cell r="F10985">
            <v>890</v>
          </cell>
        </row>
        <row r="10986">
          <cell r="A10986" t="str">
            <v>ST0967-M</v>
          </cell>
          <cell r="B10986" t="str">
            <v>QT967</v>
          </cell>
          <cell r="C10986" t="str">
            <v>ซาติน แขนสั้นขายาว ทิวลิปชมพูพื้นฟ้าคราม  M QC</v>
          </cell>
          <cell r="E10986">
            <v>0</v>
          </cell>
          <cell r="F10986">
            <v>890</v>
          </cell>
        </row>
        <row r="10987">
          <cell r="A10987" t="str">
            <v>ST0967-XL</v>
          </cell>
          <cell r="B10987" t="str">
            <v>T967</v>
          </cell>
          <cell r="C10987" t="str">
            <v>ซาติน แขนสั้นขายาว ทิวลิปชมพูพื้นฟ้าคราม  XL</v>
          </cell>
          <cell r="E10987">
            <v>0</v>
          </cell>
          <cell r="F10987">
            <v>890</v>
          </cell>
        </row>
        <row r="10988">
          <cell r="A10988" t="str">
            <v>ST0968-2XL</v>
          </cell>
          <cell r="B10988" t="str">
            <v>T968</v>
          </cell>
          <cell r="C10988" t="str">
            <v>แขนสั้นขายาว  พื้นเขียว ขอบขาว ดอกชมพู 2XL</v>
          </cell>
          <cell r="E10988">
            <v>0</v>
          </cell>
          <cell r="F10988">
            <v>890</v>
          </cell>
        </row>
        <row r="10989">
          <cell r="A10989" t="str">
            <v>ST0968-3XL</v>
          </cell>
          <cell r="B10989" t="str">
            <v>T968</v>
          </cell>
          <cell r="C10989" t="str">
            <v>แขนสั้นขายาว  พื้นเขียว ขอบขาว ดอกชมพู 3XL</v>
          </cell>
          <cell r="E10989">
            <v>0</v>
          </cell>
          <cell r="F10989">
            <v>890</v>
          </cell>
        </row>
        <row r="10990">
          <cell r="A10990" t="str">
            <v>ST0968-L</v>
          </cell>
          <cell r="B10990" t="str">
            <v>T968</v>
          </cell>
          <cell r="C10990" t="str">
            <v>แขนสั้นขายาว  พื้นเขียว ขอบขาว ดอกชมพู L</v>
          </cell>
          <cell r="E10990">
            <v>0</v>
          </cell>
          <cell r="F10990">
            <v>890</v>
          </cell>
        </row>
        <row r="10991">
          <cell r="A10991" t="str">
            <v>ST0968-M</v>
          </cell>
          <cell r="B10991" t="str">
            <v>T968</v>
          </cell>
          <cell r="C10991" t="str">
            <v>แขนสั้นขายาว พื้นเขียว ขอบขาว ดอกชมพู M</v>
          </cell>
          <cell r="E10991">
            <v>0</v>
          </cell>
          <cell r="F10991">
            <v>890</v>
          </cell>
        </row>
        <row r="10992">
          <cell r="A10992" t="str">
            <v>ST0968-XL</v>
          </cell>
          <cell r="B10992" t="str">
            <v>T968</v>
          </cell>
          <cell r="C10992" t="str">
            <v>แขนสั้นขายาว พื้นเขียว ขอบขาว ดอกชมพู XL</v>
          </cell>
          <cell r="E10992">
            <v>0</v>
          </cell>
          <cell r="F10992">
            <v>890</v>
          </cell>
        </row>
        <row r="10993">
          <cell r="A10993" t="str">
            <v>ST0970-2XL</v>
          </cell>
          <cell r="B10993" t="str">
            <v>T970</v>
          </cell>
          <cell r="C10993" t="str">
            <v>ซาติน แขนสั้นขายาว น้องหมี ลายทาง ฟ้าขาว 2XL (กปก)</v>
          </cell>
          <cell r="E10993">
            <v>0</v>
          </cell>
          <cell r="F10993">
            <v>890</v>
          </cell>
        </row>
        <row r="10994">
          <cell r="A10994" t="str">
            <v>ST0970-3XL</v>
          </cell>
          <cell r="B10994" t="str">
            <v>T970</v>
          </cell>
          <cell r="C10994" t="str">
            <v>ซาติน แขนสั้นขายาว น้องหมี ลายทาง ฟ้าขาว 3XL (กปก)</v>
          </cell>
          <cell r="E10994">
            <v>0</v>
          </cell>
          <cell r="F10994">
            <v>890</v>
          </cell>
        </row>
        <row r="10995">
          <cell r="A10995" t="str">
            <v>ST0970-L</v>
          </cell>
          <cell r="B10995" t="str">
            <v>T970</v>
          </cell>
          <cell r="C10995" t="str">
            <v>ซาติน แขนสั้นขายาว น้องหมี ลายทาง ฟ้าขาว L (กปก)</v>
          </cell>
          <cell r="E10995">
            <v>0</v>
          </cell>
          <cell r="F10995">
            <v>890</v>
          </cell>
        </row>
        <row r="10996">
          <cell r="A10996" t="str">
            <v>ST0970-M</v>
          </cell>
          <cell r="B10996" t="str">
            <v>T970</v>
          </cell>
          <cell r="C10996" t="str">
            <v>ซาติน แขนสั้นขายาว น้องหมี ลายทาง ฟ้าขาว M (กปก)</v>
          </cell>
          <cell r="E10996">
            <v>0</v>
          </cell>
          <cell r="F10996">
            <v>890</v>
          </cell>
        </row>
        <row r="10997">
          <cell r="A10997" t="str">
            <v>ST0970-XL</v>
          </cell>
          <cell r="B10997" t="str">
            <v>T970</v>
          </cell>
          <cell r="C10997" t="str">
            <v>ซาติน แขนสั้นขายาว น้องหมี ลายทาง ฟ้าขาว XL (กปก)</v>
          </cell>
          <cell r="E10997">
            <v>0</v>
          </cell>
          <cell r="F10997">
            <v>890</v>
          </cell>
        </row>
        <row r="10998">
          <cell r="A10998" t="str">
            <v>ST0971-2XL</v>
          </cell>
          <cell r="B10998" t="str">
            <v>T971</v>
          </cell>
          <cell r="C10998" t="str">
            <v>ซาติน แขนสั้นขายาว Cute Rabbit 2XL</v>
          </cell>
          <cell r="E10998">
            <v>0</v>
          </cell>
          <cell r="F10998">
            <v>890</v>
          </cell>
        </row>
        <row r="10999">
          <cell r="A10999" t="str">
            <v>ST0971-3XL</v>
          </cell>
          <cell r="B10999" t="str">
            <v>T971</v>
          </cell>
          <cell r="C10999" t="str">
            <v>ซาติน แขนสั้นขายาว Cute Rabbit 3XL</v>
          </cell>
          <cell r="E10999">
            <v>0</v>
          </cell>
          <cell r="F10999">
            <v>890</v>
          </cell>
        </row>
        <row r="11000">
          <cell r="A11000" t="str">
            <v>ST0971-L</v>
          </cell>
          <cell r="B11000" t="str">
            <v>T971</v>
          </cell>
          <cell r="C11000" t="str">
            <v>ซาติน แขนสั้นขายาว Cute Rabbit L</v>
          </cell>
          <cell r="E11000">
            <v>0</v>
          </cell>
          <cell r="F11000">
            <v>890</v>
          </cell>
        </row>
        <row r="11001">
          <cell r="A11001" t="str">
            <v>ST0971-M</v>
          </cell>
          <cell r="B11001" t="str">
            <v>T971</v>
          </cell>
          <cell r="C11001" t="str">
            <v>ซาติน แขนสั้นขายาว Cute Rabbit M</v>
          </cell>
          <cell r="E11001">
            <v>0</v>
          </cell>
          <cell r="F11001">
            <v>890</v>
          </cell>
        </row>
        <row r="11002">
          <cell r="A11002" t="str">
            <v>ST0971-XL</v>
          </cell>
          <cell r="B11002" t="str">
            <v>T971</v>
          </cell>
          <cell r="C11002" t="str">
            <v>ซาติน แขนสั้นขายาว Cute Rabbit XL</v>
          </cell>
          <cell r="E11002">
            <v>0</v>
          </cell>
          <cell r="F11002">
            <v>890</v>
          </cell>
        </row>
        <row r="11003">
          <cell r="A11003" t="str">
            <v>ST0972-2XL</v>
          </cell>
          <cell r="B11003" t="str">
            <v>T972</v>
          </cell>
          <cell r="C11003" t="str">
            <v>ซาติน แขนสั้นขายาว สุนัขรวม พื้นครีม 2XL (กปก)</v>
          </cell>
          <cell r="E11003">
            <v>0</v>
          </cell>
          <cell r="F11003">
            <v>890</v>
          </cell>
        </row>
        <row r="11004">
          <cell r="A11004" t="str">
            <v>ST0972-3XL</v>
          </cell>
          <cell r="B11004" t="str">
            <v>T972</v>
          </cell>
          <cell r="C11004" t="str">
            <v>ซาติน แขนสั้นขายาว สุนัขรวม พื้นครีม 3XL (กปก)</v>
          </cell>
          <cell r="E11004">
            <v>0</v>
          </cell>
          <cell r="F11004">
            <v>890</v>
          </cell>
        </row>
        <row r="11005">
          <cell r="A11005" t="str">
            <v>ST0972-L</v>
          </cell>
          <cell r="B11005" t="str">
            <v>T972</v>
          </cell>
          <cell r="C11005" t="str">
            <v>ซาติน แขนสั้นขายาว สุนัขรวม พื้นครีม L (กปก)</v>
          </cell>
          <cell r="E11005">
            <v>0</v>
          </cell>
          <cell r="F11005">
            <v>890</v>
          </cell>
        </row>
        <row r="11006">
          <cell r="A11006" t="str">
            <v>ST0972-M</v>
          </cell>
          <cell r="B11006" t="str">
            <v>T972</v>
          </cell>
          <cell r="C11006" t="str">
            <v>ซาติน แขนสั้นขายาว สุนัขรวม พื้นครีม M (กปก)</v>
          </cell>
          <cell r="E11006">
            <v>0</v>
          </cell>
          <cell r="F11006">
            <v>890</v>
          </cell>
        </row>
        <row r="11007">
          <cell r="A11007" t="str">
            <v>ST0972-XL</v>
          </cell>
          <cell r="B11007" t="str">
            <v>T972</v>
          </cell>
          <cell r="C11007" t="str">
            <v>ซาติน แขนสั้นขายาว สุนัขรวม พื้นครีม XL (กปก)</v>
          </cell>
          <cell r="E11007">
            <v>0</v>
          </cell>
          <cell r="F11007">
            <v>890</v>
          </cell>
        </row>
        <row r="11008">
          <cell r="A11008" t="str">
            <v>ST0973-2XL</v>
          </cell>
          <cell r="B11008" t="str">
            <v>T973</v>
          </cell>
          <cell r="C11008" t="str">
            <v>ซาติน แขนสั้นขายาว Rabbit Flower พื้นขาว 2XL (กปก)</v>
          </cell>
          <cell r="E11008">
            <v>0</v>
          </cell>
          <cell r="F11008">
            <v>890</v>
          </cell>
        </row>
        <row r="11009">
          <cell r="A11009" t="str">
            <v>ST0973-3XL</v>
          </cell>
          <cell r="B11009" t="str">
            <v>T973</v>
          </cell>
          <cell r="C11009" t="str">
            <v>ซาติน แขนสั้นขายาว Rabbit Flower พื้นขาว 3XL (กปก)</v>
          </cell>
          <cell r="E11009">
            <v>0</v>
          </cell>
          <cell r="F11009">
            <v>890</v>
          </cell>
        </row>
        <row r="11010">
          <cell r="A11010" t="str">
            <v>ST0973-L</v>
          </cell>
          <cell r="B11010" t="str">
            <v>T973</v>
          </cell>
          <cell r="C11010" t="str">
            <v>ซาติน แขนสั้นขายาว Rabbit Flower พื้นขาว L (กปก)</v>
          </cell>
          <cell r="E11010">
            <v>0</v>
          </cell>
          <cell r="F11010">
            <v>590</v>
          </cell>
        </row>
        <row r="11011">
          <cell r="A11011" t="str">
            <v>ST0973-M</v>
          </cell>
          <cell r="B11011" t="str">
            <v>QT973</v>
          </cell>
          <cell r="C11011" t="str">
            <v>ซาติน แขนสั้นขายาว Rabbit Flower พื้นขาว M (กปก) QC</v>
          </cell>
          <cell r="E11011">
            <v>0</v>
          </cell>
          <cell r="F11011">
            <v>890</v>
          </cell>
        </row>
        <row r="11012">
          <cell r="A11012" t="str">
            <v>ST0973-XL</v>
          </cell>
          <cell r="B11012" t="str">
            <v>T973</v>
          </cell>
          <cell r="C11012" t="str">
            <v>ซาติน แขนสั้นขายาว Rabbit Flower พื้นขาว XL (กปก)</v>
          </cell>
          <cell r="E11012">
            <v>0</v>
          </cell>
          <cell r="F11012">
            <v>890</v>
          </cell>
        </row>
        <row r="11013">
          <cell r="A11013" t="str">
            <v>ST0974-2XL</v>
          </cell>
          <cell r="B11013" t="str">
            <v>T974</v>
          </cell>
          <cell r="C11013" t="str">
            <v>ซาติน แขนสั้นขายาว ผีเสื้อชมพู พื้นเขียว 2XL (กปก)</v>
          </cell>
          <cell r="E11013">
            <v>0</v>
          </cell>
          <cell r="F11013">
            <v>890</v>
          </cell>
        </row>
        <row r="11014">
          <cell r="A11014" t="str">
            <v>ST0974-3XL</v>
          </cell>
          <cell r="B11014" t="str">
            <v>T974</v>
          </cell>
          <cell r="C11014" t="str">
            <v>ซาติน แขนสั้นขายาว ผีเสื้อชมพู พื้นเขียว 3XL (กปก)</v>
          </cell>
          <cell r="E11014">
            <v>0</v>
          </cell>
          <cell r="F11014">
            <v>890</v>
          </cell>
        </row>
        <row r="11015">
          <cell r="A11015" t="str">
            <v>ST0974-L</v>
          </cell>
          <cell r="B11015" t="str">
            <v>T974</v>
          </cell>
          <cell r="C11015" t="str">
            <v>ซาติน แขนสั้นขายาว ผีเสื้อชมพู พื้นเขียว L (กปก)</v>
          </cell>
          <cell r="E11015">
            <v>0</v>
          </cell>
          <cell r="F11015">
            <v>890</v>
          </cell>
        </row>
        <row r="11016">
          <cell r="A11016" t="str">
            <v>ST0974-M</v>
          </cell>
          <cell r="B11016" t="str">
            <v>T974</v>
          </cell>
          <cell r="C11016" t="str">
            <v>ซาติน แขนสั้นขายาว ผีเสื้อชมพู พื้นเขียว M (กปก)</v>
          </cell>
          <cell r="E11016">
            <v>0</v>
          </cell>
          <cell r="F11016">
            <v>890</v>
          </cell>
        </row>
        <row r="11017">
          <cell r="A11017" t="str">
            <v>ST0974-XL</v>
          </cell>
          <cell r="B11017" t="str">
            <v>T974</v>
          </cell>
          <cell r="C11017" t="str">
            <v>ซาติน แขนสั้นขายาว ผีเสื้อชมพู พื้นเขียว XL (กปก)</v>
          </cell>
          <cell r="E11017">
            <v>0</v>
          </cell>
          <cell r="F11017">
            <v>890</v>
          </cell>
        </row>
        <row r="11018">
          <cell r="A11018" t="str">
            <v>ST0975-L</v>
          </cell>
          <cell r="B11018" t="str">
            <v>T975</v>
          </cell>
          <cell r="C11018" t="str">
            <v>ซาติน แขนสั้นขายาว หัวใจขาว พื้นฟ้า L (กปก)</v>
          </cell>
          <cell r="E11018">
            <v>0</v>
          </cell>
          <cell r="F11018">
            <v>890</v>
          </cell>
        </row>
        <row r="11019">
          <cell r="A11019" t="str">
            <v>ST0975-M</v>
          </cell>
          <cell r="B11019" t="str">
            <v>T975</v>
          </cell>
          <cell r="C11019" t="str">
            <v>ซาติน แขนสั้นขายาว หัวใจขาว พื้นฟ้า M (กปก)</v>
          </cell>
          <cell r="E11019">
            <v>0</v>
          </cell>
          <cell r="F11019">
            <v>890</v>
          </cell>
        </row>
        <row r="11020">
          <cell r="A11020" t="str">
            <v>ST0976-2XL</v>
          </cell>
          <cell r="B11020" t="str">
            <v>T976</v>
          </cell>
          <cell r="C11020" t="str">
            <v>ซาติน แขนสั้นขายาว ฟลามิงโก้ พื้นเขียว (กปก) 2XL</v>
          </cell>
          <cell r="E11020">
            <v>0</v>
          </cell>
          <cell r="F11020">
            <v>890</v>
          </cell>
        </row>
        <row r="11021">
          <cell r="A11021" t="str">
            <v>ST0976-3XL</v>
          </cell>
          <cell r="B11021" t="str">
            <v>QT976</v>
          </cell>
          <cell r="C11021" t="str">
            <v>ซาติน แขนสั้นขายาว ฟลามิงโก้ พื้นเขียว (กปก) 3XL QC</v>
          </cell>
          <cell r="E11021">
            <v>0</v>
          </cell>
          <cell r="F11021">
            <v>890</v>
          </cell>
        </row>
        <row r="11022">
          <cell r="A11022" t="str">
            <v>ST0976-L</v>
          </cell>
          <cell r="B11022" t="str">
            <v>T976</v>
          </cell>
          <cell r="C11022" t="str">
            <v>ซาติน แขนสั้นขายาว ฟลามิงโก้ พื้นเขียว (กปก) L</v>
          </cell>
          <cell r="E11022">
            <v>0</v>
          </cell>
          <cell r="F11022">
            <v>890</v>
          </cell>
        </row>
        <row r="11023">
          <cell r="A11023" t="str">
            <v>ST0976-M</v>
          </cell>
          <cell r="B11023" t="str">
            <v>T976</v>
          </cell>
          <cell r="C11023" t="str">
            <v>ซาติน แขนสั้นขายาว ฟลามิงโก้ พื้นเขียว (กปก) M</v>
          </cell>
          <cell r="E11023">
            <v>0</v>
          </cell>
          <cell r="F11023">
            <v>890</v>
          </cell>
        </row>
        <row r="11024">
          <cell r="A11024" t="str">
            <v>ST0976-XL</v>
          </cell>
          <cell r="B11024" t="str">
            <v>T976</v>
          </cell>
          <cell r="C11024" t="str">
            <v>ซาติน แขนสั้นขายาว ฟลามิงโก้ พื้นเขียว (กปก) XL</v>
          </cell>
          <cell r="E11024">
            <v>0</v>
          </cell>
          <cell r="F11024">
            <v>890</v>
          </cell>
        </row>
        <row r="11025">
          <cell r="A11025" t="str">
            <v>ST0977-2XL</v>
          </cell>
          <cell r="B11025" t="str">
            <v>T977</v>
          </cell>
          <cell r="C11025" t="str">
            <v>ซาติน แขนสั้นขายาว Butterfly พื้นชมพู คอวี 2XL (กปก)</v>
          </cell>
          <cell r="E11025">
            <v>0</v>
          </cell>
          <cell r="F11025">
            <v>890</v>
          </cell>
        </row>
        <row r="11026">
          <cell r="A11026" t="str">
            <v>ST0977-L</v>
          </cell>
          <cell r="B11026" t="str">
            <v>T977</v>
          </cell>
          <cell r="C11026" t="str">
            <v>ซาติน แขนสั้นขายาว Butterfly พื้นชมพู คอวี L (กปก)</v>
          </cell>
          <cell r="E11026">
            <v>0</v>
          </cell>
          <cell r="F11026">
            <v>890</v>
          </cell>
        </row>
        <row r="11027">
          <cell r="A11027" t="str">
            <v>ST0977-M</v>
          </cell>
          <cell r="B11027" t="str">
            <v>T977</v>
          </cell>
          <cell r="C11027" t="str">
            <v>ซาติน แขนสั้นขายาว Butterfly พื้นชมพู คอวี M (กปก)</v>
          </cell>
          <cell r="E11027">
            <v>0</v>
          </cell>
          <cell r="F11027">
            <v>890</v>
          </cell>
        </row>
        <row r="11028">
          <cell r="A11028" t="str">
            <v>ST0977-XL</v>
          </cell>
          <cell r="B11028" t="str">
            <v>T977</v>
          </cell>
          <cell r="C11028" t="str">
            <v>ซาติน แขนสั้นขายาว  Butterfly พื้นชมพู คอวี XL (กปก)</v>
          </cell>
          <cell r="E11028">
            <v>0</v>
          </cell>
          <cell r="F11028">
            <v>890</v>
          </cell>
        </row>
        <row r="11029">
          <cell r="A11029" t="str">
            <v>ST0978-2XL</v>
          </cell>
          <cell r="B11029" t="str">
            <v>T978</v>
          </cell>
          <cell r="C11029" t="str">
            <v>ซาติน แขนสั้นขายาว กล้วยไม้น้ำตาล 2XL (กปก)</v>
          </cell>
          <cell r="E11029">
            <v>0</v>
          </cell>
          <cell r="F11029">
            <v>890</v>
          </cell>
        </row>
        <row r="11030">
          <cell r="A11030" t="str">
            <v>ST0978-3XL</v>
          </cell>
          <cell r="B11030" t="str">
            <v>T978</v>
          </cell>
          <cell r="C11030" t="str">
            <v>ซาติน แขนสั้นขายาว กล้วยไม้น้ำตาล 3XL (กปก)</v>
          </cell>
          <cell r="E11030">
            <v>0</v>
          </cell>
          <cell r="F11030">
            <v>890</v>
          </cell>
        </row>
        <row r="11031">
          <cell r="A11031" t="str">
            <v>ST0978-L</v>
          </cell>
          <cell r="B11031" t="str">
            <v>T978</v>
          </cell>
          <cell r="C11031" t="str">
            <v>ซาติน แขนสั้นขายาว กล้วยไม้น้ำตาล L (กปก)</v>
          </cell>
          <cell r="E11031">
            <v>0</v>
          </cell>
          <cell r="F11031">
            <v>890</v>
          </cell>
        </row>
        <row r="11032">
          <cell r="A11032" t="str">
            <v>ST0978-M</v>
          </cell>
          <cell r="B11032" t="str">
            <v>T978</v>
          </cell>
          <cell r="C11032" t="str">
            <v>ซาติน แขนสั้นขายาว กล้วยไม้น้ำตาล M (กปก)</v>
          </cell>
          <cell r="E11032">
            <v>0</v>
          </cell>
          <cell r="F11032">
            <v>890</v>
          </cell>
        </row>
        <row r="11033">
          <cell r="A11033" t="str">
            <v>ST0978-XL</v>
          </cell>
          <cell r="B11033" t="str">
            <v>T978</v>
          </cell>
          <cell r="C11033" t="str">
            <v>ซาติน แขนสั้นขายาว กล้วยไม้น้ำตาล XL (กปก)</v>
          </cell>
          <cell r="E11033">
            <v>0</v>
          </cell>
          <cell r="F11033">
            <v>890</v>
          </cell>
        </row>
        <row r="11034">
          <cell r="A11034" t="str">
            <v>ST0979-2XL</v>
          </cell>
          <cell r="B11034" t="str">
            <v>T979</v>
          </cell>
          <cell r="C11034" t="str">
            <v>ซาติน แขนสั้นขายาว ม้าลาย น้ำตาล (กปก) 2XL</v>
          </cell>
          <cell r="E11034">
            <v>0</v>
          </cell>
          <cell r="F11034">
            <v>890</v>
          </cell>
        </row>
        <row r="11035">
          <cell r="A11035" t="str">
            <v>ST0979-3XL</v>
          </cell>
          <cell r="B11035" t="str">
            <v>T979</v>
          </cell>
          <cell r="C11035" t="str">
            <v>ซาติน แขนสั้นขายาว ม้าลาย น้ำตาล (กปก) 3XL</v>
          </cell>
          <cell r="E11035">
            <v>0</v>
          </cell>
          <cell r="F11035">
            <v>890</v>
          </cell>
        </row>
        <row r="11036">
          <cell r="A11036" t="str">
            <v>ST0979-L</v>
          </cell>
          <cell r="B11036" t="str">
            <v>T979</v>
          </cell>
          <cell r="C11036" t="str">
            <v>ซาติน แขนสั้นขายาว ม้าลาย น้ำตาล (กปก) L</v>
          </cell>
          <cell r="E11036">
            <v>0</v>
          </cell>
          <cell r="F11036">
            <v>890</v>
          </cell>
        </row>
        <row r="11037">
          <cell r="A11037" t="str">
            <v>ST0979-M</v>
          </cell>
          <cell r="B11037" t="str">
            <v>T979</v>
          </cell>
          <cell r="C11037" t="str">
            <v>ซาติน แขนสั้นขายาว ม้าลาย น้ำตาล (กปก) M</v>
          </cell>
          <cell r="E11037">
            <v>0</v>
          </cell>
          <cell r="F11037">
            <v>890</v>
          </cell>
        </row>
        <row r="11038">
          <cell r="A11038" t="str">
            <v>ST0979-XL</v>
          </cell>
          <cell r="B11038" t="str">
            <v>T979</v>
          </cell>
          <cell r="C11038" t="str">
            <v>ซาติน แขนสั้นขายาว ม้าลาย น้ำตาล (กปก) XL</v>
          </cell>
          <cell r="E11038">
            <v>0</v>
          </cell>
          <cell r="F11038">
            <v>890</v>
          </cell>
        </row>
        <row r="11039">
          <cell r="A11039" t="str">
            <v>ST0980-2XL</v>
          </cell>
          <cell r="B11039" t="str">
            <v>T980</v>
          </cell>
          <cell r="C11039" t="str">
            <v>ซาติน แขนสั้นขายาว โบว์ชมพู (กปก) 2XL</v>
          </cell>
          <cell r="E11039">
            <v>0</v>
          </cell>
          <cell r="F11039">
            <v>890</v>
          </cell>
        </row>
        <row r="11040">
          <cell r="A11040" t="str">
            <v>ST0980-3XL</v>
          </cell>
          <cell r="B11040" t="str">
            <v>QT980</v>
          </cell>
          <cell r="C11040" t="str">
            <v>ซาติน แขนสั้นขายาว โบว์ชมพู (กปก) 3XL QC</v>
          </cell>
          <cell r="E11040">
            <v>0</v>
          </cell>
          <cell r="F11040">
            <v>890</v>
          </cell>
        </row>
        <row r="11041">
          <cell r="A11041" t="str">
            <v>ST0980-L</v>
          </cell>
          <cell r="B11041" t="str">
            <v>QT980</v>
          </cell>
          <cell r="C11041" t="str">
            <v>ซาติน แขนสั้นขายาว โบว์ชมพู (กปก) L QC</v>
          </cell>
          <cell r="E11041">
            <v>0</v>
          </cell>
          <cell r="F11041">
            <v>890</v>
          </cell>
        </row>
        <row r="11042">
          <cell r="A11042" t="str">
            <v>ST0980-M</v>
          </cell>
          <cell r="B11042" t="str">
            <v>T980</v>
          </cell>
          <cell r="C11042" t="str">
            <v>ซาติน แขนสั้นขายาว โบว์ชมพู (กปก) M</v>
          </cell>
          <cell r="E11042">
            <v>0</v>
          </cell>
          <cell r="F11042">
            <v>890</v>
          </cell>
        </row>
        <row r="11043">
          <cell r="A11043" t="str">
            <v>ST0980-XL</v>
          </cell>
          <cell r="B11043" t="str">
            <v>QT980</v>
          </cell>
          <cell r="C11043" t="str">
            <v>ซาติน แขนสั้นขายาว โบว์ชมพู (กปก) XL QC</v>
          </cell>
          <cell r="E11043">
            <v>0</v>
          </cell>
          <cell r="F11043">
            <v>890</v>
          </cell>
        </row>
        <row r="11044">
          <cell r="A11044" t="str">
            <v>ST0981-2XL</v>
          </cell>
          <cell r="B11044" t="str">
            <v>T981</v>
          </cell>
          <cell r="C11044" t="str">
            <v>ซาติน แขนสั้นขายาว กระต่ายลายทาง ชมพู (กปก) 2XL</v>
          </cell>
          <cell r="E11044">
            <v>0</v>
          </cell>
          <cell r="F11044">
            <v>890</v>
          </cell>
        </row>
        <row r="11045">
          <cell r="A11045" t="str">
            <v>ST0981-3XL</v>
          </cell>
          <cell r="B11045" t="str">
            <v>T981</v>
          </cell>
          <cell r="C11045" t="str">
            <v>ซาติน แขนสั้นขายาว กระต่ายลายทาง ชมพู (กปก) 3XL</v>
          </cell>
          <cell r="E11045">
            <v>0</v>
          </cell>
          <cell r="F11045">
            <v>890</v>
          </cell>
        </row>
        <row r="11046">
          <cell r="A11046" t="str">
            <v>ST0981-L</v>
          </cell>
          <cell r="B11046" t="str">
            <v>T981</v>
          </cell>
          <cell r="C11046" t="str">
            <v>ซาติน แขนสั้นขายาว กระต่ายลายทาง ชมพู (กปก) L</v>
          </cell>
          <cell r="E11046">
            <v>0</v>
          </cell>
          <cell r="F11046">
            <v>890</v>
          </cell>
        </row>
        <row r="11047">
          <cell r="A11047" t="str">
            <v>ST0981-M</v>
          </cell>
          <cell r="B11047" t="str">
            <v>T981</v>
          </cell>
          <cell r="C11047" t="str">
            <v>ซาติน แขนสั้นขายาว กระต่ายลายทาง ชมพู (กปก) M</v>
          </cell>
          <cell r="E11047">
            <v>0</v>
          </cell>
          <cell r="F11047">
            <v>890</v>
          </cell>
        </row>
        <row r="11048">
          <cell r="A11048" t="str">
            <v>ST0981-XL</v>
          </cell>
          <cell r="B11048" t="str">
            <v>T981</v>
          </cell>
          <cell r="C11048" t="str">
            <v>ซาติน แขนสั้นขายาว กระต่ายลายทาง ชมพู (กปก) XL</v>
          </cell>
          <cell r="E11048">
            <v>0</v>
          </cell>
          <cell r="F11048">
            <v>890</v>
          </cell>
        </row>
        <row r="11049">
          <cell r="A11049" t="str">
            <v>ST0982-2XL</v>
          </cell>
          <cell r="B11049" t="str">
            <v>T982</v>
          </cell>
          <cell r="C11049" t="str">
            <v>ซาติน แขนสั้นขายาว infinity ส้มปกครีม 2XL (กปก)</v>
          </cell>
          <cell r="E11049">
            <v>0</v>
          </cell>
          <cell r="F11049">
            <v>890</v>
          </cell>
        </row>
        <row r="11050">
          <cell r="A11050" t="str">
            <v>ST0982-L</v>
          </cell>
          <cell r="B11050" t="str">
            <v>T982</v>
          </cell>
          <cell r="C11050" t="str">
            <v>ซาติน แขนสั้นขายาว infinity ส้มปกครีม L (กปก)</v>
          </cell>
          <cell r="E11050">
            <v>0</v>
          </cell>
          <cell r="F11050">
            <v>890</v>
          </cell>
        </row>
        <row r="11051">
          <cell r="A11051" t="str">
            <v>ST0982-M</v>
          </cell>
          <cell r="B11051" t="str">
            <v>T982</v>
          </cell>
          <cell r="C11051" t="str">
            <v>ซาติน แขนสั้นขายาว infinity ส้มปกครีม M (กปก)</v>
          </cell>
          <cell r="E11051">
            <v>0</v>
          </cell>
          <cell r="F11051">
            <v>890</v>
          </cell>
        </row>
        <row r="11052">
          <cell r="A11052" t="str">
            <v>ST0982-XL</v>
          </cell>
          <cell r="B11052" t="str">
            <v>T982</v>
          </cell>
          <cell r="C11052" t="str">
            <v>ซาติน แขนสั้นขายาว infinity ส้มปกครีม XL (กปก)</v>
          </cell>
          <cell r="E11052">
            <v>0</v>
          </cell>
          <cell r="F11052">
            <v>890</v>
          </cell>
        </row>
        <row r="11053">
          <cell r="A11053" t="str">
            <v>ST0986-2XL</v>
          </cell>
          <cell r="B11053" t="str">
            <v>T986</v>
          </cell>
          <cell r="C11053" t="str">
            <v>ซาติน แขนสั้นขายาว ชมพู พื้นครีม ขอบเขียว 2XL (กปก)</v>
          </cell>
          <cell r="E11053">
            <v>0</v>
          </cell>
          <cell r="F11053">
            <v>890</v>
          </cell>
        </row>
        <row r="11054">
          <cell r="A11054" t="str">
            <v>ST0986-3XL</v>
          </cell>
          <cell r="B11054" t="str">
            <v>T986</v>
          </cell>
          <cell r="C11054" t="str">
            <v>ซาติน แขนสั้นขายาว ชมพู พื้นครีม ขอบเขียว 3XL (กปก)</v>
          </cell>
          <cell r="E11054">
            <v>0</v>
          </cell>
          <cell r="F11054">
            <v>890</v>
          </cell>
        </row>
        <row r="11055">
          <cell r="A11055" t="str">
            <v>ST0986-L</v>
          </cell>
          <cell r="B11055" t="str">
            <v>T986</v>
          </cell>
          <cell r="C11055" t="str">
            <v>ซาติน แขนสั้นขายาว ชมพู พื้นครีม ขอบเขียว L (กปก)</v>
          </cell>
          <cell r="E11055">
            <v>0</v>
          </cell>
          <cell r="F11055">
            <v>890</v>
          </cell>
        </row>
        <row r="11056">
          <cell r="A11056" t="str">
            <v>ST0986-M</v>
          </cell>
          <cell r="B11056" t="str">
            <v>T986</v>
          </cell>
          <cell r="C11056" t="str">
            <v>ซาติน แขนสั้นขายาว ชมพู พื้นครีม ขอบเขียว M (กปก)</v>
          </cell>
          <cell r="E11056">
            <v>0</v>
          </cell>
          <cell r="F11056">
            <v>890</v>
          </cell>
        </row>
        <row r="11057">
          <cell r="A11057" t="str">
            <v>ST0986-XL</v>
          </cell>
          <cell r="B11057" t="str">
            <v>T986</v>
          </cell>
          <cell r="C11057" t="str">
            <v>ซาติน แขนสั้นขายาว ชมพู พื้นครีม ขอบเขียว XL (กปก)</v>
          </cell>
          <cell r="E11057">
            <v>0</v>
          </cell>
          <cell r="F11057">
            <v>890</v>
          </cell>
        </row>
        <row r="11058">
          <cell r="A11058" t="str">
            <v>ST0987-2XL</v>
          </cell>
          <cell r="B11058" t="str">
            <v>T987</v>
          </cell>
          <cell r="C11058" t="str">
            <v>ซาติน แขนสั้นขายาว น้องแมวพื้นเขียว 2XL (กปก)</v>
          </cell>
          <cell r="E11058">
            <v>0</v>
          </cell>
          <cell r="F11058">
            <v>890</v>
          </cell>
        </row>
        <row r="11059">
          <cell r="A11059" t="str">
            <v>ST0987-L</v>
          </cell>
          <cell r="B11059" t="str">
            <v>T987</v>
          </cell>
          <cell r="C11059" t="str">
            <v>ซาติน แขนสั้นขายาว น้องแมวพื้นเขียว L (กปก)</v>
          </cell>
          <cell r="E11059">
            <v>0</v>
          </cell>
          <cell r="F11059">
            <v>890</v>
          </cell>
        </row>
        <row r="11060">
          <cell r="A11060" t="str">
            <v>ST0987-M</v>
          </cell>
          <cell r="B11060" t="str">
            <v>QT987</v>
          </cell>
          <cell r="C11060" t="str">
            <v>ซาติน แขนสั้นขายาว น้องแมวพื้นเขียว M (กปก) QC</v>
          </cell>
          <cell r="E11060">
            <v>0</v>
          </cell>
          <cell r="F11060">
            <v>890</v>
          </cell>
        </row>
        <row r="11061">
          <cell r="A11061" t="str">
            <v>ST0987-XL</v>
          </cell>
          <cell r="B11061" t="str">
            <v>T987</v>
          </cell>
          <cell r="C11061" t="str">
            <v>ซาติน แขนสั้นขายาว น้องแมวพื้นเขียว XL (กปก)</v>
          </cell>
          <cell r="E11061">
            <v>0</v>
          </cell>
          <cell r="F11061">
            <v>890</v>
          </cell>
        </row>
        <row r="11062">
          <cell r="A11062" t="str">
            <v>ST0988-2XL</v>
          </cell>
          <cell r="B11062" t="str">
            <v>T988</v>
          </cell>
          <cell r="C11062" t="str">
            <v>ซาติน แขนสั้นขายาว ดอกบัวพื้นครีม ขอบเขียว 2XL</v>
          </cell>
          <cell r="E11062">
            <v>0</v>
          </cell>
          <cell r="F11062">
            <v>890</v>
          </cell>
        </row>
        <row r="11063">
          <cell r="A11063" t="str">
            <v>ST0988-L</v>
          </cell>
          <cell r="B11063" t="str">
            <v>T988</v>
          </cell>
          <cell r="C11063" t="str">
            <v>ซาติน แขนสั้นขายาว ดอกบัวพื้นครีม ขอบเขียว L</v>
          </cell>
          <cell r="E11063">
            <v>0</v>
          </cell>
          <cell r="F11063">
            <v>890</v>
          </cell>
        </row>
        <row r="11064">
          <cell r="A11064" t="str">
            <v>ST0988-M</v>
          </cell>
          <cell r="B11064" t="str">
            <v>T988</v>
          </cell>
          <cell r="C11064" t="str">
            <v>ซาติน แขนสั้นขายาว ดอกบัวพื้นครีม ขอบเขียว M</v>
          </cell>
          <cell r="E11064">
            <v>0</v>
          </cell>
          <cell r="F11064">
            <v>590</v>
          </cell>
        </row>
        <row r="11065">
          <cell r="A11065" t="str">
            <v>ST0988-XL</v>
          </cell>
          <cell r="B11065" t="str">
            <v>T988</v>
          </cell>
          <cell r="C11065" t="str">
            <v>ซาติน แขนสั้นขายาว ดอกบัวพื้นครีม ขอบเขียว XL</v>
          </cell>
          <cell r="E11065">
            <v>0</v>
          </cell>
          <cell r="F11065">
            <v>890</v>
          </cell>
        </row>
        <row r="11066">
          <cell r="A11066" t="str">
            <v>ST0989-2XL</v>
          </cell>
          <cell r="B11066" t="str">
            <v>T989</v>
          </cell>
          <cell r="C11066" t="str">
            <v>ซาติน แขนสั้นขายาว เสือดาว พื้นขาว ขอบแดง 2XL</v>
          </cell>
          <cell r="E11066">
            <v>0</v>
          </cell>
          <cell r="F11066">
            <v>890</v>
          </cell>
        </row>
        <row r="11067">
          <cell r="A11067" t="str">
            <v>ST0989-L</v>
          </cell>
          <cell r="B11067" t="str">
            <v>T989</v>
          </cell>
          <cell r="C11067" t="str">
            <v>ซาติน แขนสั้นขายาว เสือดาว พื้นขาว ขอบแดง L</v>
          </cell>
          <cell r="E11067">
            <v>0</v>
          </cell>
          <cell r="F11067">
            <v>890</v>
          </cell>
        </row>
        <row r="11068">
          <cell r="A11068" t="str">
            <v>ST0989-M</v>
          </cell>
          <cell r="B11068" t="str">
            <v>T989</v>
          </cell>
          <cell r="C11068" t="str">
            <v>ซาติน แขนสั้นขายาว เสือดาว พื้นขาว ขอบแดง M</v>
          </cell>
          <cell r="E11068">
            <v>0</v>
          </cell>
          <cell r="F11068">
            <v>890</v>
          </cell>
        </row>
        <row r="11069">
          <cell r="A11069" t="str">
            <v>ST0989-XL</v>
          </cell>
          <cell r="B11069" t="str">
            <v>QT989</v>
          </cell>
          <cell r="C11069" t="str">
            <v>ซาติน แขนสั้นขายาว เสือดาว พื้นขาว ขอบแดง XL QC</v>
          </cell>
          <cell r="E11069">
            <v>0</v>
          </cell>
          <cell r="F11069">
            <v>890</v>
          </cell>
        </row>
        <row r="11070">
          <cell r="A11070" t="str">
            <v>ST0992-2XL</v>
          </cell>
          <cell r="B11070" t="str">
            <v>T992</v>
          </cell>
          <cell r="C11070" t="str">
            <v>ซาติน แขนสั้นขายาว Colorful พื้นครีม ชมพู 2XL (กปก)</v>
          </cell>
          <cell r="E11070">
            <v>0</v>
          </cell>
          <cell r="F11070">
            <v>890</v>
          </cell>
        </row>
        <row r="11071">
          <cell r="A11071" t="str">
            <v>ST0992-L</v>
          </cell>
          <cell r="B11071" t="str">
            <v>T992</v>
          </cell>
          <cell r="C11071" t="str">
            <v>ซาติน แขนสั้นขายาว Colorful พื้นครีม ชมพู L (กปก)</v>
          </cell>
          <cell r="E11071">
            <v>0</v>
          </cell>
          <cell r="F11071">
            <v>890</v>
          </cell>
        </row>
        <row r="11072">
          <cell r="A11072" t="str">
            <v>ST0992-M</v>
          </cell>
          <cell r="B11072" t="str">
            <v>T992</v>
          </cell>
          <cell r="C11072" t="str">
            <v>ซาติน แขนสั้นขายาว Colorful พื้นครีม ชมพู M (กปก)</v>
          </cell>
          <cell r="E11072">
            <v>0</v>
          </cell>
          <cell r="F11072">
            <v>890</v>
          </cell>
        </row>
        <row r="11073">
          <cell r="A11073" t="str">
            <v>ST0992-XL</v>
          </cell>
          <cell r="B11073" t="str">
            <v>T992</v>
          </cell>
          <cell r="C11073" t="str">
            <v>ซาติน แขนสั้นขายาว Colorful พื้นครีม ชมพู XL (กปก)</v>
          </cell>
          <cell r="E11073">
            <v>0</v>
          </cell>
          <cell r="F11073">
            <v>890</v>
          </cell>
        </row>
        <row r="11074">
          <cell r="A11074" t="str">
            <v>ST0993-2XL</v>
          </cell>
          <cell r="B11074" t="str">
            <v>T993</v>
          </cell>
          <cell r="C11074" t="str">
            <v>ซาติน แขนสั้นขายาว Colorful พื้นชมพู ครีม 2XL (กปก)</v>
          </cell>
          <cell r="E11074">
            <v>0</v>
          </cell>
          <cell r="F11074">
            <v>890</v>
          </cell>
        </row>
        <row r="11075">
          <cell r="A11075" t="str">
            <v>ST0993-L</v>
          </cell>
          <cell r="B11075" t="str">
            <v>T993</v>
          </cell>
          <cell r="C11075" t="str">
            <v>ซาติน แขนสั้นขายาว Colorful พื้นชมพู ครีม L (กปก)</v>
          </cell>
          <cell r="E11075">
            <v>0</v>
          </cell>
          <cell r="F11075">
            <v>890</v>
          </cell>
        </row>
        <row r="11076">
          <cell r="A11076" t="str">
            <v>ST0993-M</v>
          </cell>
          <cell r="B11076" t="str">
            <v>T993</v>
          </cell>
          <cell r="C11076" t="str">
            <v>ซาติน แขนสั้นขายาว Colorful พื้นชมพู ครีม M (กปก)</v>
          </cell>
          <cell r="E11076">
            <v>0</v>
          </cell>
          <cell r="F11076">
            <v>890</v>
          </cell>
        </row>
        <row r="11077">
          <cell r="A11077" t="str">
            <v>ST0993-XL</v>
          </cell>
          <cell r="B11077" t="str">
            <v>T993</v>
          </cell>
          <cell r="C11077" t="str">
            <v>ซาติน แขนสั้นขายาว Colorful พื้นชมพู ครีม XL (กปก)</v>
          </cell>
          <cell r="E11077">
            <v>0</v>
          </cell>
          <cell r="F11077">
            <v>890</v>
          </cell>
        </row>
        <row r="11078">
          <cell r="A11078" t="str">
            <v>ST0994-2XL</v>
          </cell>
          <cell r="B11078" t="str">
            <v>T994</v>
          </cell>
          <cell r="C11078" t="str">
            <v>ซาติน แขนสั้นขายาว Colorful พื้นขาว ฟ้า 2XL (กปก)</v>
          </cell>
          <cell r="E11078">
            <v>0</v>
          </cell>
          <cell r="F11078">
            <v>890</v>
          </cell>
        </row>
        <row r="11079">
          <cell r="A11079" t="str">
            <v>ST0994-L</v>
          </cell>
          <cell r="B11079" t="str">
            <v>T994</v>
          </cell>
          <cell r="C11079" t="str">
            <v>ซาติน แขนสั้นขายาว Colorful พื้นขาว ฟ้า L (กปก)</v>
          </cell>
          <cell r="E11079">
            <v>0</v>
          </cell>
          <cell r="F11079">
            <v>890</v>
          </cell>
        </row>
        <row r="11080">
          <cell r="A11080" t="str">
            <v>ST0994-M</v>
          </cell>
          <cell r="B11080" t="str">
            <v>T994</v>
          </cell>
          <cell r="C11080" t="str">
            <v>ซาติน แขนสั้นขายาว Colorful พื้นขาว ฟ้า M (กปก)</v>
          </cell>
          <cell r="E11080">
            <v>0</v>
          </cell>
          <cell r="F11080">
            <v>890</v>
          </cell>
        </row>
        <row r="11081">
          <cell r="A11081" t="str">
            <v>ST0994-XL</v>
          </cell>
          <cell r="B11081" t="str">
            <v>T994</v>
          </cell>
          <cell r="C11081" t="str">
            <v>ซาติน แขนสั้นขายาว Colorful พื้นขาว ฟ้า XL (กปก)</v>
          </cell>
          <cell r="E11081">
            <v>0</v>
          </cell>
          <cell r="F11081">
            <v>890</v>
          </cell>
        </row>
        <row r="11082">
          <cell r="A11082" t="str">
            <v>ST0995-2XL</v>
          </cell>
          <cell r="B11082" t="str">
            <v>T995</v>
          </cell>
          <cell r="C11082" t="str">
            <v>ซาติน แขนสั้นขายาว Colorful พื้นส้ม ชมพู 2XL (กปก)</v>
          </cell>
          <cell r="E11082">
            <v>0</v>
          </cell>
          <cell r="F11082">
            <v>890</v>
          </cell>
        </row>
        <row r="11083">
          <cell r="A11083" t="str">
            <v>ST0995-L</v>
          </cell>
          <cell r="B11083" t="str">
            <v>T995</v>
          </cell>
          <cell r="C11083" t="str">
            <v>ซาติน แขนสั้นขายาว Colorful พื้นส้ม ชมพู L (กปก)</v>
          </cell>
          <cell r="E11083">
            <v>0</v>
          </cell>
          <cell r="F11083">
            <v>890</v>
          </cell>
        </row>
        <row r="11084">
          <cell r="A11084" t="str">
            <v>ST0995-M</v>
          </cell>
          <cell r="B11084" t="str">
            <v>T995</v>
          </cell>
          <cell r="C11084" t="str">
            <v>ซาติน แขนสั้นขายาว Colorful พื้นส้ม ชมพู M (กปก)</v>
          </cell>
          <cell r="E11084">
            <v>0</v>
          </cell>
          <cell r="F11084">
            <v>890</v>
          </cell>
        </row>
        <row r="11085">
          <cell r="A11085" t="str">
            <v>ST0995-XL</v>
          </cell>
          <cell r="B11085" t="str">
            <v>T995</v>
          </cell>
          <cell r="C11085" t="str">
            <v>ซาติน แขนสั้นขายาว Colorful พื้นส้ม ชมพู XL (กปก)</v>
          </cell>
          <cell r="E11085">
            <v>0</v>
          </cell>
          <cell r="F11085">
            <v>890</v>
          </cell>
        </row>
        <row r="11086">
          <cell r="A11086" t="str">
            <v>ST0996-2XL</v>
          </cell>
          <cell r="B11086" t="str">
            <v>T996</v>
          </cell>
          <cell r="C11086" t="str">
            <v>ซาติน แขนสั้นขายาว Colorful พื้นส้ม ม่วง 2XL (กปก)</v>
          </cell>
          <cell r="E11086">
            <v>0</v>
          </cell>
          <cell r="F11086">
            <v>890</v>
          </cell>
        </row>
        <row r="11087">
          <cell r="A11087" t="str">
            <v>ST0996-L</v>
          </cell>
          <cell r="B11087" t="str">
            <v>T996</v>
          </cell>
          <cell r="C11087" t="str">
            <v>ซาติน แขนสั้นขายาว Colorful พื้นส้ม ม่วง L (กปก)</v>
          </cell>
          <cell r="E11087">
            <v>0</v>
          </cell>
          <cell r="F11087">
            <v>890</v>
          </cell>
        </row>
        <row r="11088">
          <cell r="A11088" t="str">
            <v>ST0996-M</v>
          </cell>
          <cell r="B11088" t="str">
            <v>T996</v>
          </cell>
          <cell r="C11088" t="str">
            <v>ซาติน แขนสั้นขายาว Colorful พื้นส้ม ม่วง M (กปก)</v>
          </cell>
          <cell r="E11088">
            <v>0</v>
          </cell>
          <cell r="F11088">
            <v>890</v>
          </cell>
        </row>
        <row r="11089">
          <cell r="A11089" t="str">
            <v>ST0996-XL</v>
          </cell>
          <cell r="B11089" t="str">
            <v>T996</v>
          </cell>
          <cell r="C11089" t="str">
            <v>ซาติน แขนสั้นขายาว Colorful พื้นส้ม ม่วง XL (กปก)</v>
          </cell>
          <cell r="E11089">
            <v>0</v>
          </cell>
          <cell r="F11089">
            <v>890</v>
          </cell>
        </row>
        <row r="11090">
          <cell r="A11090" t="str">
            <v>ST0999-2XL</v>
          </cell>
          <cell r="B11090" t="str">
            <v>T999</v>
          </cell>
          <cell r="C11090" t="str">
            <v>ซาติน แขนสั้นขายาว รวมสัตว์ พื้นฟ้า 2XL</v>
          </cell>
          <cell r="E11090">
            <v>0</v>
          </cell>
          <cell r="F11090">
            <v>890</v>
          </cell>
        </row>
        <row r="11091">
          <cell r="A11091" t="str">
            <v>ST0999-L</v>
          </cell>
          <cell r="B11091" t="str">
            <v>T999</v>
          </cell>
          <cell r="C11091" t="str">
            <v>ซาติน แขนสั้นขายาว รวมสัตว์ พื้นฟ้า L</v>
          </cell>
          <cell r="E11091">
            <v>0</v>
          </cell>
          <cell r="F11091">
            <v>890</v>
          </cell>
        </row>
        <row r="11092">
          <cell r="A11092" t="str">
            <v>ST0999-M</v>
          </cell>
          <cell r="B11092" t="str">
            <v>T999</v>
          </cell>
          <cell r="C11092" t="str">
            <v>ซาติน แขนสั้นขายาว รวมสัตว์ พื้นฟ้า M</v>
          </cell>
          <cell r="E11092">
            <v>0</v>
          </cell>
          <cell r="F11092">
            <v>890</v>
          </cell>
        </row>
        <row r="11093">
          <cell r="A11093" t="str">
            <v>ST0999-XL</v>
          </cell>
          <cell r="B11093" t="str">
            <v>T999</v>
          </cell>
          <cell r="C11093" t="str">
            <v>ซาติน แขนสั้นขายาว รวมสัตว์ พื้นฟ้า XL</v>
          </cell>
          <cell r="E11093">
            <v>0</v>
          </cell>
          <cell r="F11093">
            <v>890</v>
          </cell>
        </row>
        <row r="11094">
          <cell r="A11094" t="str">
            <v>ST1000-2XL</v>
          </cell>
          <cell r="B11094" t="str">
            <v>QT1000</v>
          </cell>
          <cell r="C11094" t="str">
            <v>ซาติน แขนสั้นขายาว หมีรวม พื้นครีม 2XL (กปก) QC</v>
          </cell>
          <cell r="E11094">
            <v>0</v>
          </cell>
          <cell r="F11094">
            <v>890</v>
          </cell>
        </row>
        <row r="11095">
          <cell r="A11095" t="str">
            <v>ST1000-L</v>
          </cell>
          <cell r="B11095" t="str">
            <v>T1000</v>
          </cell>
          <cell r="C11095" t="str">
            <v>ซาติน แขนสั้นขายาว หมีรวม พื้นครีม L (กปก)</v>
          </cell>
          <cell r="E11095">
            <v>0</v>
          </cell>
          <cell r="F11095">
            <v>890</v>
          </cell>
        </row>
        <row r="11096">
          <cell r="A11096" t="str">
            <v>ST1000-M</v>
          </cell>
          <cell r="B11096" t="str">
            <v>QT1000</v>
          </cell>
          <cell r="C11096" t="str">
            <v>ซาติน แขนสั้นขายาว หมีรวม พื้นครีม M (กปก) QC</v>
          </cell>
          <cell r="E11096">
            <v>0</v>
          </cell>
          <cell r="F11096">
            <v>890</v>
          </cell>
        </row>
        <row r="11097">
          <cell r="A11097" t="str">
            <v>ST1000-XL</v>
          </cell>
          <cell r="B11097" t="str">
            <v>T1000</v>
          </cell>
          <cell r="C11097" t="str">
            <v>ซาติน แขนสั้นขายาว หมีรวม พื้นครีม XL (กปก)</v>
          </cell>
          <cell r="E11097">
            <v>0</v>
          </cell>
          <cell r="F11097">
            <v>890</v>
          </cell>
        </row>
        <row r="11098">
          <cell r="A11098" t="str">
            <v>ST1001-2XL</v>
          </cell>
          <cell r="B11098" t="str">
            <v>T1001</v>
          </cell>
          <cell r="C11098" t="str">
            <v>ซาติน แขนสั้นขายาว บัวชมพู พื้นม่วง 2XL (กปก)</v>
          </cell>
          <cell r="E11098">
            <v>0</v>
          </cell>
          <cell r="F11098">
            <v>890</v>
          </cell>
        </row>
        <row r="11099">
          <cell r="A11099" t="str">
            <v>ST1001-L</v>
          </cell>
          <cell r="B11099" t="str">
            <v>QT1001</v>
          </cell>
          <cell r="C11099" t="str">
            <v>ซาติน แขนสั้นขายาว บัวชมพู พื้นม่วง L (กปก) QC</v>
          </cell>
          <cell r="E11099">
            <v>0</v>
          </cell>
          <cell r="F11099">
            <v>890</v>
          </cell>
        </row>
        <row r="11100">
          <cell r="A11100" t="str">
            <v>ST1001-M</v>
          </cell>
          <cell r="B11100" t="str">
            <v>QT1001</v>
          </cell>
          <cell r="C11100" t="str">
            <v>ซาติน แขนสั้นขายาว บัวชมพู พื้นม่วง M (กปก) QC</v>
          </cell>
          <cell r="E11100">
            <v>0</v>
          </cell>
          <cell r="F11100">
            <v>890</v>
          </cell>
        </row>
        <row r="11101">
          <cell r="A11101" t="str">
            <v>ST1001-XL</v>
          </cell>
          <cell r="B11101" t="str">
            <v>T1001</v>
          </cell>
          <cell r="C11101" t="str">
            <v>ซาติน แขนสั้นขายาว บัวชมพู พื้นม่วง XL (กปก)</v>
          </cell>
          <cell r="E11101">
            <v>0</v>
          </cell>
          <cell r="F11101">
            <v>890</v>
          </cell>
        </row>
        <row r="11102">
          <cell r="A11102" t="str">
            <v>ST1002-2XL</v>
          </cell>
          <cell r="B11102" t="str">
            <v>T1002</v>
          </cell>
          <cell r="C11102" t="str">
            <v>ซาติน แขนสั้นขายาว Brown forest 2XL (กปก)</v>
          </cell>
          <cell r="E11102">
            <v>0</v>
          </cell>
          <cell r="F11102">
            <v>890</v>
          </cell>
        </row>
        <row r="11103">
          <cell r="A11103" t="str">
            <v>ST1002-L</v>
          </cell>
          <cell r="B11103" t="str">
            <v>T1002</v>
          </cell>
          <cell r="C11103" t="str">
            <v>ซาติน แขนสั้นขายาว Brown forest L (กปก)</v>
          </cell>
          <cell r="E11103">
            <v>0</v>
          </cell>
          <cell r="F11103">
            <v>890</v>
          </cell>
        </row>
        <row r="11104">
          <cell r="A11104" t="str">
            <v>ST1002-M</v>
          </cell>
          <cell r="B11104" t="str">
            <v>T1002</v>
          </cell>
          <cell r="C11104" t="str">
            <v>ซาติน แขนสั้นขายาว Brown forest M (กปก)</v>
          </cell>
          <cell r="E11104">
            <v>0</v>
          </cell>
          <cell r="F11104">
            <v>890</v>
          </cell>
        </row>
        <row r="11105">
          <cell r="A11105" t="str">
            <v>ST1002-XL</v>
          </cell>
          <cell r="B11105" t="str">
            <v>T1002</v>
          </cell>
          <cell r="C11105" t="str">
            <v>ซาติน แขนสั้นขายาว Brown forest XL (กปก)</v>
          </cell>
          <cell r="E11105">
            <v>0</v>
          </cell>
          <cell r="F11105">
            <v>890</v>
          </cell>
        </row>
        <row r="11106">
          <cell r="A11106" t="str">
            <v>ST1003-2XL</v>
          </cell>
          <cell r="B11106" t="str">
            <v>T1003</v>
          </cell>
          <cell r="C11106" t="str">
            <v>ซาติน แขนสั้นขายาว Rabbit Flower พื้นครีม 2XL (กปก)</v>
          </cell>
          <cell r="E11106">
            <v>0</v>
          </cell>
          <cell r="F11106">
            <v>890</v>
          </cell>
        </row>
        <row r="11107">
          <cell r="A11107" t="str">
            <v>ST1003-L</v>
          </cell>
          <cell r="B11107" t="str">
            <v>T1003</v>
          </cell>
          <cell r="C11107" t="str">
            <v>ซาติน แขนสั้นขายาว Rabbit Flower พื้นครีม L (กปก)</v>
          </cell>
          <cell r="E11107">
            <v>0</v>
          </cell>
          <cell r="F11107">
            <v>890</v>
          </cell>
        </row>
        <row r="11108">
          <cell r="A11108" t="str">
            <v>ST1003-M</v>
          </cell>
          <cell r="B11108" t="str">
            <v>T1003</v>
          </cell>
          <cell r="C11108" t="str">
            <v>ซาติน แขนสั้นขายาว Rabbit Flower พื้นครีม M (กปก)</v>
          </cell>
          <cell r="E11108">
            <v>0</v>
          </cell>
          <cell r="F11108">
            <v>890</v>
          </cell>
        </row>
        <row r="11109">
          <cell r="A11109" t="str">
            <v>ST1003-XL</v>
          </cell>
          <cell r="B11109" t="str">
            <v>T1003</v>
          </cell>
          <cell r="C11109" t="str">
            <v>ซาติน แขนสั้นขายาว Rabbit Flower พื้นครีม XL (กปก)</v>
          </cell>
          <cell r="E11109">
            <v>0</v>
          </cell>
          <cell r="F11109">
            <v>890</v>
          </cell>
        </row>
        <row r="11110">
          <cell r="A11110" t="str">
            <v>ST1004-2XL</v>
          </cell>
          <cell r="B11110" t="str">
            <v>T1004</v>
          </cell>
          <cell r="C11110" t="str">
            <v>ซาติน แขนสั้นขายาว Happy Easter 2XL</v>
          </cell>
          <cell r="E11110">
            <v>0</v>
          </cell>
          <cell r="F11110">
            <v>890</v>
          </cell>
        </row>
        <row r="11111">
          <cell r="A11111" t="str">
            <v>ST1004-L</v>
          </cell>
          <cell r="B11111" t="str">
            <v>QT1004</v>
          </cell>
          <cell r="C11111" t="str">
            <v>ซาติน แขนสั้นขายาว Happy Easter L QC</v>
          </cell>
          <cell r="E11111">
            <v>0</v>
          </cell>
          <cell r="F11111">
            <v>890</v>
          </cell>
        </row>
        <row r="11112">
          <cell r="A11112" t="str">
            <v>ST1004-M</v>
          </cell>
          <cell r="B11112" t="str">
            <v>T1004</v>
          </cell>
          <cell r="C11112" t="str">
            <v>ซาติน แขนสั้นขายาว Happy Easter M</v>
          </cell>
          <cell r="E11112">
            <v>0</v>
          </cell>
          <cell r="F11112">
            <v>890</v>
          </cell>
        </row>
        <row r="11113">
          <cell r="A11113" t="str">
            <v>ST1004-XL</v>
          </cell>
          <cell r="B11113" t="str">
            <v>QT1004</v>
          </cell>
          <cell r="C11113" t="str">
            <v>ซาติน แขนสั้นขายาว Happy Easter XL QC</v>
          </cell>
          <cell r="E11113">
            <v>0</v>
          </cell>
          <cell r="F11113">
            <v>890</v>
          </cell>
        </row>
        <row r="11114">
          <cell r="A11114" t="str">
            <v>ST1005-2XL</v>
          </cell>
          <cell r="B11114" t="str">
            <v>T1005</v>
          </cell>
          <cell r="C11114" t="str">
            <v>ซาติน แขนสั้นขายาว กระต่ายขาว พื้นม่วง 2XL</v>
          </cell>
          <cell r="E11114">
            <v>0</v>
          </cell>
          <cell r="F11114">
            <v>890</v>
          </cell>
        </row>
        <row r="11115">
          <cell r="A11115" t="str">
            <v>ST1005-L</v>
          </cell>
          <cell r="B11115" t="str">
            <v>T1005</v>
          </cell>
          <cell r="C11115" t="str">
            <v>ซาติน แขนสั้นขายาว กระต่ายขาว พื้นม่วง L</v>
          </cell>
          <cell r="E11115">
            <v>0</v>
          </cell>
          <cell r="F11115">
            <v>890</v>
          </cell>
        </row>
        <row r="11116">
          <cell r="A11116" t="str">
            <v>ST1005-M</v>
          </cell>
          <cell r="B11116" t="str">
            <v>T1005</v>
          </cell>
          <cell r="C11116" t="str">
            <v>ซาติน แขนสั้นขายาว กระต่ายขาว พื้นม่วง M</v>
          </cell>
          <cell r="E11116">
            <v>0</v>
          </cell>
          <cell r="F11116">
            <v>590</v>
          </cell>
        </row>
        <row r="11117">
          <cell r="A11117" t="str">
            <v>ST1005-XL</v>
          </cell>
          <cell r="B11117" t="str">
            <v>T1005</v>
          </cell>
          <cell r="C11117" t="str">
            <v>ซาติน แขนสั้นขายาว กระต่ายขาว พื้นม่วง XL</v>
          </cell>
          <cell r="E11117">
            <v>0</v>
          </cell>
          <cell r="F11117">
            <v>890</v>
          </cell>
        </row>
        <row r="11118">
          <cell r="A11118" t="str">
            <v>ST1006-L</v>
          </cell>
          <cell r="B11118" t="str">
            <v>T1006</v>
          </cell>
          <cell r="C11118" t="str">
            <v>ซาติน แขนสั้นขายาว ลายส้ม พื้นเขียว L</v>
          </cell>
          <cell r="E11118">
            <v>0</v>
          </cell>
          <cell r="F11118">
            <v>890</v>
          </cell>
        </row>
        <row r="11119">
          <cell r="A11119" t="str">
            <v>ST1006-M</v>
          </cell>
          <cell r="B11119" t="str">
            <v>T1006</v>
          </cell>
          <cell r="C11119" t="str">
            <v>ซาติน แขนสั้นขายาว ลายส้ม พื้นเขียว M</v>
          </cell>
          <cell r="E11119">
            <v>0</v>
          </cell>
          <cell r="F11119">
            <v>590</v>
          </cell>
        </row>
        <row r="11120">
          <cell r="A11120" t="str">
            <v>ST1006-XL</v>
          </cell>
          <cell r="B11120" t="str">
            <v>T1006</v>
          </cell>
          <cell r="C11120" t="str">
            <v>ซาติน แขนสั้นขายาว ลายส้ม พื้นเขียว XL</v>
          </cell>
          <cell r="E11120">
            <v>0</v>
          </cell>
          <cell r="F11120">
            <v>890</v>
          </cell>
        </row>
        <row r="11121">
          <cell r="A11121" t="str">
            <v>ST1007-2XL</v>
          </cell>
          <cell r="B11121" t="str">
            <v>T1007</v>
          </cell>
          <cell r="C11121" t="str">
            <v>ซาติน แขนสั้นขายาว ลายทางครีม พื้นดำ 2XL (กปก)</v>
          </cell>
          <cell r="E11121">
            <v>0</v>
          </cell>
          <cell r="F11121">
            <v>890</v>
          </cell>
        </row>
        <row r="11122">
          <cell r="A11122" t="str">
            <v>ST1007-L</v>
          </cell>
          <cell r="B11122" t="str">
            <v>T1007</v>
          </cell>
          <cell r="C11122" t="str">
            <v>ซาติน แขนสั้นขายาว ลายทางครีม พื้นดำ L (กปก)</v>
          </cell>
          <cell r="E11122">
            <v>0</v>
          </cell>
          <cell r="F11122">
            <v>890</v>
          </cell>
        </row>
        <row r="11123">
          <cell r="A11123" t="str">
            <v>ST1007-M</v>
          </cell>
          <cell r="B11123" t="str">
            <v>T1007</v>
          </cell>
          <cell r="C11123" t="str">
            <v>ซาติน แขนสั้นขายาว ลายทางครีม พื้นดำ M (กปก)</v>
          </cell>
          <cell r="E11123">
            <v>0</v>
          </cell>
          <cell r="F11123">
            <v>890</v>
          </cell>
        </row>
        <row r="11124">
          <cell r="A11124" t="str">
            <v>ST1007-XL</v>
          </cell>
          <cell r="B11124" t="str">
            <v>T1007</v>
          </cell>
          <cell r="C11124" t="str">
            <v>ซาติน แขนสั้นขายาว ลายทางครีม พื้นดำ XL (กปก)</v>
          </cell>
          <cell r="E11124">
            <v>0</v>
          </cell>
          <cell r="F11124">
            <v>890</v>
          </cell>
        </row>
        <row r="11125">
          <cell r="A11125" t="str">
            <v>ST1008-2XL</v>
          </cell>
          <cell r="B11125" t="str">
            <v>T1008</v>
          </cell>
          <cell r="C11125" t="str">
            <v>ซาติน แขนสั้นขายาว ลายทางกรม แดง กระเป๋านกฮูก 2XL (กปก)</v>
          </cell>
          <cell r="E11125">
            <v>0</v>
          </cell>
          <cell r="F11125">
            <v>890</v>
          </cell>
        </row>
        <row r="11126">
          <cell r="A11126" t="str">
            <v>ST1008-L</v>
          </cell>
          <cell r="B11126" t="str">
            <v>QT1008</v>
          </cell>
          <cell r="C11126" t="str">
            <v>ซาติน แขนสั้นขายาว ลายทางกรม แดง กระเป๋านกฮูก L (กปก) QC</v>
          </cell>
          <cell r="E11126">
            <v>0</v>
          </cell>
          <cell r="F11126">
            <v>890</v>
          </cell>
        </row>
        <row r="11127">
          <cell r="A11127" t="str">
            <v>ST1008-M</v>
          </cell>
          <cell r="B11127" t="str">
            <v>T1008</v>
          </cell>
          <cell r="C11127" t="str">
            <v>ซาติน แขนสั้นขายาว ลายทางกรม แดง กระเป๋านกฮูก M (กปก)</v>
          </cell>
          <cell r="E11127">
            <v>0</v>
          </cell>
          <cell r="F11127">
            <v>590</v>
          </cell>
        </row>
        <row r="11128">
          <cell r="A11128" t="str">
            <v>ST1008-XL</v>
          </cell>
          <cell r="B11128" t="str">
            <v>T1008</v>
          </cell>
          <cell r="C11128" t="str">
            <v>ซาติน แขนสั้นขายาว ลายทางกรม แดง กระเป๋านกฮูก XL (กปก)</v>
          </cell>
          <cell r="E11128">
            <v>0</v>
          </cell>
          <cell r="F11128">
            <v>890</v>
          </cell>
        </row>
        <row r="11129">
          <cell r="A11129" t="str">
            <v>ST1009-2XL</v>
          </cell>
          <cell r="B11129" t="str">
            <v>T1009</v>
          </cell>
          <cell r="C11129" t="str">
            <v>ซาติน แขนสั้นขายาว ลายทางดำ พื้นครีม 2XL</v>
          </cell>
          <cell r="E11129">
            <v>0</v>
          </cell>
          <cell r="F11129">
            <v>890</v>
          </cell>
        </row>
        <row r="11130">
          <cell r="A11130" t="str">
            <v>ST1009-L</v>
          </cell>
          <cell r="B11130" t="str">
            <v>T1009</v>
          </cell>
          <cell r="C11130" t="str">
            <v>ซาติน แขนสั้นขายาว ลายทางดำ พื้นครีม L</v>
          </cell>
          <cell r="E11130">
            <v>0</v>
          </cell>
          <cell r="F11130">
            <v>890</v>
          </cell>
        </row>
        <row r="11131">
          <cell r="A11131" t="str">
            <v>ST1009-M</v>
          </cell>
          <cell r="B11131" t="str">
            <v>T1009</v>
          </cell>
          <cell r="C11131" t="str">
            <v>ซาติน แขนสั้นขายาว ลายทางดำ พื้นครีม M</v>
          </cell>
          <cell r="E11131">
            <v>0</v>
          </cell>
          <cell r="F11131">
            <v>890</v>
          </cell>
        </row>
        <row r="11132">
          <cell r="A11132" t="str">
            <v>ST1009-XL</v>
          </cell>
          <cell r="B11132" t="str">
            <v>T1009</v>
          </cell>
          <cell r="C11132" t="str">
            <v>ซาติน แขนสั้นขายาว ลายทางดำ พื้นครีม XL</v>
          </cell>
          <cell r="E11132">
            <v>0</v>
          </cell>
          <cell r="F11132">
            <v>890</v>
          </cell>
        </row>
        <row r="11133">
          <cell r="A11133" t="str">
            <v>ST1010-2XL</v>
          </cell>
          <cell r="B11133" t="str">
            <v>T1010</v>
          </cell>
          <cell r="C11133" t="str">
            <v>ซาติน แขนสั้นขายาว น้องแมว พื้นเทา 2XL  (กปก)</v>
          </cell>
          <cell r="E11133">
            <v>0</v>
          </cell>
          <cell r="F11133">
            <v>890</v>
          </cell>
        </row>
        <row r="11134">
          <cell r="A11134" t="str">
            <v>ST1010-L</v>
          </cell>
          <cell r="B11134" t="str">
            <v>T1010</v>
          </cell>
          <cell r="C11134" t="str">
            <v>ซาติน แขนสั้นขายาว น้องแมว พื้นเทา L (กปก)</v>
          </cell>
          <cell r="E11134">
            <v>0</v>
          </cell>
          <cell r="F11134">
            <v>890</v>
          </cell>
        </row>
        <row r="11135">
          <cell r="A11135" t="str">
            <v>ST1010-M</v>
          </cell>
          <cell r="B11135" t="str">
            <v>T1010</v>
          </cell>
          <cell r="C11135" t="str">
            <v>ซาติน แขนสั้นขายาว น้องแมว พื้นเทา M (กปก)</v>
          </cell>
          <cell r="E11135">
            <v>0</v>
          </cell>
          <cell r="F11135">
            <v>890</v>
          </cell>
        </row>
        <row r="11136">
          <cell r="A11136" t="str">
            <v>ST1010-XL</v>
          </cell>
          <cell r="B11136" t="str">
            <v>T1010</v>
          </cell>
          <cell r="C11136" t="str">
            <v>ซาติน แขนสั้นขายาว น้องแมว พื้นเทา XL (กปก)</v>
          </cell>
          <cell r="E11136">
            <v>0</v>
          </cell>
          <cell r="F11136">
            <v>890</v>
          </cell>
        </row>
        <row r="11137">
          <cell r="A11137" t="str">
            <v>ST1011-2XL</v>
          </cell>
          <cell r="B11137" t="str">
            <v>T1011</v>
          </cell>
          <cell r="C11137" t="str">
            <v>ซาติน แขนสั้นขายาว สุนัขรวม พื้นครีม 2XL</v>
          </cell>
          <cell r="E11137">
            <v>0</v>
          </cell>
          <cell r="F11137">
            <v>890</v>
          </cell>
        </row>
        <row r="11138">
          <cell r="A11138" t="str">
            <v>ST1011-L</v>
          </cell>
          <cell r="B11138" t="str">
            <v>T1011</v>
          </cell>
          <cell r="C11138" t="str">
            <v>ซาติน แขนสั้นขายาว สุนัขรวม พื้นครีม L</v>
          </cell>
          <cell r="E11138">
            <v>0</v>
          </cell>
          <cell r="F11138">
            <v>890</v>
          </cell>
        </row>
        <row r="11139">
          <cell r="A11139" t="str">
            <v>ST1011-M</v>
          </cell>
          <cell r="B11139" t="str">
            <v>T1011</v>
          </cell>
          <cell r="C11139" t="str">
            <v>ซาติน แขนสั้นขายาว สุนัขรวม พื้นครีม M</v>
          </cell>
          <cell r="E11139">
            <v>0</v>
          </cell>
          <cell r="F11139">
            <v>890</v>
          </cell>
        </row>
        <row r="11140">
          <cell r="A11140" t="str">
            <v>ST1011-XL</v>
          </cell>
          <cell r="B11140" t="str">
            <v>T1011</v>
          </cell>
          <cell r="C11140" t="str">
            <v>ซาติน แขนสั้นขายาว สุนัขรวม พื้นครีม XL</v>
          </cell>
          <cell r="E11140">
            <v>0</v>
          </cell>
          <cell r="F11140">
            <v>890</v>
          </cell>
        </row>
        <row r="11141">
          <cell r="A11141" t="str">
            <v>ST1012-2XL</v>
          </cell>
          <cell r="B11141" t="str">
            <v>T1012</v>
          </cell>
          <cell r="C11141" t="str">
            <v>ซาติน แขนสั้นขายาว น้องชินจัง พื้นฟ้า 2XL  (กปก)</v>
          </cell>
          <cell r="E11141">
            <v>4</v>
          </cell>
          <cell r="F11141">
            <v>1590</v>
          </cell>
        </row>
        <row r="11142">
          <cell r="A11142" t="str">
            <v>ST1012-L</v>
          </cell>
          <cell r="B11142" t="str">
            <v>T1012</v>
          </cell>
          <cell r="C11142" t="str">
            <v>ซาติน แขนสั้นขายาว น้องชินจัง พื้นฟ้า L (กปก)</v>
          </cell>
          <cell r="E11142">
            <v>0</v>
          </cell>
          <cell r="F11142">
            <v>1590</v>
          </cell>
        </row>
        <row r="11143">
          <cell r="A11143" t="str">
            <v>ST1012-M</v>
          </cell>
          <cell r="B11143" t="str">
            <v>T1012</v>
          </cell>
          <cell r="C11143" t="str">
            <v>ซาติน แขนสั้นขายาว น้องชินจัง พื้นฟ้า M (กปก)</v>
          </cell>
          <cell r="E11143">
            <v>0</v>
          </cell>
          <cell r="F11143">
            <v>1590</v>
          </cell>
        </row>
        <row r="11144">
          <cell r="A11144" t="str">
            <v>ST1012-XL</v>
          </cell>
          <cell r="B11144" t="str">
            <v>T1012</v>
          </cell>
          <cell r="C11144" t="str">
            <v>ซาติน แขนสั้นขายาว น้องชินจัง พื้นฟ้า XL (กปก)</v>
          </cell>
          <cell r="E11144">
            <v>6</v>
          </cell>
          <cell r="F11144">
            <v>1590</v>
          </cell>
        </row>
        <row r="11145">
          <cell r="A11145" t="str">
            <v>ST1013-2XL</v>
          </cell>
          <cell r="B11145" t="str">
            <v>T1013</v>
          </cell>
          <cell r="C11145" t="str">
            <v>ซาติน แขนสั้นขายาว น้องชินจัง พื้นชานม 2XL  (กปก)</v>
          </cell>
          <cell r="E11145">
            <v>3</v>
          </cell>
          <cell r="F11145">
            <v>1590</v>
          </cell>
        </row>
        <row r="11146">
          <cell r="A11146" t="str">
            <v>ST1013-L</v>
          </cell>
          <cell r="B11146" t="str">
            <v>T1013</v>
          </cell>
          <cell r="C11146" t="str">
            <v>ซาติน แขนสั้นขายาว น้องชินจัง พื้นชานม L (กปก)</v>
          </cell>
          <cell r="E11146">
            <v>0</v>
          </cell>
          <cell r="F11146">
            <v>1590</v>
          </cell>
        </row>
        <row r="11147">
          <cell r="A11147" t="str">
            <v>ST1013-M</v>
          </cell>
          <cell r="B11147" t="str">
            <v>QT1013</v>
          </cell>
          <cell r="C11147" t="str">
            <v>ซาติน แขนสั้นขายาว น้องชินจัง พื้นชานม M (กปก) QC</v>
          </cell>
          <cell r="E11147">
            <v>0</v>
          </cell>
          <cell r="F11147">
            <v>1590</v>
          </cell>
        </row>
        <row r="11148">
          <cell r="A11148" t="str">
            <v>ST1013-XL</v>
          </cell>
          <cell r="B11148" t="str">
            <v>T1013</v>
          </cell>
          <cell r="C11148" t="str">
            <v>ซาติน แขนสั้นขายาว น้องชินจัง พื้นชานม XL (กปก)</v>
          </cell>
          <cell r="E11148">
            <v>0</v>
          </cell>
          <cell r="F11148">
            <v>1590</v>
          </cell>
        </row>
        <row r="11149">
          <cell r="A11149" t="str">
            <v>ST1014-2XL</v>
          </cell>
          <cell r="B11149" t="str">
            <v>T1014</v>
          </cell>
          <cell r="C11149" t="str">
            <v>ซาติน แขนสั้นขายาว น้องชินจัง พื้นม่วง 2XL  (กปก)</v>
          </cell>
          <cell r="E11149">
            <v>1</v>
          </cell>
          <cell r="F11149">
            <v>1590</v>
          </cell>
        </row>
        <row r="11150">
          <cell r="A11150" t="str">
            <v>ST1014-L</v>
          </cell>
          <cell r="B11150" t="str">
            <v>T1014</v>
          </cell>
          <cell r="C11150" t="str">
            <v>ซาติน แขนสั้นขายาว น้องชินจัง พื้นม่วง L (กปก)</v>
          </cell>
          <cell r="E11150">
            <v>0</v>
          </cell>
          <cell r="F11150">
            <v>1590</v>
          </cell>
        </row>
        <row r="11151">
          <cell r="A11151" t="str">
            <v>ST1014-M</v>
          </cell>
          <cell r="B11151" t="str">
            <v>T1014</v>
          </cell>
          <cell r="C11151" t="str">
            <v>ซาติน แขนสั้นขายาว น้องชินจัง พื้นม่วง M (กปก)</v>
          </cell>
          <cell r="E11151">
            <v>0</v>
          </cell>
          <cell r="F11151">
            <v>1590</v>
          </cell>
        </row>
        <row r="11152">
          <cell r="A11152" t="str">
            <v>ST1014-XL</v>
          </cell>
          <cell r="B11152" t="str">
            <v>T1014</v>
          </cell>
          <cell r="C11152" t="str">
            <v>ซาติน แขนสั้นขายาว น้องชินจัง พื้นม่วง XL (กปก)</v>
          </cell>
          <cell r="E11152">
            <v>0</v>
          </cell>
          <cell r="F11152">
            <v>1590</v>
          </cell>
        </row>
        <row r="11153">
          <cell r="A11153" t="str">
            <v>ST1015-2XL</v>
          </cell>
          <cell r="B11153" t="str">
            <v>T1015</v>
          </cell>
          <cell r="C11153" t="str">
            <v>ซาติน แขนสั้นขายาว Flower Pink พื้นชมพู 2XL (กปก)</v>
          </cell>
          <cell r="E11153">
            <v>0</v>
          </cell>
          <cell r="F11153">
            <v>890</v>
          </cell>
        </row>
        <row r="11154">
          <cell r="A11154" t="str">
            <v>ST1015-L</v>
          </cell>
          <cell r="B11154" t="str">
            <v>T1015</v>
          </cell>
          <cell r="C11154" t="str">
            <v>ซาติน แขนสั้นขายาว Flower Pink พื้นชมพู L (กปก)</v>
          </cell>
          <cell r="E11154">
            <v>0</v>
          </cell>
          <cell r="F11154">
            <v>590</v>
          </cell>
        </row>
        <row r="11155">
          <cell r="A11155" t="str">
            <v>ST1015-M</v>
          </cell>
          <cell r="B11155" t="str">
            <v>T1015</v>
          </cell>
          <cell r="C11155" t="str">
            <v>ซาติน แขนสั้นขายาว Flower Pink พื้นชมพู M (กปก)</v>
          </cell>
          <cell r="E11155">
            <v>0</v>
          </cell>
          <cell r="F11155">
            <v>890</v>
          </cell>
        </row>
        <row r="11156">
          <cell r="A11156" t="str">
            <v>ST1015-XL</v>
          </cell>
          <cell r="B11156" t="str">
            <v>T1015</v>
          </cell>
          <cell r="C11156" t="str">
            <v>ซาติน แขนสั้นขายาว Flower Pink พื้นชมพู XL (กปก)</v>
          </cell>
          <cell r="E11156">
            <v>0</v>
          </cell>
          <cell r="F11156">
            <v>890</v>
          </cell>
        </row>
        <row r="11157">
          <cell r="A11157" t="str">
            <v>ST1016-2XL</v>
          </cell>
          <cell r="B11157" t="str">
            <v>T1016</v>
          </cell>
          <cell r="C11157" t="str">
            <v>ซาติน แขนสั้นขายาว Flower Blue พื้นขาว 2XL (กปก)</v>
          </cell>
          <cell r="E11157">
            <v>0</v>
          </cell>
          <cell r="F11157">
            <v>890</v>
          </cell>
        </row>
        <row r="11158">
          <cell r="A11158" t="str">
            <v>ST1016-L</v>
          </cell>
          <cell r="B11158" t="str">
            <v>T1016</v>
          </cell>
          <cell r="C11158" t="str">
            <v>ซาติน แขนสั้นขายาว Flower Blue พื้นขาว L (กปก)</v>
          </cell>
          <cell r="E11158">
            <v>0</v>
          </cell>
          <cell r="F11158">
            <v>890</v>
          </cell>
        </row>
        <row r="11159">
          <cell r="A11159" t="str">
            <v>ST1016-M</v>
          </cell>
          <cell r="B11159" t="str">
            <v>QT1016</v>
          </cell>
          <cell r="C11159" t="str">
            <v>ซาติน แขนสั้นขายาว Flower Blue พื้นขาว M (กปก) QC</v>
          </cell>
          <cell r="E11159">
            <v>0</v>
          </cell>
          <cell r="F11159">
            <v>890</v>
          </cell>
        </row>
        <row r="11160">
          <cell r="A11160" t="str">
            <v>ST1016-XL</v>
          </cell>
          <cell r="B11160" t="str">
            <v>T1016</v>
          </cell>
          <cell r="C11160" t="str">
            <v>ซาติน แขนสั้นขายาว Flower Blue พื้นขาว XL (กปก)</v>
          </cell>
          <cell r="E11160">
            <v>0</v>
          </cell>
          <cell r="F11160">
            <v>890</v>
          </cell>
        </row>
        <row r="11161">
          <cell r="A11161" t="str">
            <v>ST1017-2XL</v>
          </cell>
          <cell r="B11161" t="str">
            <v>T1017</v>
          </cell>
          <cell r="C11161" t="str">
            <v>ซาติน แขนสั้นขายาว Flower Green พื้นครีม 2XL (กปก)</v>
          </cell>
          <cell r="E11161">
            <v>0</v>
          </cell>
          <cell r="F11161">
            <v>890</v>
          </cell>
        </row>
        <row r="11162">
          <cell r="A11162" t="str">
            <v>ST1017-L</v>
          </cell>
          <cell r="B11162" t="str">
            <v>T1017</v>
          </cell>
          <cell r="C11162" t="str">
            <v>ซาติน แขนสั้นขายาว Flower Green พื้นครีม L (กปก)</v>
          </cell>
          <cell r="E11162">
            <v>0</v>
          </cell>
          <cell r="F11162">
            <v>890</v>
          </cell>
        </row>
        <row r="11163">
          <cell r="A11163" t="str">
            <v>ST1017-M</v>
          </cell>
          <cell r="B11163" t="str">
            <v>T1017</v>
          </cell>
          <cell r="C11163" t="str">
            <v>ซาติน แขนสั้นขายาว Flower Green พื้นครีม M (กปก)</v>
          </cell>
          <cell r="E11163">
            <v>0</v>
          </cell>
          <cell r="F11163">
            <v>890</v>
          </cell>
        </row>
        <row r="11164">
          <cell r="A11164" t="str">
            <v>ST1017-XL</v>
          </cell>
          <cell r="B11164" t="str">
            <v>T1017</v>
          </cell>
          <cell r="C11164" t="str">
            <v>ซาติน แขนสั้นขายาว Flower Green พื้นครีม XL (กปก)</v>
          </cell>
          <cell r="E11164">
            <v>0</v>
          </cell>
          <cell r="F11164">
            <v>890</v>
          </cell>
        </row>
        <row r="11165">
          <cell r="A11165" t="str">
            <v>ST1018-2XL</v>
          </cell>
          <cell r="B11165" t="str">
            <v>T1018</v>
          </cell>
          <cell r="C11165" t="str">
            <v>ซาติน แขนสั้นขายาว Kakao Friend ม่วง 2XL (กปก)</v>
          </cell>
          <cell r="E11165">
            <v>0</v>
          </cell>
          <cell r="F11165">
            <v>1590</v>
          </cell>
        </row>
        <row r="11166">
          <cell r="A11166" t="str">
            <v>ST1018-L</v>
          </cell>
          <cell r="B11166" t="str">
            <v>QT1018</v>
          </cell>
          <cell r="C11166" t="str">
            <v>ซาติน แขนสั้นขายาว Kakao Friend ม่วง L (กปก) QC</v>
          </cell>
          <cell r="E11166">
            <v>0</v>
          </cell>
          <cell r="F11166">
            <v>1590</v>
          </cell>
        </row>
        <row r="11167">
          <cell r="A11167" t="str">
            <v>ST1018-M</v>
          </cell>
          <cell r="B11167" t="str">
            <v>T1018</v>
          </cell>
          <cell r="C11167" t="str">
            <v>ซาติน แขนสั้นขายาว Kakao Friend ม่วง M (กปก)</v>
          </cell>
          <cell r="E11167">
            <v>0</v>
          </cell>
          <cell r="F11167">
            <v>1590</v>
          </cell>
        </row>
        <row r="11168">
          <cell r="A11168" t="str">
            <v>ST1018-XL</v>
          </cell>
          <cell r="B11168" t="str">
            <v>T1018</v>
          </cell>
          <cell r="C11168" t="str">
            <v>ซาติน แขนสั้นขายาว Kakao Friend ม่วง XL (กปก)</v>
          </cell>
          <cell r="E11168">
            <v>0</v>
          </cell>
          <cell r="F11168">
            <v>1590</v>
          </cell>
        </row>
        <row r="11169">
          <cell r="A11169" t="str">
            <v>ST1019-2XL</v>
          </cell>
          <cell r="B11169" t="str">
            <v>T1019</v>
          </cell>
          <cell r="C11169" t="str">
            <v>ซาติน แขนสั้นขายาว Kakao Friend น้ำเงิน 2XL (กปก)</v>
          </cell>
          <cell r="E11169">
            <v>0</v>
          </cell>
          <cell r="F11169">
            <v>1590</v>
          </cell>
        </row>
        <row r="11170">
          <cell r="A11170" t="str">
            <v>ST1019-L</v>
          </cell>
          <cell r="B11170" t="str">
            <v>T1019</v>
          </cell>
          <cell r="C11170" t="str">
            <v>ซาติน แขนสั้นขายาว Kakao Friend น้ำเงิน L (กปก)</v>
          </cell>
          <cell r="E11170">
            <v>0</v>
          </cell>
          <cell r="F11170">
            <v>1590</v>
          </cell>
        </row>
        <row r="11171">
          <cell r="A11171" t="str">
            <v>ST1019-M</v>
          </cell>
          <cell r="B11171" t="str">
            <v>T1019</v>
          </cell>
          <cell r="C11171" t="str">
            <v>ซาติน แขนสั้นขายาว Kakao Friend น้ำเงิน M (กปก)</v>
          </cell>
          <cell r="E11171">
            <v>0</v>
          </cell>
          <cell r="F11171">
            <v>1590</v>
          </cell>
        </row>
        <row r="11172">
          <cell r="A11172" t="str">
            <v>ST1019-XL</v>
          </cell>
          <cell r="B11172" t="str">
            <v>T1019</v>
          </cell>
          <cell r="C11172" t="str">
            <v>ซาติน แขนสั้นขายาว Kakao Friend น้ำเงิน XL (กปก)</v>
          </cell>
          <cell r="E11172">
            <v>0</v>
          </cell>
          <cell r="F11172">
            <v>1590</v>
          </cell>
        </row>
        <row r="11173">
          <cell r="A11173" t="str">
            <v>ST1020-2XL</v>
          </cell>
          <cell r="B11173" t="str">
            <v>T1020</v>
          </cell>
          <cell r="C11173" t="str">
            <v>ซาติน แขนสั้นขายาว กุหลาบ ปกม่วง 2XL (กปก)</v>
          </cell>
          <cell r="E11173">
            <v>0</v>
          </cell>
          <cell r="F11173">
            <v>890</v>
          </cell>
        </row>
        <row r="11174">
          <cell r="A11174" t="str">
            <v>ST1020-L</v>
          </cell>
          <cell r="B11174" t="str">
            <v>T1020</v>
          </cell>
          <cell r="C11174" t="str">
            <v>ซาติน แขนสั้นขายาว กุหลาบ ปกม่วง L (กปก)</v>
          </cell>
          <cell r="E11174">
            <v>0</v>
          </cell>
          <cell r="F11174">
            <v>890</v>
          </cell>
        </row>
        <row r="11175">
          <cell r="A11175" t="str">
            <v>ST1020-M</v>
          </cell>
          <cell r="B11175" t="str">
            <v>T1020</v>
          </cell>
          <cell r="C11175" t="str">
            <v>ซาติน แขนสั้นขายาว กุหลาบ ปกม่วง M (กปก)</v>
          </cell>
          <cell r="E11175">
            <v>0</v>
          </cell>
          <cell r="F11175">
            <v>890</v>
          </cell>
        </row>
        <row r="11176">
          <cell r="A11176" t="str">
            <v>ST1020-XL</v>
          </cell>
          <cell r="B11176" t="str">
            <v>T1020</v>
          </cell>
          <cell r="C11176" t="str">
            <v>ซาติน แขนสั้นขายาว กุหลาบ ปกม่วง XL (กปก)</v>
          </cell>
          <cell r="E11176">
            <v>0</v>
          </cell>
          <cell r="F11176">
            <v>890</v>
          </cell>
        </row>
        <row r="11177">
          <cell r="A11177" t="str">
            <v>ST1021-2XL</v>
          </cell>
          <cell r="B11177" t="str">
            <v>T1021</v>
          </cell>
          <cell r="C11177" t="str">
            <v>ซาติน แขนสั้นขายาว กุหลาบเถาวัลย์ พื้นม่วง 2XL (กปก)</v>
          </cell>
          <cell r="E11177">
            <v>0</v>
          </cell>
          <cell r="F11177">
            <v>890</v>
          </cell>
        </row>
        <row r="11178">
          <cell r="A11178" t="str">
            <v>ST1021-L</v>
          </cell>
          <cell r="B11178" t="str">
            <v>QT1021</v>
          </cell>
          <cell r="C11178" t="str">
            <v>ซาติน แขนสั้นขายาว กุหลาบเถาวัลย์ พื้นม่วง L (กปก) QC</v>
          </cell>
          <cell r="E11178">
            <v>0</v>
          </cell>
          <cell r="F11178">
            <v>890</v>
          </cell>
        </row>
        <row r="11179">
          <cell r="A11179" t="str">
            <v>ST1021-M</v>
          </cell>
          <cell r="B11179" t="str">
            <v>T1021</v>
          </cell>
          <cell r="C11179" t="str">
            <v>ซาติน แขนสั้นขายาว กุหลาบเถาวัลย์ พื้นม่วง M (กปก)</v>
          </cell>
          <cell r="E11179">
            <v>0</v>
          </cell>
          <cell r="F11179">
            <v>890</v>
          </cell>
        </row>
        <row r="11180">
          <cell r="A11180" t="str">
            <v>ST1021-XL</v>
          </cell>
          <cell r="B11180" t="str">
            <v>T1021</v>
          </cell>
          <cell r="C11180" t="str">
            <v>ซาติน แขนสั้นขายาว กุหลาบเถาวัลย์ พื้นม่วง XL (กปก)</v>
          </cell>
          <cell r="E11180">
            <v>0</v>
          </cell>
          <cell r="F11180">
            <v>890</v>
          </cell>
        </row>
        <row r="11181">
          <cell r="A11181" t="str">
            <v>ST1022-2XL</v>
          </cell>
          <cell r="B11181" t="str">
            <v>T1022</v>
          </cell>
          <cell r="C11181" t="str">
            <v>ซาติน แขนสั้นขายาว Rabbit kook พื้นชมพู 2XL (กปก)</v>
          </cell>
          <cell r="E11181">
            <v>0</v>
          </cell>
          <cell r="F11181">
            <v>890</v>
          </cell>
        </row>
        <row r="11182">
          <cell r="A11182" t="str">
            <v>ST1022-L</v>
          </cell>
          <cell r="B11182" t="str">
            <v>T1022</v>
          </cell>
          <cell r="C11182" t="str">
            <v>ซาติน แขนสั้นขายาว Rabbit kook พื้นชมพู L (กปก)</v>
          </cell>
          <cell r="E11182">
            <v>0</v>
          </cell>
          <cell r="F11182">
            <v>890</v>
          </cell>
        </row>
        <row r="11183">
          <cell r="A11183" t="str">
            <v>ST1022-M</v>
          </cell>
          <cell r="B11183" t="str">
            <v>T1022</v>
          </cell>
          <cell r="C11183" t="str">
            <v>ซาติน แขนสั้นขายาว Rabbit kook พื้นชมพู M (กปก)</v>
          </cell>
          <cell r="E11183">
            <v>0</v>
          </cell>
          <cell r="F11183">
            <v>890</v>
          </cell>
        </row>
        <row r="11184">
          <cell r="A11184" t="str">
            <v>ST1022-XL</v>
          </cell>
          <cell r="B11184" t="str">
            <v>T1022</v>
          </cell>
          <cell r="C11184" t="str">
            <v>ซาติน แขนสั้นขายาว Rabbit kook พื้นชมพู XL (กปก)</v>
          </cell>
          <cell r="E11184">
            <v>0</v>
          </cell>
          <cell r="F11184">
            <v>890</v>
          </cell>
        </row>
        <row r="11185">
          <cell r="A11185" t="str">
            <v>ST1023-2XL</v>
          </cell>
          <cell r="B11185" t="str">
            <v>T1023</v>
          </cell>
          <cell r="C11185" t="str">
            <v>ซาติน แขนสั้นขายาว Rabbit kook พื้นฟ้า 2XL (กปก)</v>
          </cell>
          <cell r="E11185">
            <v>0</v>
          </cell>
          <cell r="F11185">
            <v>890</v>
          </cell>
        </row>
        <row r="11186">
          <cell r="A11186" t="str">
            <v>ST1023-L</v>
          </cell>
          <cell r="B11186" t="str">
            <v>T1023</v>
          </cell>
          <cell r="C11186" t="str">
            <v>ซาติน แขนสั้นขายาว Rabbit kook พื้นฟ้า L (กปก)</v>
          </cell>
          <cell r="E11186">
            <v>0</v>
          </cell>
          <cell r="F11186">
            <v>890</v>
          </cell>
        </row>
        <row r="11187">
          <cell r="A11187" t="str">
            <v>ST1023-M</v>
          </cell>
          <cell r="B11187" t="str">
            <v>T1023</v>
          </cell>
          <cell r="C11187" t="str">
            <v>ซาติน แขนสั้นขายาว Rabbit kook พื้นฟ้า M (กปก)</v>
          </cell>
          <cell r="E11187">
            <v>0</v>
          </cell>
          <cell r="F11187">
            <v>890</v>
          </cell>
        </row>
        <row r="11188">
          <cell r="A11188" t="str">
            <v>ST1023-XL</v>
          </cell>
          <cell r="B11188" t="str">
            <v>T1023</v>
          </cell>
          <cell r="C11188" t="str">
            <v>ซาติน แขนสั้นขายาว Rabbit kook พื้นฟ้า XL (กปก)</v>
          </cell>
          <cell r="E11188">
            <v>0</v>
          </cell>
          <cell r="F11188">
            <v>590</v>
          </cell>
        </row>
        <row r="11189">
          <cell r="A11189" t="str">
            <v>ST1024-2XL</v>
          </cell>
          <cell r="B11189" t="str">
            <v>T1024</v>
          </cell>
          <cell r="C11189" t="str">
            <v>ซาติน แขนสั้นขายาว ดอกไม้หลากสี 2XL</v>
          </cell>
          <cell r="E11189">
            <v>0</v>
          </cell>
          <cell r="F11189">
            <v>890</v>
          </cell>
        </row>
        <row r="11190">
          <cell r="A11190" t="str">
            <v>ST1024-L</v>
          </cell>
          <cell r="B11190" t="str">
            <v>T1024</v>
          </cell>
          <cell r="C11190" t="str">
            <v>ซาติน แขนสั้นขายาว ดอกไม้หลากสี L</v>
          </cell>
          <cell r="E11190">
            <v>0</v>
          </cell>
          <cell r="F11190">
            <v>890</v>
          </cell>
        </row>
        <row r="11191">
          <cell r="A11191" t="str">
            <v>ST1024-M</v>
          </cell>
          <cell r="B11191" t="str">
            <v>T1024</v>
          </cell>
          <cell r="C11191" t="str">
            <v>ซาติน แขนสั้นขายาว ดอกไม้หลากสี M</v>
          </cell>
          <cell r="E11191">
            <v>0</v>
          </cell>
          <cell r="F11191">
            <v>890</v>
          </cell>
        </row>
        <row r="11192">
          <cell r="A11192" t="str">
            <v>ST1024-XL</v>
          </cell>
          <cell r="B11192" t="str">
            <v>T1024</v>
          </cell>
          <cell r="C11192" t="str">
            <v>ซาติน แขนสั้นขายาว ดอกไม้หลากสี XL</v>
          </cell>
          <cell r="E11192">
            <v>0</v>
          </cell>
          <cell r="F11192">
            <v>890</v>
          </cell>
        </row>
        <row r="11193">
          <cell r="A11193" t="str">
            <v>ST1025-2XL</v>
          </cell>
          <cell r="B11193" t="str">
            <v>T1025</v>
          </cell>
          <cell r="C11193" t="str">
            <v>ซาติน แขนสั้นขายาว ยีราฟ พื้นเขียว 2XL (กปก)</v>
          </cell>
          <cell r="E11193">
            <v>0</v>
          </cell>
          <cell r="F11193">
            <v>890</v>
          </cell>
        </row>
        <row r="11194">
          <cell r="A11194" t="str">
            <v>ST1025-L</v>
          </cell>
          <cell r="B11194" t="str">
            <v>T1025</v>
          </cell>
          <cell r="C11194" t="str">
            <v>ซาติน แขนสั้นขายาว ยีราฟ พื้นเขียว L (กปก)</v>
          </cell>
          <cell r="E11194">
            <v>0</v>
          </cell>
          <cell r="F11194">
            <v>890</v>
          </cell>
        </row>
        <row r="11195">
          <cell r="A11195" t="str">
            <v>ST1025-M</v>
          </cell>
          <cell r="B11195" t="str">
            <v>T1025</v>
          </cell>
          <cell r="C11195" t="str">
            <v>ซาติน แขนสั้นขายาว ยีราฟ พื้นเขียว M (กปก)</v>
          </cell>
          <cell r="E11195">
            <v>0</v>
          </cell>
          <cell r="F11195">
            <v>890</v>
          </cell>
        </row>
        <row r="11196">
          <cell r="A11196" t="str">
            <v>ST1025-XL</v>
          </cell>
          <cell r="B11196" t="str">
            <v>T1025</v>
          </cell>
          <cell r="C11196" t="str">
            <v>ซาติน แขนสั้นขายาว ยีราฟ พื้นเขียว XL (กปก)</v>
          </cell>
          <cell r="E11196">
            <v>0</v>
          </cell>
          <cell r="F11196">
            <v>890</v>
          </cell>
        </row>
        <row r="11197">
          <cell r="A11197" t="str">
            <v>ST1028-2XL</v>
          </cell>
          <cell r="B11197" t="str">
            <v>QT1028</v>
          </cell>
          <cell r="C11197" t="str">
            <v>ซาติน แขนสั้นขายาว Duck White พื้นเหลือง 2XL QC</v>
          </cell>
          <cell r="E11197">
            <v>0</v>
          </cell>
          <cell r="F11197">
            <v>890</v>
          </cell>
        </row>
        <row r="11198">
          <cell r="A11198" t="str">
            <v>ST1028-L</v>
          </cell>
          <cell r="B11198" t="str">
            <v>QT1028</v>
          </cell>
          <cell r="C11198" t="str">
            <v>ซาติน แขนสั้นขายาว Duck White พื้นเหลือง L QC</v>
          </cell>
          <cell r="E11198">
            <v>0</v>
          </cell>
          <cell r="F11198">
            <v>890</v>
          </cell>
        </row>
        <row r="11199">
          <cell r="A11199" t="str">
            <v>ST1028-M</v>
          </cell>
          <cell r="B11199" t="str">
            <v>QT1028</v>
          </cell>
          <cell r="C11199" t="str">
            <v>ซาติน แขนสั้นขายาว Duck White พื้นเหลือง M QC</v>
          </cell>
          <cell r="E11199">
            <v>0</v>
          </cell>
          <cell r="F11199">
            <v>890</v>
          </cell>
        </row>
        <row r="11200">
          <cell r="A11200" t="str">
            <v>ST1028-XL</v>
          </cell>
          <cell r="B11200" t="str">
            <v>T1028</v>
          </cell>
          <cell r="C11200" t="str">
            <v>ซาติน แขนสั้นขายาว Duck White พื้นเหลือง XL</v>
          </cell>
          <cell r="E11200">
            <v>0</v>
          </cell>
          <cell r="F11200">
            <v>890</v>
          </cell>
        </row>
        <row r="11201">
          <cell r="A11201" t="str">
            <v>ST1029-2XL</v>
          </cell>
          <cell r="B11201" t="str">
            <v>T1029</v>
          </cell>
          <cell r="C11201" t="str">
            <v>ซาติน แขนสั้นขายาว Teddy Bear แดง 2XL (กปก)</v>
          </cell>
          <cell r="E11201">
            <v>0</v>
          </cell>
          <cell r="F11201">
            <v>590</v>
          </cell>
        </row>
        <row r="11202">
          <cell r="A11202" t="str">
            <v>ST1029-L</v>
          </cell>
          <cell r="B11202" t="str">
            <v>T1029</v>
          </cell>
          <cell r="C11202" t="str">
            <v>ซาติน แขนสั้นขายาว Teddy Bear แดง L (กปก)</v>
          </cell>
          <cell r="E11202">
            <v>0</v>
          </cell>
          <cell r="F11202">
            <v>590</v>
          </cell>
        </row>
        <row r="11203">
          <cell r="A11203" t="str">
            <v>ST1029-M</v>
          </cell>
          <cell r="B11203" t="str">
            <v>T1029</v>
          </cell>
          <cell r="C11203" t="str">
            <v>ซาติน แขนสั้นขายาว Teddy Bear แดง M (กปก)</v>
          </cell>
          <cell r="E11203">
            <v>0</v>
          </cell>
          <cell r="F11203">
            <v>590</v>
          </cell>
        </row>
        <row r="11204">
          <cell r="A11204" t="str">
            <v>ST1029-XL</v>
          </cell>
          <cell r="B11204" t="str">
            <v>T1029</v>
          </cell>
          <cell r="C11204" t="str">
            <v>ซาติน แขนสั้นขายาว Teddy Bear แดง XL (กปก)</v>
          </cell>
          <cell r="E11204">
            <v>0</v>
          </cell>
          <cell r="F11204">
            <v>890</v>
          </cell>
        </row>
        <row r="11205">
          <cell r="A11205" t="str">
            <v>ST1030-2XL</v>
          </cell>
          <cell r="B11205" t="str">
            <v>T1030</v>
          </cell>
          <cell r="C11205" t="str">
            <v>ซาติน แขนสั้นขายาว Teddy Bear เขียว 2XL (กปก)</v>
          </cell>
          <cell r="E11205">
            <v>0</v>
          </cell>
          <cell r="F11205">
            <v>890</v>
          </cell>
        </row>
        <row r="11206">
          <cell r="A11206" t="str">
            <v>ST1030-L</v>
          </cell>
          <cell r="B11206" t="str">
            <v>T1030</v>
          </cell>
          <cell r="C11206" t="str">
            <v>ซาติน แขนสั้นขายาว Teddy Bear เขียว L (กปก)</v>
          </cell>
          <cell r="E11206">
            <v>0</v>
          </cell>
          <cell r="F11206">
            <v>890</v>
          </cell>
        </row>
        <row r="11207">
          <cell r="A11207" t="str">
            <v>ST1030-M</v>
          </cell>
          <cell r="B11207" t="str">
            <v>T1030</v>
          </cell>
          <cell r="C11207" t="str">
            <v>ซาติน แขนสั้นขายาว Teddy Bear เขียว M (กปก)</v>
          </cell>
          <cell r="E11207">
            <v>0</v>
          </cell>
          <cell r="F11207">
            <v>890</v>
          </cell>
        </row>
        <row r="11208">
          <cell r="A11208" t="str">
            <v>ST1030-XL</v>
          </cell>
          <cell r="B11208" t="str">
            <v>T1030</v>
          </cell>
          <cell r="C11208" t="str">
            <v>ซาติน แขนสั้นขายาว Teddy Bear เขียว XL (กปก)</v>
          </cell>
          <cell r="E11208">
            <v>0</v>
          </cell>
          <cell r="F11208">
            <v>890</v>
          </cell>
        </row>
        <row r="11209">
          <cell r="A11209" t="str">
            <v>ST1031-2XL</v>
          </cell>
          <cell r="B11209" t="str">
            <v>T1031</v>
          </cell>
          <cell r="C11209" t="str">
            <v>ซาติน แขนสั้นขายาว Teddy Bear ม่วง 2XL (กปก)</v>
          </cell>
          <cell r="E11209">
            <v>0</v>
          </cell>
          <cell r="F11209">
            <v>890</v>
          </cell>
        </row>
        <row r="11210">
          <cell r="A11210" t="str">
            <v>ST1031-L</v>
          </cell>
          <cell r="B11210" t="str">
            <v>T1031</v>
          </cell>
          <cell r="C11210" t="str">
            <v>ซาติน แขนสั้นขายาว Teddy Bear ม่วง L (กปก)</v>
          </cell>
          <cell r="E11210">
            <v>0</v>
          </cell>
          <cell r="F11210">
            <v>890</v>
          </cell>
        </row>
        <row r="11211">
          <cell r="A11211" t="str">
            <v>ST1031-M</v>
          </cell>
          <cell r="B11211" t="str">
            <v>T1031</v>
          </cell>
          <cell r="C11211" t="str">
            <v>ซาติน แขนสั้นขายาว Teddy Bear ม่วง M (กปก)</v>
          </cell>
          <cell r="E11211">
            <v>0</v>
          </cell>
          <cell r="F11211">
            <v>590</v>
          </cell>
        </row>
        <row r="11212">
          <cell r="A11212" t="str">
            <v>ST1031-XL</v>
          </cell>
          <cell r="B11212" t="str">
            <v>T1031</v>
          </cell>
          <cell r="C11212" t="str">
            <v>ซาติน แขนสั้นขายาว Teddy Bear ม่วง XL (กปก)</v>
          </cell>
          <cell r="E11212">
            <v>0</v>
          </cell>
          <cell r="F11212">
            <v>890</v>
          </cell>
        </row>
        <row r="11213">
          <cell r="A11213" t="str">
            <v>ST1032-2XL</v>
          </cell>
          <cell r="B11213" t="str">
            <v>T1032</v>
          </cell>
          <cell r="C11213" t="str">
            <v>ซาติน แขนสั้นขายาว Cute Cat 2XL  (กปก)</v>
          </cell>
          <cell r="E11213">
            <v>0</v>
          </cell>
          <cell r="F11213">
            <v>890</v>
          </cell>
        </row>
        <row r="11214">
          <cell r="A11214" t="str">
            <v>ST1032-L</v>
          </cell>
          <cell r="B11214" t="str">
            <v>T1032</v>
          </cell>
          <cell r="C11214" t="str">
            <v>ซาติน แขนสั้นขายาว Cute Cat L (กปก)</v>
          </cell>
          <cell r="E11214">
            <v>0</v>
          </cell>
          <cell r="F11214">
            <v>890</v>
          </cell>
        </row>
        <row r="11215">
          <cell r="A11215" t="str">
            <v>ST1032-M</v>
          </cell>
          <cell r="B11215" t="str">
            <v>QT1032</v>
          </cell>
          <cell r="C11215" t="str">
            <v>ซาติน แขนสั้นขายาว Cute Cat M (กปก) QC</v>
          </cell>
          <cell r="E11215">
            <v>0</v>
          </cell>
          <cell r="F11215">
            <v>890</v>
          </cell>
        </row>
        <row r="11216">
          <cell r="A11216" t="str">
            <v>ST1032-XL</v>
          </cell>
          <cell r="B11216" t="str">
            <v>T1032</v>
          </cell>
          <cell r="C11216" t="str">
            <v>ซาติน แขนสั้นขายาว Cute Cat XL (กปก)</v>
          </cell>
          <cell r="E11216">
            <v>0</v>
          </cell>
          <cell r="F11216">
            <v>890</v>
          </cell>
        </row>
        <row r="11217">
          <cell r="A11217" t="str">
            <v>ST1033-2XL</v>
          </cell>
          <cell r="B11217" t="str">
            <v>T1033</v>
          </cell>
          <cell r="C11217" t="str">
            <v>ซาติน แขนสั้นขายาว เยลโล่ แร็บบิท พื้นครีม 2XL  (กปก)</v>
          </cell>
          <cell r="E11217">
            <v>0</v>
          </cell>
          <cell r="F11217">
            <v>890</v>
          </cell>
        </row>
        <row r="11218">
          <cell r="A11218" t="str">
            <v>ST1033-L</v>
          </cell>
          <cell r="B11218" t="str">
            <v>T1033</v>
          </cell>
          <cell r="C11218" t="str">
            <v>ซาติน แขนสั้นขายาว เยลโล่ แร็บบิท พื้นครีม L (กปก)</v>
          </cell>
          <cell r="E11218">
            <v>0</v>
          </cell>
          <cell r="F11218">
            <v>890</v>
          </cell>
        </row>
        <row r="11219">
          <cell r="A11219" t="str">
            <v>ST1033-M</v>
          </cell>
          <cell r="B11219" t="str">
            <v>T1033</v>
          </cell>
          <cell r="C11219" t="str">
            <v>ซาติน แขนสั้นขายาว เยลโล่ แร็บบิท พื้นครีม M (กปก)</v>
          </cell>
          <cell r="E11219">
            <v>0</v>
          </cell>
          <cell r="F11219">
            <v>590</v>
          </cell>
        </row>
        <row r="11220">
          <cell r="A11220" t="str">
            <v>ST1033-XL</v>
          </cell>
          <cell r="B11220" t="str">
            <v>T1033</v>
          </cell>
          <cell r="C11220" t="str">
            <v>ซาติน แขนสั้นขายาว เยลโล่ แร็บบิท พื้นครีม XL (กปก)</v>
          </cell>
          <cell r="E11220">
            <v>0</v>
          </cell>
          <cell r="F11220">
            <v>890</v>
          </cell>
        </row>
        <row r="11221">
          <cell r="A11221" t="str">
            <v>ST1034-2XL</v>
          </cell>
          <cell r="B11221" t="str">
            <v>T1034</v>
          </cell>
          <cell r="C11221" t="str">
            <v>ซาติน แขนสั้นขายาว เยลโล่ แร็บบิท พื้นเขียว 2XL  (กปก)</v>
          </cell>
          <cell r="E11221">
            <v>0</v>
          </cell>
          <cell r="F11221">
            <v>890</v>
          </cell>
        </row>
        <row r="11222">
          <cell r="A11222" t="str">
            <v>ST1034-L</v>
          </cell>
          <cell r="B11222" t="str">
            <v>T1034</v>
          </cell>
          <cell r="C11222" t="str">
            <v>ซาติน แขนสั้นขายาว เยลโล่ แร็บบิท พื้นเขียว L (กปก)</v>
          </cell>
          <cell r="E11222">
            <v>0</v>
          </cell>
          <cell r="F11222">
            <v>890</v>
          </cell>
        </row>
        <row r="11223">
          <cell r="A11223" t="str">
            <v>ST1034-M</v>
          </cell>
          <cell r="B11223" t="str">
            <v>T1034</v>
          </cell>
          <cell r="C11223" t="str">
            <v>ซาติน แขนสั้นขายาว เยลโล่ แร็บบิท พื้นเขียว M (กปก)</v>
          </cell>
          <cell r="E11223">
            <v>0</v>
          </cell>
          <cell r="F11223">
            <v>890</v>
          </cell>
        </row>
        <row r="11224">
          <cell r="A11224" t="str">
            <v>ST1034-XL</v>
          </cell>
          <cell r="B11224" t="str">
            <v>T1034</v>
          </cell>
          <cell r="C11224" t="str">
            <v>ซาติน แขนสั้นขายาว เยลโล่ แร็บบิท พื้นเขียว XL (กปก)</v>
          </cell>
          <cell r="E11224">
            <v>0</v>
          </cell>
          <cell r="F11224">
            <v>890</v>
          </cell>
        </row>
        <row r="11225">
          <cell r="A11225" t="str">
            <v>ST1035-2XL</v>
          </cell>
          <cell r="B11225" t="str">
            <v>QT1035</v>
          </cell>
          <cell r="C11225" t="str">
            <v>ซาติน แขนสั้นขายาว หมาขาว พื้นม่วง 2XL  (กปก) QC</v>
          </cell>
          <cell r="E11225">
            <v>0</v>
          </cell>
          <cell r="F11225">
            <v>890</v>
          </cell>
        </row>
        <row r="11226">
          <cell r="A11226" t="str">
            <v>ST1035-L</v>
          </cell>
          <cell r="B11226" t="str">
            <v>T1035</v>
          </cell>
          <cell r="C11226" t="str">
            <v>ซาติน แขนสั้นขายาว หมาขาว พื้นม่วง L (กปก)</v>
          </cell>
          <cell r="E11226">
            <v>0</v>
          </cell>
          <cell r="F11226">
            <v>890</v>
          </cell>
        </row>
        <row r="11227">
          <cell r="A11227" t="str">
            <v>ST1035-M</v>
          </cell>
          <cell r="B11227" t="str">
            <v>T1035</v>
          </cell>
          <cell r="C11227" t="str">
            <v>ซาติน แขนสั้นขายาว หมาขาว พื้นม่วง M (กปก)</v>
          </cell>
          <cell r="E11227">
            <v>0</v>
          </cell>
          <cell r="F11227">
            <v>890</v>
          </cell>
        </row>
        <row r="11228">
          <cell r="A11228" t="str">
            <v>ST1035-XL</v>
          </cell>
          <cell r="B11228" t="str">
            <v>T1035</v>
          </cell>
          <cell r="C11228" t="str">
            <v>ซาติน แขนสั้นขายาว หมาขาว พื้นม่วง XL (กปก)</v>
          </cell>
          <cell r="E11228">
            <v>0</v>
          </cell>
          <cell r="F11228">
            <v>890</v>
          </cell>
        </row>
        <row r="11229">
          <cell r="A11229" t="str">
            <v>ST1036-2XL</v>
          </cell>
          <cell r="B11229" t="str">
            <v>T1036</v>
          </cell>
          <cell r="C11229" t="str">
            <v>ซาติน แขนสั้นขายาว กระต่ายขาว ขอบชมพู 2XL (กปก)</v>
          </cell>
          <cell r="E11229">
            <v>0</v>
          </cell>
          <cell r="F11229">
            <v>890</v>
          </cell>
        </row>
        <row r="11230">
          <cell r="A11230" t="str">
            <v>ST1036-L</v>
          </cell>
          <cell r="B11230" t="str">
            <v>T1036</v>
          </cell>
          <cell r="C11230" t="str">
            <v>ซาติน แขนสั้นขายาว กระต่ายขาว ขอบชมพู L (กปก)</v>
          </cell>
          <cell r="E11230">
            <v>0</v>
          </cell>
          <cell r="F11230">
            <v>890</v>
          </cell>
        </row>
        <row r="11231">
          <cell r="A11231" t="str">
            <v>ST1036-M</v>
          </cell>
          <cell r="B11231" t="str">
            <v>T1036</v>
          </cell>
          <cell r="C11231" t="str">
            <v>ซาติน แขนสั้นขายาว กระต่ายขาว ขอบชมพู M (กปก)</v>
          </cell>
          <cell r="E11231">
            <v>0</v>
          </cell>
          <cell r="F11231">
            <v>890</v>
          </cell>
        </row>
        <row r="11232">
          <cell r="A11232" t="str">
            <v>ST1036-XL</v>
          </cell>
          <cell r="B11232" t="str">
            <v>T1036</v>
          </cell>
          <cell r="C11232" t="str">
            <v>ซาติน แขนสั้นขายาว กระต่ายขาว ขอบชมพู XL (กปก)</v>
          </cell>
          <cell r="E11232">
            <v>0</v>
          </cell>
          <cell r="F11232">
            <v>890</v>
          </cell>
        </row>
        <row r="11233">
          <cell r="A11233" t="str">
            <v>ST1037-2XL</v>
          </cell>
          <cell r="B11233" t="str">
            <v>T1037</v>
          </cell>
          <cell r="C11233" t="str">
            <v>ซาติน แขนสั้นขายาว ชมพูส้ม พาสเทล 2XL (กปก)</v>
          </cell>
          <cell r="E11233">
            <v>0</v>
          </cell>
          <cell r="F11233">
            <v>890</v>
          </cell>
        </row>
        <row r="11234">
          <cell r="A11234" t="str">
            <v>ST1037-L</v>
          </cell>
          <cell r="B11234" t="str">
            <v>T1037</v>
          </cell>
          <cell r="C11234" t="str">
            <v>ซาติน แขนสั้นขายาว ชมพูส้ม พาสเทล L (กปก)</v>
          </cell>
          <cell r="E11234">
            <v>0</v>
          </cell>
          <cell r="F11234">
            <v>890</v>
          </cell>
        </row>
        <row r="11235">
          <cell r="A11235" t="str">
            <v>ST1037-M</v>
          </cell>
          <cell r="B11235" t="str">
            <v>T1037</v>
          </cell>
          <cell r="C11235" t="str">
            <v>ซาติน แขนสั้นขายาว ชมพูส้ม พาสเทล M (กปก)</v>
          </cell>
          <cell r="E11235">
            <v>0</v>
          </cell>
          <cell r="F11235">
            <v>890</v>
          </cell>
        </row>
        <row r="11236">
          <cell r="A11236" t="str">
            <v>ST1037-XL</v>
          </cell>
          <cell r="B11236" t="str">
            <v>T1037</v>
          </cell>
          <cell r="C11236" t="str">
            <v>ซาติน แขนสั้นขายาว ชมพูส้ม พาสเทล XL (กปก)</v>
          </cell>
          <cell r="E11236">
            <v>0</v>
          </cell>
          <cell r="F11236">
            <v>890</v>
          </cell>
        </row>
        <row r="11237">
          <cell r="A11237" t="str">
            <v>ST1038-2XL</v>
          </cell>
          <cell r="B11237" t="str">
            <v>T1038</v>
          </cell>
          <cell r="C11237" t="str">
            <v>ซาติน แขนสั้นขายาว เขียวทูโทน พื้นฟ้า 2XL (กปก)</v>
          </cell>
          <cell r="E11237">
            <v>0</v>
          </cell>
          <cell r="F11237">
            <v>890</v>
          </cell>
        </row>
        <row r="11238">
          <cell r="A11238" t="str">
            <v>ST1038-L</v>
          </cell>
          <cell r="B11238" t="str">
            <v>T1038</v>
          </cell>
          <cell r="C11238" t="str">
            <v>ซาติน แขนสั้นขายาว เขียวทูโทน พื้นฟ้า L (กปก)</v>
          </cell>
          <cell r="E11238">
            <v>0</v>
          </cell>
          <cell r="F11238">
            <v>890</v>
          </cell>
        </row>
        <row r="11239">
          <cell r="A11239" t="str">
            <v>ST1038-M</v>
          </cell>
          <cell r="B11239" t="str">
            <v>T1038</v>
          </cell>
          <cell r="C11239" t="str">
            <v>ซาติน แขนสั้นขายาว เขียวทูโทน พื้นฟ้า M (กปก)</v>
          </cell>
          <cell r="E11239">
            <v>0</v>
          </cell>
          <cell r="F11239">
            <v>590</v>
          </cell>
        </row>
        <row r="11240">
          <cell r="A11240" t="str">
            <v>ST1038-XL</v>
          </cell>
          <cell r="B11240" t="str">
            <v>T1038</v>
          </cell>
          <cell r="C11240" t="str">
            <v>ซาติน แขนสั้นขายาว เขียวทูโทน พื้นฟ้า XL (กปก)</v>
          </cell>
          <cell r="E11240">
            <v>0</v>
          </cell>
          <cell r="F11240">
            <v>890</v>
          </cell>
        </row>
        <row r="11241">
          <cell r="A11241" t="str">
            <v>ST1039-2XL</v>
          </cell>
          <cell r="B11241" t="str">
            <v>T1039</v>
          </cell>
          <cell r="C11241" t="str">
            <v>ซาติน แขนสั้นขายาว ดอกไม้แดง พื้นชมพู ขอบเขียว 2XL (กปก)</v>
          </cell>
          <cell r="E11241">
            <v>0</v>
          </cell>
          <cell r="F11241">
            <v>890</v>
          </cell>
        </row>
        <row r="11242">
          <cell r="A11242" t="str">
            <v>ST1039-L</v>
          </cell>
          <cell r="B11242" t="str">
            <v>T1039</v>
          </cell>
          <cell r="C11242" t="str">
            <v>ซาติน แขนสั้นขายาว ดอกไม้แดง พื้นชมพู ขอบเขียว L (กปก)</v>
          </cell>
          <cell r="E11242">
            <v>0</v>
          </cell>
          <cell r="F11242">
            <v>890</v>
          </cell>
        </row>
        <row r="11243">
          <cell r="A11243" t="str">
            <v>ST1039-M</v>
          </cell>
          <cell r="B11243" t="str">
            <v>T1039</v>
          </cell>
          <cell r="C11243" t="str">
            <v>ซาติน แขนสั้นขายาว ดอกไม้แดง พื้นชมพู ขอบเขียว M (กปก)</v>
          </cell>
          <cell r="E11243">
            <v>0</v>
          </cell>
          <cell r="F11243">
            <v>890</v>
          </cell>
        </row>
        <row r="11244">
          <cell r="A11244" t="str">
            <v>ST1039-XL</v>
          </cell>
          <cell r="B11244" t="str">
            <v>T1039</v>
          </cell>
          <cell r="C11244" t="str">
            <v>ซาติน แขนสั้นขายาว ดอกไม้แดง พื้นชมพู ขอบเขียว XL (กปก)</v>
          </cell>
          <cell r="E11244">
            <v>0</v>
          </cell>
          <cell r="F11244">
            <v>890</v>
          </cell>
        </row>
        <row r="11245">
          <cell r="A11245" t="str">
            <v>ST1040-2XL</v>
          </cell>
          <cell r="B11245" t="str">
            <v>T1040</v>
          </cell>
          <cell r="C11245" t="str">
            <v>ซาติน แขนสั้นขายาว ชมพู กรม หลากสี 2XL (กปก)</v>
          </cell>
          <cell r="E11245">
            <v>0</v>
          </cell>
          <cell r="F11245">
            <v>890</v>
          </cell>
        </row>
        <row r="11246">
          <cell r="A11246" t="str">
            <v>ST1040-L</v>
          </cell>
          <cell r="B11246" t="str">
            <v>T1040</v>
          </cell>
          <cell r="C11246" t="str">
            <v>ซาติน แขนสั้นขายาว ชมพู กรม หลากสี L (กปก)</v>
          </cell>
          <cell r="E11246">
            <v>0</v>
          </cell>
          <cell r="F11246">
            <v>890</v>
          </cell>
        </row>
        <row r="11247">
          <cell r="A11247" t="str">
            <v>ST1040-M</v>
          </cell>
          <cell r="B11247" t="str">
            <v>T1040</v>
          </cell>
          <cell r="C11247" t="str">
            <v>ซาติน แขนสั้นขายาว ชมพู กรม หลากสี M (กปก)</v>
          </cell>
          <cell r="E11247">
            <v>0</v>
          </cell>
          <cell r="F11247">
            <v>890</v>
          </cell>
        </row>
        <row r="11248">
          <cell r="A11248" t="str">
            <v>ST1040-XL</v>
          </cell>
          <cell r="B11248" t="str">
            <v>T1040</v>
          </cell>
          <cell r="C11248" t="str">
            <v>ซาติน แขนสั้นขายาว ชมพู กรม หลากสี XL (กปก)</v>
          </cell>
          <cell r="E11248">
            <v>0</v>
          </cell>
          <cell r="F11248">
            <v>890</v>
          </cell>
        </row>
        <row r="11249">
          <cell r="A11249" t="str">
            <v>ST1041-2XL</v>
          </cell>
          <cell r="B11249" t="str">
            <v>T1041</v>
          </cell>
          <cell r="C11249" t="str">
            <v>ซาติน แขนสั้นขายาว Happy Baby Girl 2XL (กปก)</v>
          </cell>
          <cell r="E11249">
            <v>0</v>
          </cell>
          <cell r="F11249">
            <v>890</v>
          </cell>
        </row>
        <row r="11250">
          <cell r="A11250" t="str">
            <v>ST1041-L</v>
          </cell>
          <cell r="B11250" t="str">
            <v>T1041</v>
          </cell>
          <cell r="C11250" t="str">
            <v>ซาติน แขนสั้นขายาว Happy Baby Girl L (กปก)</v>
          </cell>
          <cell r="E11250">
            <v>0</v>
          </cell>
          <cell r="F11250">
            <v>890</v>
          </cell>
        </row>
        <row r="11251">
          <cell r="A11251" t="str">
            <v>ST1041-M</v>
          </cell>
          <cell r="B11251" t="str">
            <v>T1041</v>
          </cell>
          <cell r="C11251" t="str">
            <v>ซาติน แขนสั้นขายาว Happy Baby Girl M (กปก)</v>
          </cell>
          <cell r="E11251">
            <v>0</v>
          </cell>
          <cell r="F11251">
            <v>890</v>
          </cell>
        </row>
        <row r="11252">
          <cell r="A11252" t="str">
            <v>ST1041-XL</v>
          </cell>
          <cell r="B11252" t="str">
            <v>T1041</v>
          </cell>
          <cell r="C11252" t="str">
            <v>ซาติน แขนสั้นขายาว Happy Baby Girl XL (กปก)</v>
          </cell>
          <cell r="E11252">
            <v>0</v>
          </cell>
          <cell r="F11252">
            <v>890</v>
          </cell>
        </row>
        <row r="11253">
          <cell r="A11253" t="str">
            <v>ST1042-2XL</v>
          </cell>
          <cell r="B11253" t="str">
            <v>T1042</v>
          </cell>
          <cell r="C11253" t="str">
            <v>ซาติน แขนสั้นขายาว เสิอน้อย พื้นครีม 2XL (กปก)</v>
          </cell>
          <cell r="E11253">
            <v>0</v>
          </cell>
          <cell r="F11253">
            <v>890</v>
          </cell>
        </row>
        <row r="11254">
          <cell r="A11254" t="str">
            <v>ST1042-L</v>
          </cell>
          <cell r="B11254" t="str">
            <v>T1042</v>
          </cell>
          <cell r="C11254" t="str">
            <v>ซาติน แขนสั้นขายาว เสิอน้อย พื้นครีม L (กปก)</v>
          </cell>
          <cell r="E11254">
            <v>0</v>
          </cell>
          <cell r="F11254">
            <v>890</v>
          </cell>
        </row>
        <row r="11255">
          <cell r="A11255" t="str">
            <v>ST1042-M</v>
          </cell>
          <cell r="B11255" t="str">
            <v>T1042</v>
          </cell>
          <cell r="C11255" t="str">
            <v>ซาติน แขนสั้นขายาว เสิอน้อย พื้นครีม M (กปก)</v>
          </cell>
          <cell r="E11255">
            <v>0</v>
          </cell>
          <cell r="F11255">
            <v>890</v>
          </cell>
        </row>
        <row r="11256">
          <cell r="A11256" t="str">
            <v>ST1042-XL</v>
          </cell>
          <cell r="B11256" t="str">
            <v>T1042</v>
          </cell>
          <cell r="C11256" t="str">
            <v>ซาติน แขนสั้นขายาว เสิอน้อย พื้นครีม XL (กปก)</v>
          </cell>
          <cell r="E11256">
            <v>0</v>
          </cell>
          <cell r="F11256">
            <v>890</v>
          </cell>
        </row>
        <row r="11257">
          <cell r="A11257" t="str">
            <v>ST1043-2XL</v>
          </cell>
          <cell r="B11257" t="str">
            <v>T1043</v>
          </cell>
          <cell r="C11257" t="str">
            <v>ซาติน แขนสั้นขายาว กราฟฟิก ขาวดำ 2XL (กปก)</v>
          </cell>
          <cell r="E11257">
            <v>0</v>
          </cell>
          <cell r="F11257">
            <v>890</v>
          </cell>
        </row>
        <row r="11258">
          <cell r="A11258" t="str">
            <v>ST1043-L</v>
          </cell>
          <cell r="B11258" t="str">
            <v>T1043</v>
          </cell>
          <cell r="C11258" t="str">
            <v>ซาติน แขนสั้นขายาว กราฟฟิก ขาวดำ L (กปก)</v>
          </cell>
          <cell r="E11258">
            <v>0</v>
          </cell>
          <cell r="F11258">
            <v>890</v>
          </cell>
        </row>
        <row r="11259">
          <cell r="A11259" t="str">
            <v>ST1043-M</v>
          </cell>
          <cell r="B11259" t="str">
            <v>T1043</v>
          </cell>
          <cell r="C11259" t="str">
            <v>ซาติน แขนสั้นขายาว กราฟฟิก ขาวดำ M (กปก)</v>
          </cell>
          <cell r="E11259">
            <v>0</v>
          </cell>
          <cell r="F11259">
            <v>590</v>
          </cell>
        </row>
        <row r="11260">
          <cell r="A11260" t="str">
            <v>ST1043-XL</v>
          </cell>
          <cell r="B11260" t="str">
            <v>T1043</v>
          </cell>
          <cell r="C11260" t="str">
            <v>ซาติน แขนสั้นขายาว กราฟฟิก ขาวดำ XL (กปก)</v>
          </cell>
          <cell r="E11260">
            <v>0</v>
          </cell>
          <cell r="F11260">
            <v>890</v>
          </cell>
        </row>
        <row r="11261">
          <cell r="A11261" t="str">
            <v>ST1044-2XL</v>
          </cell>
          <cell r="B11261" t="str">
            <v>T1044</v>
          </cell>
          <cell r="C11261" t="str">
            <v>ซาติน แขนสั้นขายาว อาร์ทหน้ายิ้ม พื้นส้ม 2XL (กปก)</v>
          </cell>
          <cell r="E11261">
            <v>0</v>
          </cell>
          <cell r="F11261">
            <v>890</v>
          </cell>
        </row>
        <row r="11262">
          <cell r="A11262" t="str">
            <v>ST1044-L</v>
          </cell>
          <cell r="B11262" t="str">
            <v>T1044</v>
          </cell>
          <cell r="C11262" t="str">
            <v>ซาติน แขนสั้นขายาว อาร์ทหน้ายิ้ม พื้นส้ม L (กปก)</v>
          </cell>
          <cell r="E11262">
            <v>0</v>
          </cell>
          <cell r="F11262">
            <v>590</v>
          </cell>
        </row>
        <row r="11263">
          <cell r="A11263" t="str">
            <v>ST1044-M</v>
          </cell>
          <cell r="B11263" t="str">
            <v>QT1044</v>
          </cell>
          <cell r="C11263" t="str">
            <v>ซาติน แขนสั้นขายาว อาร์ทหน้ายิ้ม พื้นส้ม M (กปก) QC</v>
          </cell>
          <cell r="E11263">
            <v>0</v>
          </cell>
          <cell r="F11263">
            <v>890</v>
          </cell>
        </row>
        <row r="11264">
          <cell r="A11264" t="str">
            <v>ST1044-XL</v>
          </cell>
          <cell r="B11264" t="str">
            <v>T1044</v>
          </cell>
          <cell r="C11264" t="str">
            <v>ซาติน แขนสั้นขายาว อาร์ทหน้ายิ้ม พื้นส้ม XL (กปก)</v>
          </cell>
          <cell r="E11264">
            <v>0</v>
          </cell>
          <cell r="F11264">
            <v>890</v>
          </cell>
        </row>
        <row r="11265">
          <cell r="A11265" t="str">
            <v>ST1045-2XL</v>
          </cell>
          <cell r="B11265" t="str">
            <v>T1045</v>
          </cell>
          <cell r="C11265" t="str">
            <v>ซาติน แขนสั้นขายาว โซ่ พื้นกรม 2XL (กปก)</v>
          </cell>
          <cell r="E11265">
            <v>0</v>
          </cell>
          <cell r="F11265">
            <v>890</v>
          </cell>
        </row>
        <row r="11266">
          <cell r="A11266" t="str">
            <v>ST1045-L</v>
          </cell>
          <cell r="B11266" t="str">
            <v>T1045</v>
          </cell>
          <cell r="C11266" t="str">
            <v>ซาติน แขนสั้นขายาว โซ่ พื้นกรม L (กปก)</v>
          </cell>
          <cell r="E11266">
            <v>0</v>
          </cell>
          <cell r="F11266">
            <v>890</v>
          </cell>
        </row>
        <row r="11267">
          <cell r="A11267" t="str">
            <v>ST1045-M</v>
          </cell>
          <cell r="B11267" t="str">
            <v>T1045</v>
          </cell>
          <cell r="C11267" t="str">
            <v>ซาติน แขนสั้นขายาว โซ่ พื้นกรม M (กปก)</v>
          </cell>
          <cell r="E11267">
            <v>0</v>
          </cell>
          <cell r="F11267">
            <v>890</v>
          </cell>
        </row>
        <row r="11268">
          <cell r="A11268" t="str">
            <v>ST1045-XL</v>
          </cell>
          <cell r="B11268" t="str">
            <v>T1045</v>
          </cell>
          <cell r="C11268" t="str">
            <v>ซาติน แขนสั้นขายาว โซ่ พื้นกรม XL (กปก)</v>
          </cell>
          <cell r="E11268">
            <v>0</v>
          </cell>
          <cell r="F11268">
            <v>890</v>
          </cell>
        </row>
        <row r="11269">
          <cell r="A11269" t="str">
            <v>ST1046-2XL</v>
          </cell>
          <cell r="B11269" t="str">
            <v>T1046</v>
          </cell>
          <cell r="C11269" t="str">
            <v>ซาติน แขนสั้นขายาว ดอกไม้แดง ขอบเขียว 2XL</v>
          </cell>
          <cell r="E11269">
            <v>0</v>
          </cell>
          <cell r="F11269">
            <v>890</v>
          </cell>
        </row>
        <row r="11270">
          <cell r="A11270" t="str">
            <v>ST1046-L</v>
          </cell>
          <cell r="B11270" t="str">
            <v>QT1046</v>
          </cell>
          <cell r="C11270" t="str">
            <v>ซาติน แขนสั้นขายาว ดอกไม้แดง ขอบเขียว L QC</v>
          </cell>
          <cell r="E11270">
            <v>0</v>
          </cell>
          <cell r="F11270">
            <v>890</v>
          </cell>
        </row>
        <row r="11271">
          <cell r="A11271" t="str">
            <v>ST1046-M</v>
          </cell>
          <cell r="B11271" t="str">
            <v>T1046</v>
          </cell>
          <cell r="C11271" t="str">
            <v>ซาติน แขนสั้นขายาว ดอกไม้แดง ขอบเขียว M</v>
          </cell>
          <cell r="E11271">
            <v>0</v>
          </cell>
          <cell r="F11271">
            <v>890</v>
          </cell>
        </row>
        <row r="11272">
          <cell r="A11272" t="str">
            <v>ST1046-XL</v>
          </cell>
          <cell r="B11272" t="str">
            <v>QT1046</v>
          </cell>
          <cell r="C11272" t="str">
            <v>ซาติน แขนสั้นขายาว ดอกไม้แดง ขอบเขียว XL QC</v>
          </cell>
          <cell r="E11272">
            <v>0</v>
          </cell>
          <cell r="F11272">
            <v>890</v>
          </cell>
        </row>
        <row r="11273">
          <cell r="A11273" t="str">
            <v>ST1047-2XL</v>
          </cell>
          <cell r="B11273" t="str">
            <v>T1047</v>
          </cell>
          <cell r="C11273" t="str">
            <v>ซาติน แขนสั้นขายาว ส้มเขียว 2XL (กปก)</v>
          </cell>
          <cell r="E11273">
            <v>0</v>
          </cell>
          <cell r="F11273">
            <v>890</v>
          </cell>
        </row>
        <row r="11274">
          <cell r="A11274" t="str">
            <v>ST1047-L</v>
          </cell>
          <cell r="B11274" t="str">
            <v>T1047</v>
          </cell>
          <cell r="C11274" t="str">
            <v>ซาติน แขนสั้นขายาว ส้มเขียว L (กปก)</v>
          </cell>
          <cell r="E11274">
            <v>0</v>
          </cell>
          <cell r="F11274">
            <v>890</v>
          </cell>
        </row>
        <row r="11275">
          <cell r="A11275" t="str">
            <v>ST1047-M</v>
          </cell>
          <cell r="B11275" t="str">
            <v>T1047</v>
          </cell>
          <cell r="C11275" t="str">
            <v>ซาติน แขนสั้นขายาว ส้มเขียว M (กปก)</v>
          </cell>
          <cell r="E11275">
            <v>0</v>
          </cell>
          <cell r="F11275">
            <v>890</v>
          </cell>
        </row>
        <row r="11276">
          <cell r="A11276" t="str">
            <v>ST1047-XL</v>
          </cell>
          <cell r="B11276" t="str">
            <v>T1047</v>
          </cell>
          <cell r="C11276" t="str">
            <v>ซาติน แขนสั้นขายาว ส้มเขียว XL (กปก)</v>
          </cell>
          <cell r="E11276">
            <v>0</v>
          </cell>
          <cell r="F11276">
            <v>890</v>
          </cell>
        </row>
        <row r="11277">
          <cell r="A11277" t="str">
            <v>ST1055-2XL</v>
          </cell>
          <cell r="B11277" t="str">
            <v>T1055</v>
          </cell>
          <cell r="C11277" t="str">
            <v>ซาติน แขนสั้นขายาว หมีน้อย พื้นน้ำตาล 2XL (กปก)</v>
          </cell>
          <cell r="E11277">
            <v>0</v>
          </cell>
          <cell r="F11277">
            <v>890</v>
          </cell>
        </row>
        <row r="11278">
          <cell r="A11278" t="str">
            <v>ST1055-L</v>
          </cell>
          <cell r="B11278" t="str">
            <v>T1055</v>
          </cell>
          <cell r="C11278" t="str">
            <v>ซาติน แขนสั้นขายาว หมีน้อย พื้นน้ำตาล L (กปก)</v>
          </cell>
          <cell r="E11278">
            <v>0</v>
          </cell>
          <cell r="F11278">
            <v>890</v>
          </cell>
        </row>
        <row r="11279">
          <cell r="A11279" t="str">
            <v>ST1055-M</v>
          </cell>
          <cell r="B11279" t="str">
            <v>T1055</v>
          </cell>
          <cell r="C11279" t="str">
            <v>ซาติน แขนสั้นขายาว หมีน้อย พื้นน้ำตาล M (กปก)</v>
          </cell>
          <cell r="E11279">
            <v>0</v>
          </cell>
          <cell r="F11279">
            <v>890</v>
          </cell>
        </row>
        <row r="11280">
          <cell r="A11280" t="str">
            <v>ST1055-XL</v>
          </cell>
          <cell r="B11280" t="str">
            <v>T1055</v>
          </cell>
          <cell r="C11280" t="str">
            <v>ซาติน แขนสั้นขายาว หมีน้อย พื้นน้ำตาล XL (กปก)</v>
          </cell>
          <cell r="E11280">
            <v>0</v>
          </cell>
          <cell r="F11280">
            <v>890</v>
          </cell>
        </row>
        <row r="11281">
          <cell r="A11281" t="str">
            <v>ST1056-2XL</v>
          </cell>
          <cell r="B11281" t="str">
            <v>T1056</v>
          </cell>
          <cell r="C11281" t="str">
            <v>ซาติน แขนสั้นขายาว หมีน้อย พื้นครีม 2XL (กปก)</v>
          </cell>
          <cell r="E11281">
            <v>0</v>
          </cell>
          <cell r="F11281">
            <v>890</v>
          </cell>
        </row>
        <row r="11282">
          <cell r="A11282" t="str">
            <v>ST1056-L</v>
          </cell>
          <cell r="B11282" t="str">
            <v>T1056</v>
          </cell>
          <cell r="C11282" t="str">
            <v>ซาติน แขนสั้นขายาว หมีน้อย พื้นครีม L (กปก)</v>
          </cell>
          <cell r="E11282">
            <v>0</v>
          </cell>
          <cell r="F11282">
            <v>890</v>
          </cell>
        </row>
        <row r="11283">
          <cell r="A11283" t="str">
            <v>ST1056-M</v>
          </cell>
          <cell r="B11283" t="str">
            <v>T1056</v>
          </cell>
          <cell r="C11283" t="str">
            <v>ซาติน แขนสั้นขายาว หมีน้อย พื้นครีม M (กปก)</v>
          </cell>
          <cell r="E11283">
            <v>0</v>
          </cell>
          <cell r="F11283">
            <v>890</v>
          </cell>
        </row>
        <row r="11284">
          <cell r="A11284" t="str">
            <v>ST1056-XL</v>
          </cell>
          <cell r="B11284" t="str">
            <v>T1056</v>
          </cell>
          <cell r="C11284" t="str">
            <v>ซาติน แขนสั้นขายาว หมีน้อย พื้นครีม XL (กปก)</v>
          </cell>
          <cell r="E11284">
            <v>0</v>
          </cell>
          <cell r="F11284">
            <v>890</v>
          </cell>
        </row>
        <row r="11285">
          <cell r="A11285" t="str">
            <v>ST1057-2XL</v>
          </cell>
          <cell r="B11285" t="str">
            <v>T1057</v>
          </cell>
          <cell r="C11285" t="str">
            <v>ซาติน แขนสั้นขายาว สุนัขลายทาง เขียวอ่อน 2XL (กปก)</v>
          </cell>
          <cell r="E11285">
            <v>0</v>
          </cell>
          <cell r="F11285">
            <v>890</v>
          </cell>
        </row>
        <row r="11286">
          <cell r="A11286" t="str">
            <v>ST1057-L</v>
          </cell>
          <cell r="B11286" t="str">
            <v>T1057</v>
          </cell>
          <cell r="C11286" t="str">
            <v>ซาติน แขนสั้นขายาว สุนัขลายทาง เขียวอ่อน L (กปก)</v>
          </cell>
          <cell r="E11286">
            <v>0</v>
          </cell>
          <cell r="F11286">
            <v>890</v>
          </cell>
        </row>
        <row r="11287">
          <cell r="A11287" t="str">
            <v>ST1057-M</v>
          </cell>
          <cell r="B11287" t="str">
            <v>T1057</v>
          </cell>
          <cell r="C11287" t="str">
            <v>ซาติน แขนสั้นขายาว สุนัขลายทาง เขียวอ่อน M (กปก)</v>
          </cell>
          <cell r="E11287">
            <v>0</v>
          </cell>
          <cell r="F11287">
            <v>890</v>
          </cell>
        </row>
        <row r="11288">
          <cell r="A11288" t="str">
            <v>ST1057-XL</v>
          </cell>
          <cell r="B11288" t="str">
            <v>QT1057</v>
          </cell>
          <cell r="C11288" t="str">
            <v>ซาติน แขนสั้นขายาว สุนัขลายทาง เขียวอ่อน XL (กปก) QC</v>
          </cell>
          <cell r="E11288">
            <v>0</v>
          </cell>
          <cell r="F11288">
            <v>890</v>
          </cell>
        </row>
        <row r="11289">
          <cell r="A11289" t="str">
            <v>ST1058-2XL</v>
          </cell>
          <cell r="B11289" t="str">
            <v>T1058</v>
          </cell>
          <cell r="C11289" t="str">
            <v>ซาติน แขนสั้นขายาว กุหลาบขาว พื้นดำ ปกม่วง 2XL (กปก)</v>
          </cell>
          <cell r="E11289">
            <v>0</v>
          </cell>
          <cell r="F11289">
            <v>890</v>
          </cell>
        </row>
        <row r="11290">
          <cell r="A11290" t="str">
            <v>ST1058-L</v>
          </cell>
          <cell r="B11290" t="str">
            <v>T1058</v>
          </cell>
          <cell r="C11290" t="str">
            <v>ซาติน แขนสั้นขายาว กุหลาบขาว พื้นดำ ปกม่วง L (กปก)</v>
          </cell>
          <cell r="E11290">
            <v>0</v>
          </cell>
          <cell r="F11290">
            <v>890</v>
          </cell>
        </row>
        <row r="11291">
          <cell r="A11291" t="str">
            <v>ST1058-M</v>
          </cell>
          <cell r="B11291" t="str">
            <v>T1058</v>
          </cell>
          <cell r="C11291" t="str">
            <v>ซาติน แขนสั้นขายาว กุหลาบขาว พื้นดำ ปกม่วง M (กปก)</v>
          </cell>
          <cell r="E11291">
            <v>0</v>
          </cell>
          <cell r="F11291">
            <v>590</v>
          </cell>
        </row>
        <row r="11292">
          <cell r="A11292" t="str">
            <v>ST1058-XL</v>
          </cell>
          <cell r="B11292" t="str">
            <v>T1058</v>
          </cell>
          <cell r="C11292" t="str">
            <v>ซาติน แขนสั้นขายาว กุหลาบขาว พื้นดำ ปกม่วง XL (กปก)</v>
          </cell>
          <cell r="E11292">
            <v>0</v>
          </cell>
          <cell r="F11292">
            <v>890</v>
          </cell>
        </row>
        <row r="11293">
          <cell r="A11293" t="str">
            <v>ST1062-2XL</v>
          </cell>
          <cell r="B11293" t="str">
            <v>T1062</v>
          </cell>
          <cell r="C11293" t="str">
            <v>ซาติน แขนสั้นขายาว คัพเค้ก เบบี้เกิร์ล 2XL</v>
          </cell>
          <cell r="E11293">
            <v>0</v>
          </cell>
          <cell r="F11293">
            <v>890</v>
          </cell>
        </row>
        <row r="11294">
          <cell r="A11294" t="str">
            <v>ST1062-L</v>
          </cell>
          <cell r="B11294" t="str">
            <v>T1062</v>
          </cell>
          <cell r="C11294" t="str">
            <v>ซาติน แขนสั้นขายาว คัพเค้ก เบบี้เกิร์ล L</v>
          </cell>
          <cell r="E11294">
            <v>0</v>
          </cell>
          <cell r="F11294">
            <v>890</v>
          </cell>
        </row>
        <row r="11295">
          <cell r="A11295" t="str">
            <v>ST1062-M</v>
          </cell>
          <cell r="B11295" t="str">
            <v>T1062</v>
          </cell>
          <cell r="C11295" t="str">
            <v>ซาติน แขนสั้นขายาว คัพเค้ก เบบี้เกิร์ล M</v>
          </cell>
          <cell r="E11295">
            <v>0</v>
          </cell>
          <cell r="F11295">
            <v>590</v>
          </cell>
        </row>
        <row r="11296">
          <cell r="A11296" t="str">
            <v>ST1062-XL</v>
          </cell>
          <cell r="B11296" t="str">
            <v>T1062</v>
          </cell>
          <cell r="C11296" t="str">
            <v>ซาติน แขนสั้นขายาว คัพเค้ก เบบี้เกิร์ล XL</v>
          </cell>
          <cell r="E11296">
            <v>0</v>
          </cell>
          <cell r="F11296">
            <v>890</v>
          </cell>
        </row>
        <row r="11297">
          <cell r="A11297" t="str">
            <v>ST1064-2XL</v>
          </cell>
          <cell r="B11297" t="str">
            <v>T1064</v>
          </cell>
          <cell r="C11297" t="str">
            <v>ซาติน แขนสั้นขายาว แมวทะเล พื้นครีม 2XL (กปก)</v>
          </cell>
          <cell r="E11297">
            <v>0</v>
          </cell>
          <cell r="F11297">
            <v>590</v>
          </cell>
        </row>
        <row r="11298">
          <cell r="A11298" t="str">
            <v>ST1064-L</v>
          </cell>
          <cell r="B11298" t="str">
            <v>T1064</v>
          </cell>
          <cell r="C11298" t="str">
            <v>ซาติน แขนสั้นขายาว แมวทะเล พื้นครีม L (กปก)</v>
          </cell>
          <cell r="E11298">
            <v>0</v>
          </cell>
          <cell r="F11298">
            <v>890</v>
          </cell>
        </row>
        <row r="11299">
          <cell r="A11299" t="str">
            <v>ST1064-M</v>
          </cell>
          <cell r="B11299" t="str">
            <v>T1064</v>
          </cell>
          <cell r="C11299" t="str">
            <v>ซาติน แขนสั้นขายาว แมวทะเล พื้นครีม M (กปก)</v>
          </cell>
          <cell r="E11299">
            <v>0</v>
          </cell>
          <cell r="F11299">
            <v>890</v>
          </cell>
        </row>
        <row r="11300">
          <cell r="A11300" t="str">
            <v>ST1064-XL</v>
          </cell>
          <cell r="B11300" t="str">
            <v>T1064</v>
          </cell>
          <cell r="C11300" t="str">
            <v>ซาติน แขนสั้นขายาว แมวทะเล พื้นครีม XL (กปก)</v>
          </cell>
          <cell r="E11300">
            <v>0</v>
          </cell>
          <cell r="F11300">
            <v>590</v>
          </cell>
        </row>
        <row r="11301">
          <cell r="A11301" t="str">
            <v>ST1065-2XL</v>
          </cell>
          <cell r="B11301" t="str">
            <v>T1065</v>
          </cell>
          <cell r="C11301" t="str">
            <v>ซาติน แขนสั้นขายาว รวมสัตว์ อวกาศ พื้นครีม 2XL (กปก)</v>
          </cell>
          <cell r="E11301">
            <v>0</v>
          </cell>
          <cell r="F11301">
            <v>590</v>
          </cell>
        </row>
        <row r="11302">
          <cell r="A11302" t="str">
            <v>ST1065-L</v>
          </cell>
          <cell r="B11302" t="str">
            <v>T1065</v>
          </cell>
          <cell r="C11302" t="str">
            <v>ซาติน แขนสั้นขายาว รวมสัตว์ อวกาศ พื้นครีม L (กปก)</v>
          </cell>
          <cell r="E11302">
            <v>0</v>
          </cell>
          <cell r="F11302">
            <v>890</v>
          </cell>
        </row>
        <row r="11303">
          <cell r="A11303" t="str">
            <v>ST1065-M</v>
          </cell>
          <cell r="B11303" t="str">
            <v>QT1065</v>
          </cell>
          <cell r="C11303" t="str">
            <v>ซาติน แขนสั้นขายาว รวมสัตว์ อวกาศ พื้นครีม M (กปก) QC</v>
          </cell>
          <cell r="E11303">
            <v>0</v>
          </cell>
          <cell r="F11303">
            <v>890</v>
          </cell>
        </row>
        <row r="11304">
          <cell r="A11304" t="str">
            <v>ST1065-XL</v>
          </cell>
          <cell r="B11304" t="str">
            <v>T1065</v>
          </cell>
          <cell r="C11304" t="str">
            <v>ซาติน แขนสั้นขายาว รวมสัตว์ อวกาศ พื้นครีม XL (กปก)</v>
          </cell>
          <cell r="E11304">
            <v>0</v>
          </cell>
          <cell r="F11304">
            <v>890</v>
          </cell>
        </row>
        <row r="11305">
          <cell r="A11305" t="str">
            <v>ST1066-2XL</v>
          </cell>
          <cell r="B11305" t="str">
            <v>T1066</v>
          </cell>
          <cell r="C11305" t="str">
            <v>ซาติน แขนสั้นขายาว รวมสัตว์ อวกาศ พื้นเขียว 2XL (กปก)</v>
          </cell>
          <cell r="E11305">
            <v>0</v>
          </cell>
          <cell r="F11305">
            <v>890</v>
          </cell>
        </row>
        <row r="11306">
          <cell r="A11306" t="str">
            <v>ST1066-L</v>
          </cell>
          <cell r="B11306" t="str">
            <v>T1066</v>
          </cell>
          <cell r="C11306" t="str">
            <v>ซาติน แขนสั้นขายาว รวมสัตว์ อวกาศ พื้นเขียว L (กปก)</v>
          </cell>
          <cell r="E11306">
            <v>0</v>
          </cell>
          <cell r="F11306">
            <v>890</v>
          </cell>
        </row>
        <row r="11307">
          <cell r="A11307" t="str">
            <v>ST1066-M</v>
          </cell>
          <cell r="B11307" t="str">
            <v>T1066</v>
          </cell>
          <cell r="C11307" t="str">
            <v>ซาติน แขนสั้นขายาว รวมสัตว์ อวกาศ พื้นเขียว M (กปก)</v>
          </cell>
          <cell r="E11307">
            <v>0</v>
          </cell>
          <cell r="F11307">
            <v>590</v>
          </cell>
        </row>
        <row r="11308">
          <cell r="A11308" t="str">
            <v>ST1066-XL</v>
          </cell>
          <cell r="B11308" t="str">
            <v>T1066</v>
          </cell>
          <cell r="C11308" t="str">
            <v>ซาติน แขนสั้นขายาว รวมสัตว์ อวกาศ พื้นเขียว XL (กปก)</v>
          </cell>
          <cell r="E11308">
            <v>0</v>
          </cell>
          <cell r="F11308">
            <v>890</v>
          </cell>
        </row>
        <row r="11309">
          <cell r="A11309" t="str">
            <v>ST1067-2XL</v>
          </cell>
          <cell r="B11309" t="str">
            <v>T1067</v>
          </cell>
          <cell r="C11309" t="str">
            <v>ซาติน แขนสั้นขายาว Lion rose พื้นขาว 2XL (กปก)</v>
          </cell>
          <cell r="E11309">
            <v>0</v>
          </cell>
          <cell r="F11309">
            <v>890</v>
          </cell>
        </row>
        <row r="11310">
          <cell r="A11310" t="str">
            <v>ST1067-L</v>
          </cell>
          <cell r="B11310" t="str">
            <v>QT1067</v>
          </cell>
          <cell r="C11310" t="str">
            <v>ซาติน  แขนสั้นขายาว Lion rose พื้นขาว L (กปก) QC</v>
          </cell>
          <cell r="E11310">
            <v>0</v>
          </cell>
          <cell r="F11310">
            <v>890</v>
          </cell>
        </row>
        <row r="11311">
          <cell r="A11311" t="str">
            <v>ST1067-M</v>
          </cell>
          <cell r="B11311" t="str">
            <v>T1067</v>
          </cell>
          <cell r="C11311" t="str">
            <v>ซาติน  แขนสั้นขายาว Lion rose พื้นขาว M (กปก)</v>
          </cell>
          <cell r="E11311">
            <v>0</v>
          </cell>
          <cell r="F11311">
            <v>590</v>
          </cell>
        </row>
        <row r="11312">
          <cell r="A11312" t="str">
            <v>ST1067-XL</v>
          </cell>
          <cell r="B11312" t="str">
            <v>T1067</v>
          </cell>
          <cell r="C11312" t="str">
            <v>ซาติน แขนสั้นขายาว Lion rose พื้นขาว XL (กปก)</v>
          </cell>
          <cell r="E11312">
            <v>0</v>
          </cell>
          <cell r="F11312">
            <v>890</v>
          </cell>
        </row>
        <row r="11313">
          <cell r="A11313" t="str">
            <v>ST1068-2XL</v>
          </cell>
          <cell r="B11313" t="str">
            <v>T1068</v>
          </cell>
          <cell r="C11313" t="str">
            <v>ซาติน แขนสั้นขายาว ดอกไม้แดง ขอบเขียว กระดุม 2XL</v>
          </cell>
          <cell r="E11313">
            <v>0</v>
          </cell>
          <cell r="F11313">
            <v>890</v>
          </cell>
        </row>
        <row r="11314">
          <cell r="A11314" t="str">
            <v>ST1068-L</v>
          </cell>
          <cell r="B11314" t="str">
            <v>T1068</v>
          </cell>
          <cell r="C11314" t="str">
            <v>ซาติน แขนสั้นขายาว ดอกไม้แดง ขอบเขียว กระดุม L</v>
          </cell>
          <cell r="E11314">
            <v>0</v>
          </cell>
          <cell r="F11314">
            <v>590</v>
          </cell>
        </row>
        <row r="11315">
          <cell r="A11315" t="str">
            <v>ST1068-M</v>
          </cell>
          <cell r="B11315" t="str">
            <v>T1068</v>
          </cell>
          <cell r="C11315" t="str">
            <v>ซาติน แขนสั้นขายาว ดอกไม้แดง ขอบเขียว กระดุม M</v>
          </cell>
          <cell r="E11315">
            <v>0</v>
          </cell>
          <cell r="F11315">
            <v>890</v>
          </cell>
        </row>
        <row r="11316">
          <cell r="A11316" t="str">
            <v>ST1068-XL</v>
          </cell>
          <cell r="B11316" t="str">
            <v>T1068</v>
          </cell>
          <cell r="C11316" t="str">
            <v>ซาติน แขนสั้นขายาว ดอกไม้แดง ขอบเขียว กระดุม XL</v>
          </cell>
          <cell r="E11316">
            <v>0</v>
          </cell>
          <cell r="F11316">
            <v>890</v>
          </cell>
        </row>
        <row r="11317">
          <cell r="A11317" t="str">
            <v>ST1069-2XL</v>
          </cell>
          <cell r="B11317" t="str">
            <v>T1069</v>
          </cell>
          <cell r="C11317" t="str">
            <v>ซาติน แขนสั้นขายาว เจ้าหญิงทานตะวัน 2XL</v>
          </cell>
          <cell r="E11317">
            <v>0</v>
          </cell>
          <cell r="F11317">
            <v>890</v>
          </cell>
        </row>
        <row r="11318">
          <cell r="A11318" t="str">
            <v>ST1069-L</v>
          </cell>
          <cell r="B11318" t="str">
            <v>T1069</v>
          </cell>
          <cell r="C11318" t="str">
            <v>ซาติน แขนสั้นขายาว เจ้าหญิงทานตะวัน L</v>
          </cell>
          <cell r="E11318">
            <v>0</v>
          </cell>
          <cell r="F11318">
            <v>890</v>
          </cell>
        </row>
        <row r="11319">
          <cell r="A11319" t="str">
            <v>ST1069-M</v>
          </cell>
          <cell r="B11319" t="str">
            <v>T1069</v>
          </cell>
          <cell r="C11319" t="str">
            <v>ซาติน แขนสั้นขายาว เจ้าหญิงทานตะวัน M</v>
          </cell>
          <cell r="E11319">
            <v>0</v>
          </cell>
          <cell r="F11319">
            <v>890</v>
          </cell>
        </row>
        <row r="11320">
          <cell r="A11320" t="str">
            <v>ST1069-XL</v>
          </cell>
          <cell r="B11320" t="str">
            <v>T1069</v>
          </cell>
          <cell r="C11320" t="str">
            <v>ซาติน แขนสั้นขายาว เจ้าหญิงทานตะวัน XL</v>
          </cell>
          <cell r="E11320">
            <v>0</v>
          </cell>
          <cell r="F11320">
            <v>890</v>
          </cell>
        </row>
        <row r="11321">
          <cell r="A11321" t="str">
            <v>ST1077-L</v>
          </cell>
          <cell r="B11321" t="str">
            <v>T1077</v>
          </cell>
          <cell r="C11321" t="str">
            <v>ซาติน แขนสั้นขายาว เสื้อขาว กางเกง เขียวฟ้า L (กปก)</v>
          </cell>
          <cell r="E11321">
            <v>0</v>
          </cell>
          <cell r="F11321">
            <v>890</v>
          </cell>
        </row>
        <row r="11322">
          <cell r="A11322" t="str">
            <v>ST1077-M</v>
          </cell>
          <cell r="B11322" t="str">
            <v>T1077</v>
          </cell>
          <cell r="C11322" t="str">
            <v>ซาติน แขนสั้นขายาว เสื้อขาว กางเกง เขียวฟ้า M (กปก)</v>
          </cell>
          <cell r="E11322">
            <v>0</v>
          </cell>
          <cell r="F11322">
            <v>890</v>
          </cell>
        </row>
        <row r="11323">
          <cell r="A11323" t="str">
            <v>ST1077-XL</v>
          </cell>
          <cell r="B11323" t="str">
            <v>T1077</v>
          </cell>
          <cell r="C11323" t="str">
            <v>ซาติน แขนสั้นขายาว เสื้อขาว กางเกง เขียวฟ้า XL (กปก)</v>
          </cell>
          <cell r="E11323">
            <v>0</v>
          </cell>
          <cell r="F11323">
            <v>890</v>
          </cell>
        </row>
        <row r="11324">
          <cell r="A11324" t="str">
            <v>ST1078-2XL</v>
          </cell>
          <cell r="B11324" t="str">
            <v>T1078</v>
          </cell>
          <cell r="C11324" t="str">
            <v>ซาติน แขนสั้นขายาว เสื้อขาว กางเกง กรมชมพู2XL (กปก)</v>
          </cell>
          <cell r="E11324">
            <v>0</v>
          </cell>
          <cell r="F11324">
            <v>890</v>
          </cell>
        </row>
        <row r="11325">
          <cell r="A11325" t="str">
            <v>ST1078-L</v>
          </cell>
          <cell r="B11325" t="str">
            <v>T1078</v>
          </cell>
          <cell r="C11325" t="str">
            <v>ซาติน แขนสั้นขายาว เสื้อขาว กางเกง กรมชมพูL (กปก)</v>
          </cell>
          <cell r="E11325">
            <v>0</v>
          </cell>
          <cell r="F11325">
            <v>890</v>
          </cell>
        </row>
        <row r="11326">
          <cell r="A11326" t="str">
            <v>ST1078-M</v>
          </cell>
          <cell r="B11326" t="str">
            <v>T1078</v>
          </cell>
          <cell r="C11326" t="str">
            <v>ซาติน แขนสั้นขายาว เสื้อขาว กางเกง กรมชมพูM (กปก)</v>
          </cell>
          <cell r="E11326">
            <v>0</v>
          </cell>
          <cell r="F11326">
            <v>890</v>
          </cell>
        </row>
        <row r="11327">
          <cell r="A11327" t="str">
            <v>ST1078-XL</v>
          </cell>
          <cell r="B11327" t="str">
            <v>QT1078</v>
          </cell>
          <cell r="C11327" t="str">
            <v>ซาติน แขนสั้นขายาว เสื้อขาว กางเกง กรมชมพูXL (กปก) QC</v>
          </cell>
          <cell r="E11327">
            <v>0</v>
          </cell>
          <cell r="F11327">
            <v>890</v>
          </cell>
        </row>
        <row r="11328">
          <cell r="A11328" t="str">
            <v>ST1079-2XL</v>
          </cell>
          <cell r="B11328" t="str">
            <v>T1079</v>
          </cell>
          <cell r="C11328" t="str">
            <v>ซาติน แขนสั้นขายาว เสื้อขาว คัลเลอร์ฟูล โฮม 2XL  (กปก)</v>
          </cell>
          <cell r="E11328">
            <v>0</v>
          </cell>
          <cell r="F11328">
            <v>890</v>
          </cell>
        </row>
        <row r="11329">
          <cell r="A11329" t="str">
            <v>ST1079-L</v>
          </cell>
          <cell r="B11329" t="str">
            <v>T1079</v>
          </cell>
          <cell r="C11329" t="str">
            <v>ซาติน แขนสั้นขายาว เสื้อขาว คัลเลอร์ฟูล โฮม L (กปก)</v>
          </cell>
          <cell r="E11329">
            <v>0</v>
          </cell>
          <cell r="F11329">
            <v>890</v>
          </cell>
        </row>
        <row r="11330">
          <cell r="A11330" t="str">
            <v>ST1079-M</v>
          </cell>
          <cell r="B11330" t="str">
            <v>T1079</v>
          </cell>
          <cell r="C11330" t="str">
            <v>ซาติน แขนสั้นขายาว เสื้อขาว คัลเลอร์ฟูล โฮม M (กปก)</v>
          </cell>
          <cell r="E11330">
            <v>0</v>
          </cell>
          <cell r="F11330">
            <v>590</v>
          </cell>
        </row>
        <row r="11331">
          <cell r="A11331" t="str">
            <v>ST1079-XL</v>
          </cell>
          <cell r="B11331" t="str">
            <v>T1079</v>
          </cell>
          <cell r="C11331" t="str">
            <v>ซาติน แขนสั้นขายาว เสื้อขาว คัลเลอร์ฟูล โฮม XL (กปก)</v>
          </cell>
          <cell r="E11331">
            <v>0</v>
          </cell>
          <cell r="F11331">
            <v>590</v>
          </cell>
        </row>
        <row r="11332">
          <cell r="A11332" t="str">
            <v>ST1081-2XL</v>
          </cell>
          <cell r="B11332" t="str">
            <v>T1081</v>
          </cell>
          <cell r="C11332" t="str">
            <v>ซาติน แขนสั้นขายาว Spring Crimson 2XL  (กปก)</v>
          </cell>
          <cell r="E11332">
            <v>0</v>
          </cell>
          <cell r="F11332">
            <v>890</v>
          </cell>
        </row>
        <row r="11333">
          <cell r="A11333" t="str">
            <v>ST1081-L</v>
          </cell>
          <cell r="B11333" t="str">
            <v>T1081</v>
          </cell>
          <cell r="C11333" t="str">
            <v>ซาติน แขนสั้นขายาว Spring Crimson L (กปก)</v>
          </cell>
          <cell r="E11333">
            <v>0</v>
          </cell>
          <cell r="F11333">
            <v>890</v>
          </cell>
        </row>
        <row r="11334">
          <cell r="A11334" t="str">
            <v>ST1081-M</v>
          </cell>
          <cell r="B11334" t="str">
            <v>T1081</v>
          </cell>
          <cell r="C11334" t="str">
            <v>ซาติน แขนสั้นขายาว Spring Crimson M (กปก)</v>
          </cell>
          <cell r="E11334">
            <v>0</v>
          </cell>
          <cell r="F11334">
            <v>890</v>
          </cell>
        </row>
        <row r="11335">
          <cell r="A11335" t="str">
            <v>ST1081-XL</v>
          </cell>
          <cell r="B11335" t="str">
            <v>T1081</v>
          </cell>
          <cell r="C11335" t="str">
            <v>ซาติน แขนสั้นขายาว Spring Crimson XL (กปก)</v>
          </cell>
          <cell r="E11335">
            <v>0</v>
          </cell>
          <cell r="F11335">
            <v>890</v>
          </cell>
        </row>
        <row r="11336">
          <cell r="A11336" t="str">
            <v>ST1089-2XL</v>
          </cell>
          <cell r="B11336" t="str">
            <v>T1089</v>
          </cell>
          <cell r="C11336" t="str">
            <v>ซาติน แขนสั้นขายาว กราฟฟิกแดงฟ้า 2XL (กปก)</v>
          </cell>
          <cell r="E11336">
            <v>0</v>
          </cell>
          <cell r="F11336">
            <v>890</v>
          </cell>
        </row>
        <row r="11337">
          <cell r="A11337" t="str">
            <v>ST1089-L</v>
          </cell>
          <cell r="B11337" t="str">
            <v>T1089</v>
          </cell>
          <cell r="C11337" t="str">
            <v>ซาติน แขนสั้นขายาว กราฟฟิกแดงฟ้า L (กปก)</v>
          </cell>
          <cell r="E11337">
            <v>0</v>
          </cell>
          <cell r="F11337">
            <v>890</v>
          </cell>
        </row>
        <row r="11338">
          <cell r="A11338" t="str">
            <v>ST1089-M</v>
          </cell>
          <cell r="B11338" t="str">
            <v>T1089</v>
          </cell>
          <cell r="C11338" t="str">
            <v>ซาติน แขนสั้นขายาว กราฟฟิกแดงฟ้า M (กปก)</v>
          </cell>
          <cell r="E11338">
            <v>0</v>
          </cell>
          <cell r="F11338">
            <v>890</v>
          </cell>
        </row>
        <row r="11339">
          <cell r="A11339" t="str">
            <v>ST1089-XL</v>
          </cell>
          <cell r="B11339" t="str">
            <v>T1089</v>
          </cell>
          <cell r="C11339" t="str">
            <v>ซาติน แขนสั้นขายาว กราฟฟิกแดงฟ้า XL (กปก)</v>
          </cell>
          <cell r="E11339">
            <v>0</v>
          </cell>
          <cell r="F11339">
            <v>890</v>
          </cell>
        </row>
        <row r="11340">
          <cell r="A11340" t="str">
            <v>ST1090-2XL</v>
          </cell>
          <cell r="B11340" t="str">
            <v>T1090</v>
          </cell>
          <cell r="C11340" t="str">
            <v>ซาติน แขนสั้นขายาว ดอกชบา พื้นดำ 2XL (กปก)</v>
          </cell>
          <cell r="E11340">
            <v>0</v>
          </cell>
          <cell r="F11340">
            <v>890</v>
          </cell>
        </row>
        <row r="11341">
          <cell r="A11341" t="str">
            <v>ST1090-L</v>
          </cell>
          <cell r="B11341" t="str">
            <v>T1090</v>
          </cell>
          <cell r="C11341" t="str">
            <v>ซาติน แขนสั้นขายาว ดอกชบา พื้นดำ L (กปก)</v>
          </cell>
          <cell r="E11341">
            <v>0</v>
          </cell>
          <cell r="F11341">
            <v>890</v>
          </cell>
        </row>
        <row r="11342">
          <cell r="A11342" t="str">
            <v>ST1090-M</v>
          </cell>
          <cell r="B11342" t="str">
            <v>T1090</v>
          </cell>
          <cell r="C11342" t="str">
            <v>ซาติน แขนสั้นขายาว ดอกชบา พื้นดำ M (กปก)</v>
          </cell>
          <cell r="E11342">
            <v>0</v>
          </cell>
          <cell r="F11342">
            <v>890</v>
          </cell>
        </row>
        <row r="11343">
          <cell r="A11343" t="str">
            <v>ST1090-XL</v>
          </cell>
          <cell r="B11343" t="str">
            <v>T1090</v>
          </cell>
          <cell r="C11343" t="str">
            <v>ซาติน แขนสั้นขายาว ดอกชบา พื้นดำ XL (กปก)</v>
          </cell>
          <cell r="E11343">
            <v>0</v>
          </cell>
          <cell r="F11343">
            <v>890</v>
          </cell>
        </row>
        <row r="11344">
          <cell r="A11344" t="str">
            <v>ST1092-2XL</v>
          </cell>
          <cell r="B11344" t="str">
            <v>T1092</v>
          </cell>
          <cell r="C11344" t="str">
            <v>ซาติน แขนสั้นขายาว ทูโทน น้ำเงินเขียว 2XL (กปก)</v>
          </cell>
          <cell r="E11344">
            <v>0</v>
          </cell>
          <cell r="F11344">
            <v>890</v>
          </cell>
        </row>
        <row r="11345">
          <cell r="A11345" t="str">
            <v>ST1092-L</v>
          </cell>
          <cell r="B11345" t="str">
            <v>T1092</v>
          </cell>
          <cell r="C11345" t="str">
            <v>ซาติน แขนสั้นขายาว ทูโทน น้ำเงินเขียว L (กปก)</v>
          </cell>
          <cell r="E11345">
            <v>0</v>
          </cell>
          <cell r="F11345">
            <v>890</v>
          </cell>
        </row>
        <row r="11346">
          <cell r="A11346" t="str">
            <v>ST1092-M</v>
          </cell>
          <cell r="B11346" t="str">
            <v>T1092</v>
          </cell>
          <cell r="C11346" t="str">
            <v>ซาติน แขนสั้นขายาว ทูโทน น้ำเงินเขียว M (กปก)</v>
          </cell>
          <cell r="E11346">
            <v>0</v>
          </cell>
          <cell r="F11346">
            <v>890</v>
          </cell>
        </row>
        <row r="11347">
          <cell r="A11347" t="str">
            <v>ST1092-XL</v>
          </cell>
          <cell r="B11347" t="str">
            <v>T1092</v>
          </cell>
          <cell r="C11347" t="str">
            <v>ซาติน แขนสั้นขายาว ทูโทน น้ำเงินเขียว XL (กปก)</v>
          </cell>
          <cell r="E11347">
            <v>0</v>
          </cell>
          <cell r="F11347">
            <v>890</v>
          </cell>
        </row>
        <row r="11348">
          <cell r="A11348" t="str">
            <v>ST1093-2XL</v>
          </cell>
          <cell r="B11348" t="str">
            <v>T1093</v>
          </cell>
          <cell r="C11348" t="str">
            <v>ซาติน แขนสั้นขายาว พาสเทลชมพู ส้มเหลือง 2XL (กปก)</v>
          </cell>
          <cell r="E11348">
            <v>0</v>
          </cell>
          <cell r="F11348">
            <v>890</v>
          </cell>
        </row>
        <row r="11349">
          <cell r="A11349" t="str">
            <v>ST1093-L</v>
          </cell>
          <cell r="B11349" t="str">
            <v>QT1093</v>
          </cell>
          <cell r="C11349" t="str">
            <v>ซาติน แขนสั้นขายาว พาสเทลชมพู ส้มเหลือง L (กปก) QC</v>
          </cell>
          <cell r="E11349">
            <v>0</v>
          </cell>
          <cell r="F11349">
            <v>890</v>
          </cell>
        </row>
        <row r="11350">
          <cell r="A11350" t="str">
            <v>ST1093-M</v>
          </cell>
          <cell r="B11350" t="str">
            <v>QT1093</v>
          </cell>
          <cell r="C11350" t="str">
            <v>ซาติน แขนสั้นขายาว พาสเทลชมพู ส้มเหลือง M (กปก) QC</v>
          </cell>
          <cell r="E11350">
            <v>0</v>
          </cell>
          <cell r="F11350">
            <v>890</v>
          </cell>
        </row>
        <row r="11351">
          <cell r="A11351" t="str">
            <v>ST1093-XL</v>
          </cell>
          <cell r="B11351" t="str">
            <v>T1093</v>
          </cell>
          <cell r="C11351" t="str">
            <v>ซาติน แขนสั้นขายาว พาสเทลชมพู ส้มเหลือง XL (กปก)</v>
          </cell>
          <cell r="E11351">
            <v>0</v>
          </cell>
          <cell r="F11351">
            <v>890</v>
          </cell>
        </row>
        <row r="11352">
          <cell r="A11352" t="str">
            <v>ST1094-2XL</v>
          </cell>
          <cell r="B11352" t="str">
            <v>T1094</v>
          </cell>
          <cell r="C11352" t="str">
            <v>ซาติน แขนสั้นขายาว ทูโทน เขียวชมพู 2XL (กปก)</v>
          </cell>
          <cell r="E11352">
            <v>0</v>
          </cell>
          <cell r="F11352">
            <v>890</v>
          </cell>
        </row>
        <row r="11353">
          <cell r="A11353" t="str">
            <v>ST1094-L</v>
          </cell>
          <cell r="B11353" t="str">
            <v>T1094</v>
          </cell>
          <cell r="C11353" t="str">
            <v>ซาติน แขนสั้นขายาว ทูโทน เขียวชมพู L (กปก)</v>
          </cell>
          <cell r="E11353">
            <v>0</v>
          </cell>
          <cell r="F11353">
            <v>890</v>
          </cell>
        </row>
        <row r="11354">
          <cell r="A11354" t="str">
            <v>ST1094-M</v>
          </cell>
          <cell r="B11354" t="str">
            <v>T1094</v>
          </cell>
          <cell r="C11354" t="str">
            <v>ซาติน แขนสั้นขายาว ทูโทน เขียวชมพู M (กปก)</v>
          </cell>
          <cell r="E11354">
            <v>0</v>
          </cell>
          <cell r="F11354">
            <v>890</v>
          </cell>
        </row>
        <row r="11355">
          <cell r="A11355" t="str">
            <v>ST1094-XL</v>
          </cell>
          <cell r="B11355" t="str">
            <v>T1094</v>
          </cell>
          <cell r="C11355" t="str">
            <v>ซาติน แขนสั้นขายาว ทูโทน เขียวชมพู XL (กปก)</v>
          </cell>
          <cell r="E11355">
            <v>1</v>
          </cell>
          <cell r="F11355">
            <v>890</v>
          </cell>
        </row>
        <row r="11356">
          <cell r="A11356" t="str">
            <v>ST1095-2XL</v>
          </cell>
          <cell r="B11356" t="str">
            <v>T1095</v>
          </cell>
          <cell r="C11356" t="str">
            <v>ซาติน แขนสั้นขายาว สิงโตพื้นส้ม (กปก) 2XL</v>
          </cell>
          <cell r="E11356">
            <v>0</v>
          </cell>
          <cell r="F11356">
            <v>890</v>
          </cell>
        </row>
        <row r="11357">
          <cell r="A11357" t="str">
            <v>ST1095-L</v>
          </cell>
          <cell r="B11357" t="str">
            <v>T1095</v>
          </cell>
          <cell r="C11357" t="str">
            <v>ซาติน แขนสั้นขายาว สิงโตพื้นส้ม (กปก) L</v>
          </cell>
          <cell r="E11357">
            <v>2</v>
          </cell>
          <cell r="F11357">
            <v>890</v>
          </cell>
        </row>
        <row r="11358">
          <cell r="A11358" t="str">
            <v>ST1095-M</v>
          </cell>
          <cell r="B11358" t="str">
            <v>T1095</v>
          </cell>
          <cell r="C11358" t="str">
            <v>ซาติน แขนสั้นขายาว สิงโตพื้นส้ม (กปก) M</v>
          </cell>
          <cell r="E11358">
            <v>0</v>
          </cell>
          <cell r="F11358">
            <v>890</v>
          </cell>
        </row>
        <row r="11359">
          <cell r="A11359" t="str">
            <v>ST1095-XL</v>
          </cell>
          <cell r="B11359" t="str">
            <v>T1095</v>
          </cell>
          <cell r="C11359" t="str">
            <v>ซาติน แขนสั้นขายาว สิงโตพื้นส้ม (กปก) XL</v>
          </cell>
          <cell r="E11359">
            <v>0</v>
          </cell>
          <cell r="F11359">
            <v>890</v>
          </cell>
        </row>
        <row r="11360">
          <cell r="A11360" t="str">
            <v>ST1096-2XL</v>
          </cell>
          <cell r="B11360" t="str">
            <v>QT1096</v>
          </cell>
          <cell r="C11360" t="str">
            <v>ซาติน แขนสั้นขายาว สีน้ำคัลเลอร์ฟลู (กปก) 2XL QC</v>
          </cell>
          <cell r="E11360">
            <v>0</v>
          </cell>
          <cell r="F11360">
            <v>890</v>
          </cell>
        </row>
        <row r="11361">
          <cell r="A11361" t="str">
            <v>ST1096-L</v>
          </cell>
          <cell r="B11361" t="str">
            <v>T1096</v>
          </cell>
          <cell r="C11361" t="str">
            <v>ซาติน แขนสั้นขายาว สีน้ำคัลเลอร์ฟลู (กปก) L</v>
          </cell>
          <cell r="E11361">
            <v>0</v>
          </cell>
          <cell r="F11361">
            <v>890</v>
          </cell>
        </row>
        <row r="11362">
          <cell r="A11362" t="str">
            <v>ST1096-M</v>
          </cell>
          <cell r="B11362" t="str">
            <v>T1096</v>
          </cell>
          <cell r="C11362" t="str">
            <v>ซาติน แขนสั้นขายาว สีน้ำคัลเลอร์ฟลู (กปก) M</v>
          </cell>
          <cell r="E11362">
            <v>0</v>
          </cell>
          <cell r="F11362">
            <v>890</v>
          </cell>
        </row>
        <row r="11363">
          <cell r="A11363" t="str">
            <v>ST1096-XL</v>
          </cell>
          <cell r="B11363" t="str">
            <v>T1096</v>
          </cell>
          <cell r="C11363" t="str">
            <v>ซาติน แขนสั้นขายาว สีน้ำคัลเลอร์ฟลู (กปก) XL</v>
          </cell>
          <cell r="E11363">
            <v>0</v>
          </cell>
          <cell r="F11363">
            <v>890</v>
          </cell>
        </row>
        <row r="11364">
          <cell r="A11364" t="str">
            <v>ST1097-2XL</v>
          </cell>
          <cell r="B11364" t="str">
            <v>T1097</v>
          </cell>
          <cell r="C11364" t="str">
            <v>ซาติน แขนสั้นขายาว เสือดาวอเมซอน พื้นดำ 2XL  (กปก)</v>
          </cell>
          <cell r="E11364">
            <v>0</v>
          </cell>
          <cell r="F11364">
            <v>890</v>
          </cell>
        </row>
        <row r="11365">
          <cell r="A11365" t="str">
            <v>ST1097-L</v>
          </cell>
          <cell r="B11365" t="str">
            <v>T1097</v>
          </cell>
          <cell r="C11365" t="str">
            <v>ซาติน แขนสั้นขายาว เสือดาวอเมซอน พื้นดำ L (กปก)</v>
          </cell>
          <cell r="E11365">
            <v>0</v>
          </cell>
          <cell r="F11365">
            <v>890</v>
          </cell>
        </row>
        <row r="11366">
          <cell r="A11366" t="str">
            <v>ST1097-M</v>
          </cell>
          <cell r="B11366" t="str">
            <v>T1097</v>
          </cell>
          <cell r="C11366" t="str">
            <v>ซาติน แขนสั้นขายาว เสือดาวอเมซอน พื้นดำ M (กปก)</v>
          </cell>
          <cell r="E11366">
            <v>0</v>
          </cell>
          <cell r="F11366">
            <v>890</v>
          </cell>
        </row>
        <row r="11367">
          <cell r="A11367" t="str">
            <v>ST1097-XL</v>
          </cell>
          <cell r="B11367" t="str">
            <v>T1097</v>
          </cell>
          <cell r="C11367" t="str">
            <v>ซาติน แขนสั้นขายาว เสือดาวอเมซอน พื้นดำ XL (กปก)</v>
          </cell>
          <cell r="E11367">
            <v>0</v>
          </cell>
          <cell r="F11367">
            <v>890</v>
          </cell>
        </row>
        <row r="11368">
          <cell r="A11368" t="str">
            <v>ST1098-2XL</v>
          </cell>
          <cell r="B11368" t="str">
            <v>T1098</v>
          </cell>
          <cell r="C11368" t="str">
            <v>ซาติน แขนสั้นขายาว นกหงส์หยก พื้นดำ ปกเขียว 2XL  (กปก)</v>
          </cell>
          <cell r="E11368">
            <v>0</v>
          </cell>
          <cell r="F11368">
            <v>890</v>
          </cell>
        </row>
        <row r="11369">
          <cell r="A11369" t="str">
            <v>ST1098-3XL</v>
          </cell>
          <cell r="B11369" t="str">
            <v>T1098</v>
          </cell>
          <cell r="C11369" t="str">
            <v>ซาติน แขนสั้นขายาว นกหงส์หยก พื้นดำ ปกเขียว 3XL  (กปก)</v>
          </cell>
          <cell r="E11369">
            <v>0</v>
          </cell>
          <cell r="F11369">
            <v>890</v>
          </cell>
        </row>
        <row r="11370">
          <cell r="A11370" t="str">
            <v>ST1098-L</v>
          </cell>
          <cell r="B11370" t="str">
            <v>T1098</v>
          </cell>
          <cell r="C11370" t="str">
            <v>ซาติน แขนสั้นขายาว นกหงส์หยก พื้นดำ ปกเขียว L (กปก)</v>
          </cell>
          <cell r="E11370">
            <v>0</v>
          </cell>
          <cell r="F11370">
            <v>890</v>
          </cell>
        </row>
        <row r="11371">
          <cell r="A11371" t="str">
            <v>ST1098-M</v>
          </cell>
          <cell r="B11371" t="str">
            <v>QT1098</v>
          </cell>
          <cell r="C11371" t="str">
            <v>ซาติน แขนสั้นขายาว นกหงส์หยก พื้นดำ ปกเขียว M (กปก) QC</v>
          </cell>
          <cell r="E11371">
            <v>0</v>
          </cell>
          <cell r="F11371">
            <v>890</v>
          </cell>
        </row>
        <row r="11372">
          <cell r="A11372" t="str">
            <v>ST1098-XL</v>
          </cell>
          <cell r="B11372" t="str">
            <v>T1098</v>
          </cell>
          <cell r="C11372" t="str">
            <v>ซาติน แขนสั้นขายาว นกหงส์หยก พื้นดำ ปกเขียว XL (กปก)</v>
          </cell>
          <cell r="E11372">
            <v>0</v>
          </cell>
          <cell r="F11372">
            <v>890</v>
          </cell>
        </row>
        <row r="11373">
          <cell r="A11373" t="str">
            <v>ST1099-2XL</v>
          </cell>
          <cell r="B11373" t="str">
            <v>QT1099</v>
          </cell>
          <cell r="C11373" t="str">
            <v>ซาติน แขนสั้นขายาว เสื้อกราฟฟิก กางเกงส้ม 2XL  (กปก) QC</v>
          </cell>
          <cell r="E11373">
            <v>0</v>
          </cell>
          <cell r="F11373">
            <v>890</v>
          </cell>
        </row>
        <row r="11374">
          <cell r="A11374" t="str">
            <v>ST1099-L</v>
          </cell>
          <cell r="B11374" t="str">
            <v>T1099</v>
          </cell>
          <cell r="C11374" t="str">
            <v>ซาติน แขนสั้นขายาว เสื้อกราฟฟิก กางเกงส้ม L (กปก)</v>
          </cell>
          <cell r="E11374">
            <v>0</v>
          </cell>
          <cell r="F11374">
            <v>890</v>
          </cell>
        </row>
        <row r="11375">
          <cell r="A11375" t="str">
            <v>ST1099-M</v>
          </cell>
          <cell r="B11375" t="str">
            <v>QT1099</v>
          </cell>
          <cell r="C11375" t="str">
            <v>ซาติน แขนสั้นขายาว เสื้อกราฟฟิก กางเกงส้ม M (กปก) QC</v>
          </cell>
          <cell r="E11375">
            <v>0</v>
          </cell>
          <cell r="F11375">
            <v>890</v>
          </cell>
        </row>
        <row r="11376">
          <cell r="A11376" t="str">
            <v>ST1099-XL</v>
          </cell>
          <cell r="B11376" t="str">
            <v>QT1099</v>
          </cell>
          <cell r="C11376" t="str">
            <v>ซาติน แขนสั้นขายาว เสื้อกราฟฟิก กางเกงส้ม XL (กปก) QC</v>
          </cell>
          <cell r="E11376">
            <v>0</v>
          </cell>
          <cell r="F11376">
            <v>890</v>
          </cell>
        </row>
        <row r="11377">
          <cell r="A11377" t="str">
            <v>ST1100-2XL</v>
          </cell>
          <cell r="B11377" t="str">
            <v>QT1100</v>
          </cell>
          <cell r="C11377" t="str">
            <v>ซาติน แขนสั้นขายาว ศิลปะ พื้นขาว 2XL (กปก) QC</v>
          </cell>
          <cell r="E11377">
            <v>0</v>
          </cell>
          <cell r="F11377">
            <v>890</v>
          </cell>
        </row>
        <row r="11378">
          <cell r="A11378" t="str">
            <v>ST1100-L</v>
          </cell>
          <cell r="B11378" t="str">
            <v>T1100</v>
          </cell>
          <cell r="C11378" t="str">
            <v>ซาติน แขนสั้นขายาว ศิลปะ พื้นขาว L (กปก)</v>
          </cell>
          <cell r="E11378">
            <v>0</v>
          </cell>
          <cell r="F11378">
            <v>890</v>
          </cell>
        </row>
        <row r="11379">
          <cell r="A11379" t="str">
            <v>ST1100-M</v>
          </cell>
          <cell r="B11379" t="str">
            <v>T1100</v>
          </cell>
          <cell r="C11379" t="str">
            <v>ซาติน แขนสั้นขายาว ศิลปะ พื้นขาว M (กปก)</v>
          </cell>
          <cell r="E11379">
            <v>0</v>
          </cell>
          <cell r="F11379">
            <v>890</v>
          </cell>
        </row>
        <row r="11380">
          <cell r="A11380" t="str">
            <v>ST1100-XL</v>
          </cell>
          <cell r="B11380" t="str">
            <v>T1100</v>
          </cell>
          <cell r="C11380" t="str">
            <v>ซาติน แขนสั้นขายาว ศิลปะ พื้นขาว XL (กปก)</v>
          </cell>
          <cell r="E11380">
            <v>0</v>
          </cell>
          <cell r="F11380">
            <v>890</v>
          </cell>
        </row>
        <row r="11381">
          <cell r="A11381" t="str">
            <v>ST1101-2XL</v>
          </cell>
          <cell r="B11381" t="str">
            <v>T1101</v>
          </cell>
          <cell r="C11381" t="str">
            <v>ซาติน แขนสั้นขายาว ดอกไม้หลากสี พื้นครีม 2XL (กปก)</v>
          </cell>
          <cell r="E11381">
            <v>0</v>
          </cell>
          <cell r="F11381">
            <v>890</v>
          </cell>
        </row>
        <row r="11382">
          <cell r="A11382" t="str">
            <v>ST1101-L</v>
          </cell>
          <cell r="B11382" t="str">
            <v>T1101</v>
          </cell>
          <cell r="C11382" t="str">
            <v>ซาติน แขนสั้นขายาว ดอกไม้หลากสี พื้นครีม L (กปก)</v>
          </cell>
          <cell r="E11382">
            <v>0</v>
          </cell>
          <cell r="F11382">
            <v>890</v>
          </cell>
        </row>
        <row r="11383">
          <cell r="A11383" t="str">
            <v>ST1101-M</v>
          </cell>
          <cell r="B11383" t="str">
            <v>T1101</v>
          </cell>
          <cell r="C11383" t="str">
            <v>ซาติน แขนสั้นขายาว ดอกไม้หลากสี พื้นครีม M (กปก)</v>
          </cell>
          <cell r="E11383">
            <v>0</v>
          </cell>
          <cell r="F11383">
            <v>890</v>
          </cell>
        </row>
        <row r="11384">
          <cell r="A11384" t="str">
            <v>ST1101-XL</v>
          </cell>
          <cell r="B11384" t="str">
            <v>T1101</v>
          </cell>
          <cell r="C11384" t="str">
            <v>ซาติน แขนสั้นขายาว ดอกไม้หลากสี พื้นครีม XL (กปก)</v>
          </cell>
          <cell r="E11384">
            <v>0</v>
          </cell>
          <cell r="F11384">
            <v>890</v>
          </cell>
        </row>
        <row r="11385">
          <cell r="A11385" t="str">
            <v>ST1109-2XL</v>
          </cell>
          <cell r="B11385" t="str">
            <v>T1109</v>
          </cell>
          <cell r="C11385" t="str">
            <v>ซาติน แขนสั้นขายาว น้องหมีลายทาง ฟ้าขาว 2XL</v>
          </cell>
          <cell r="E11385">
            <v>0</v>
          </cell>
          <cell r="F11385">
            <v>890</v>
          </cell>
        </row>
        <row r="11386">
          <cell r="A11386" t="str">
            <v>ST1109-L</v>
          </cell>
          <cell r="B11386" t="str">
            <v>T1109</v>
          </cell>
          <cell r="C11386" t="str">
            <v>ซาติน แขนสั้นขายาว น้องหมีลายทาง ฟ้าขาว L</v>
          </cell>
          <cell r="E11386">
            <v>0</v>
          </cell>
          <cell r="F11386">
            <v>890</v>
          </cell>
        </row>
        <row r="11387">
          <cell r="A11387" t="str">
            <v>ST1109-M</v>
          </cell>
          <cell r="B11387" t="str">
            <v>T1109</v>
          </cell>
          <cell r="C11387" t="str">
            <v>ซาติน แขนสั้นขายาว น้องหมีลายทาง ฟ้าขาว M</v>
          </cell>
          <cell r="E11387">
            <v>0</v>
          </cell>
          <cell r="F11387">
            <v>890</v>
          </cell>
        </row>
        <row r="11388">
          <cell r="A11388" t="str">
            <v>ST1109-XL</v>
          </cell>
          <cell r="B11388" t="str">
            <v>T1109</v>
          </cell>
          <cell r="C11388" t="str">
            <v>ซาติน แขนสั้นขายาว น้องหมีลายทาง ฟ้าขาว XL</v>
          </cell>
          <cell r="E11388">
            <v>0</v>
          </cell>
          <cell r="F11388">
            <v>890</v>
          </cell>
        </row>
        <row r="11389">
          <cell r="A11389" t="str">
            <v>ST1110-2XL</v>
          </cell>
          <cell r="B11389" t="str">
            <v>T1110</v>
          </cell>
          <cell r="C11389" t="str">
            <v>ซาติน แขนสั้นขายาว น้องหมีลายทาง ชมพูขาว 2XL</v>
          </cell>
          <cell r="E11389">
            <v>1</v>
          </cell>
          <cell r="F11389">
            <v>890</v>
          </cell>
        </row>
        <row r="11390">
          <cell r="A11390" t="str">
            <v>ST1110-L</v>
          </cell>
          <cell r="B11390" t="str">
            <v>T1110</v>
          </cell>
          <cell r="C11390" t="str">
            <v>ซาติน แขนสั้นขายาว น้องหมีลายทาง ชมพูขาว L</v>
          </cell>
          <cell r="E11390">
            <v>0</v>
          </cell>
          <cell r="F11390">
            <v>890</v>
          </cell>
        </row>
        <row r="11391">
          <cell r="A11391" t="str">
            <v>ST1110-M</v>
          </cell>
          <cell r="B11391" t="str">
            <v>T1110</v>
          </cell>
          <cell r="C11391" t="str">
            <v>ซาติน แขนสั้นขายาว น้องหมีลายทาง ชมพูขาว M</v>
          </cell>
          <cell r="E11391">
            <v>0</v>
          </cell>
          <cell r="F11391">
            <v>890</v>
          </cell>
        </row>
        <row r="11392">
          <cell r="A11392" t="str">
            <v>ST1110-XL</v>
          </cell>
          <cell r="B11392" t="str">
            <v>T1110</v>
          </cell>
          <cell r="C11392" t="str">
            <v>ซาติน แขนสั้นขายาว น้องหมีลายทาง ชมพูขาว XL</v>
          </cell>
          <cell r="E11392">
            <v>0</v>
          </cell>
          <cell r="F11392">
            <v>890</v>
          </cell>
        </row>
        <row r="11393">
          <cell r="A11393" t="str">
            <v>ST1111-2XL</v>
          </cell>
          <cell r="B11393" t="str">
            <v>T1111</v>
          </cell>
          <cell r="C11393" t="str">
            <v>ซาติน แขนสั้นขายาว แมวฟ้า กุ๊นขอบ 2XL (กปก)</v>
          </cell>
          <cell r="E11393">
            <v>0</v>
          </cell>
          <cell r="F11393">
            <v>890</v>
          </cell>
        </row>
        <row r="11394">
          <cell r="A11394" t="str">
            <v>ST1111-3XL</v>
          </cell>
          <cell r="B11394" t="str">
            <v>T1111</v>
          </cell>
          <cell r="C11394" t="str">
            <v>ซาติน แขนสั้นขายาว แมวฟ้า กุ๊นขอบ 3XL (กปก)</v>
          </cell>
          <cell r="E11394">
            <v>0</v>
          </cell>
          <cell r="F11394">
            <v>890</v>
          </cell>
        </row>
        <row r="11395">
          <cell r="A11395" t="str">
            <v>ST1111-L</v>
          </cell>
          <cell r="B11395" t="str">
            <v>T1111</v>
          </cell>
          <cell r="C11395" t="str">
            <v>ซาติน แขนสั้นขายาว แมวฟ้า กุ๊นขอบ L (กปก)</v>
          </cell>
          <cell r="E11395">
            <v>0</v>
          </cell>
          <cell r="F11395">
            <v>890</v>
          </cell>
        </row>
        <row r="11396">
          <cell r="A11396" t="str">
            <v>ST1111-M</v>
          </cell>
          <cell r="B11396" t="str">
            <v>T1111</v>
          </cell>
          <cell r="C11396" t="str">
            <v>ซาติน แขนสั้นขายาว แมวฟ้า กุ๊นขอบ M (กปก)</v>
          </cell>
          <cell r="E11396">
            <v>0</v>
          </cell>
          <cell r="F11396">
            <v>890</v>
          </cell>
        </row>
        <row r="11397">
          <cell r="A11397" t="str">
            <v>ST1111-XL</v>
          </cell>
          <cell r="B11397" t="str">
            <v>T1111</v>
          </cell>
          <cell r="C11397" t="str">
            <v>ซาติน แขนสั้นขายาว แมวฟ้า กุ๊นขอบ XL (กปก)</v>
          </cell>
          <cell r="E11397">
            <v>0</v>
          </cell>
          <cell r="F11397">
            <v>890</v>
          </cell>
        </row>
        <row r="11398">
          <cell r="A11398" t="str">
            <v>ST1123-2XL</v>
          </cell>
          <cell r="B11398" t="str">
            <v>T1123</v>
          </cell>
          <cell r="C11398" t="str">
            <v>ซาติน แขนสั้นขายาว ดอกไม้หลากสี พื้นชมพู 2XL (กปก)</v>
          </cell>
          <cell r="E11398">
            <v>0</v>
          </cell>
          <cell r="F11398">
            <v>890</v>
          </cell>
        </row>
        <row r="11399">
          <cell r="A11399" t="str">
            <v>ST1123-L</v>
          </cell>
          <cell r="B11399" t="str">
            <v>T1123</v>
          </cell>
          <cell r="C11399" t="str">
            <v>ซาติน แขนสั้นขายาว ดอกไม้หลากสี พื้นชมพู L (กปก)</v>
          </cell>
          <cell r="E11399">
            <v>0</v>
          </cell>
          <cell r="F11399">
            <v>890</v>
          </cell>
        </row>
        <row r="11400">
          <cell r="A11400" t="str">
            <v>ST1123-M</v>
          </cell>
          <cell r="B11400" t="str">
            <v>T1123</v>
          </cell>
          <cell r="C11400" t="str">
            <v>ซาติน แขนสั้นขายาว ดอกไม้หลากสี พื้นชมพู M (กปก)</v>
          </cell>
          <cell r="E11400">
            <v>0</v>
          </cell>
          <cell r="F11400">
            <v>890</v>
          </cell>
        </row>
        <row r="11401">
          <cell r="A11401" t="str">
            <v>ST1123-XL</v>
          </cell>
          <cell r="B11401" t="str">
            <v>T1123</v>
          </cell>
          <cell r="C11401" t="str">
            <v>ซาติน แขนสั้นขายาว ดอกไม้หลากสี พื้นชมพู XL (กปก)</v>
          </cell>
          <cell r="E11401">
            <v>0</v>
          </cell>
          <cell r="F11401">
            <v>890</v>
          </cell>
        </row>
        <row r="11402">
          <cell r="A11402" t="str">
            <v>ST1126-2XL</v>
          </cell>
          <cell r="B11402" t="str">
            <v>QT1126</v>
          </cell>
          <cell r="C11402" t="str">
            <v>ซาติน แขนสั้นขายาว กราฟฟิกฟ้า น้ำเงิน ขาว 2XL (กปก) QC</v>
          </cell>
          <cell r="E11402">
            <v>0</v>
          </cell>
          <cell r="F11402">
            <v>890</v>
          </cell>
        </row>
        <row r="11403">
          <cell r="A11403" t="str">
            <v>ST1126-3XL</v>
          </cell>
          <cell r="B11403" t="str">
            <v>QT1126</v>
          </cell>
          <cell r="C11403" t="str">
            <v>ซาติน แขนสั้นขายาว กราฟฟิกฟ้า น้ำเงิน ขาว 3XL (กปก) QC</v>
          </cell>
          <cell r="E11403">
            <v>0</v>
          </cell>
          <cell r="F11403">
            <v>890</v>
          </cell>
        </row>
        <row r="11404">
          <cell r="A11404" t="str">
            <v>ST1126-L</v>
          </cell>
          <cell r="B11404" t="str">
            <v>QT1126</v>
          </cell>
          <cell r="C11404" t="str">
            <v>ซาติน แขนสั้นขายาว กราฟฟิกฟ้า น้ำเงิน ขาว L (กปก) QC</v>
          </cell>
          <cell r="E11404">
            <v>0</v>
          </cell>
          <cell r="F11404">
            <v>890</v>
          </cell>
        </row>
        <row r="11405">
          <cell r="A11405" t="str">
            <v>ST1126-M</v>
          </cell>
          <cell r="B11405" t="str">
            <v>QT1126</v>
          </cell>
          <cell r="C11405" t="str">
            <v>ซาติน แขนสั้นขายาว กราฟฟิกฟ้า น้ำเงิน ขาว M (กปก) QC</v>
          </cell>
          <cell r="E11405">
            <v>0</v>
          </cell>
          <cell r="F11405">
            <v>890</v>
          </cell>
        </row>
        <row r="11406">
          <cell r="A11406" t="str">
            <v>ST1126-XL</v>
          </cell>
          <cell r="B11406" t="str">
            <v>T1126</v>
          </cell>
          <cell r="C11406" t="str">
            <v>ซาติน แขนสั้นขายาว กราฟฟิกฟ้า น้ำเงิน ขาว XL (กปก)</v>
          </cell>
          <cell r="E11406">
            <v>1</v>
          </cell>
          <cell r="F11406">
            <v>890</v>
          </cell>
        </row>
        <row r="11407">
          <cell r="A11407" t="str">
            <v>ST1127-2XL</v>
          </cell>
          <cell r="B11407" t="str">
            <v>T1127</v>
          </cell>
          <cell r="C11407" t="str">
            <v>ซาติน แขนสั้นขายาว สีรุ้ง พาสเทล 2XL (กปก)</v>
          </cell>
          <cell r="E11407">
            <v>0</v>
          </cell>
          <cell r="F11407">
            <v>890</v>
          </cell>
        </row>
        <row r="11408">
          <cell r="A11408" t="str">
            <v>ST1127-3XL</v>
          </cell>
          <cell r="B11408" t="str">
            <v>QT1127</v>
          </cell>
          <cell r="C11408" t="str">
            <v>ซาติน แขนสั้นขายาว สีรุ้ง พาสเทล 3XL (กปก) QC</v>
          </cell>
          <cell r="E11408">
            <v>0</v>
          </cell>
          <cell r="F11408">
            <v>890</v>
          </cell>
        </row>
        <row r="11409">
          <cell r="A11409" t="str">
            <v>ST1127-L</v>
          </cell>
          <cell r="B11409" t="str">
            <v>T1127</v>
          </cell>
          <cell r="C11409" t="str">
            <v>ซาติน แขนสั้นขายาว สีรุ้ง พาสเทล L (กปก)</v>
          </cell>
          <cell r="E11409">
            <v>0</v>
          </cell>
          <cell r="F11409">
            <v>890</v>
          </cell>
        </row>
        <row r="11410">
          <cell r="A11410" t="str">
            <v>ST1127-M</v>
          </cell>
          <cell r="B11410" t="str">
            <v>T1127</v>
          </cell>
          <cell r="C11410" t="str">
            <v>ซาติน แขนสั้นขายาว Fern Bubblegum M (กปก)</v>
          </cell>
          <cell r="E11410">
            <v>0</v>
          </cell>
          <cell r="F11410">
            <v>890</v>
          </cell>
        </row>
        <row r="11411">
          <cell r="A11411" t="str">
            <v>ST1127-XL</v>
          </cell>
          <cell r="B11411" t="str">
            <v>T1127</v>
          </cell>
          <cell r="C11411" t="str">
            <v>ซาติน แขนสั้นขายาว สีรุ้ง พาสเทล XL (กปก)</v>
          </cell>
          <cell r="E11411">
            <v>0</v>
          </cell>
          <cell r="F11411">
            <v>890</v>
          </cell>
        </row>
        <row r="11412">
          <cell r="A11412" t="str">
            <v>ST1128-2XL</v>
          </cell>
          <cell r="B11412" t="str">
            <v>T1128</v>
          </cell>
          <cell r="C11412" t="str">
            <v>ซาติน แขนสั้นขายาว ลายอาร์ท สีน้ำ 2XL (กปก)</v>
          </cell>
          <cell r="E11412">
            <v>0</v>
          </cell>
          <cell r="F11412">
            <v>890</v>
          </cell>
        </row>
        <row r="11413">
          <cell r="A11413" t="str">
            <v>ST1128-L</v>
          </cell>
          <cell r="B11413" t="str">
            <v>T1128</v>
          </cell>
          <cell r="C11413" t="str">
            <v>ซาติน แขนสั้นขายาว ลายอาร์ท สีน้ำ L (กปก)</v>
          </cell>
          <cell r="E11413">
            <v>0</v>
          </cell>
          <cell r="F11413">
            <v>890</v>
          </cell>
        </row>
        <row r="11414">
          <cell r="A11414" t="str">
            <v>ST1128-M</v>
          </cell>
          <cell r="B11414" t="str">
            <v>T1128</v>
          </cell>
          <cell r="C11414" t="str">
            <v>ซาติน แขนสั้นขายาว ลายอาร์ท สีน้ำ M (กปก)</v>
          </cell>
          <cell r="E11414">
            <v>0</v>
          </cell>
          <cell r="F11414">
            <v>590</v>
          </cell>
        </row>
        <row r="11415">
          <cell r="A11415" t="str">
            <v>ST1128-XL</v>
          </cell>
          <cell r="B11415" t="str">
            <v>T1128</v>
          </cell>
          <cell r="C11415" t="str">
            <v>ซาติน แขนสั้นขายาว ลายอาร์ท สีน้ำ XL (กปก)</v>
          </cell>
          <cell r="E11415">
            <v>0</v>
          </cell>
          <cell r="F11415">
            <v>890</v>
          </cell>
        </row>
        <row r="11416">
          <cell r="A11416" t="str">
            <v>ST1129-2XL</v>
          </cell>
          <cell r="B11416" t="str">
            <v>QT1129</v>
          </cell>
          <cell r="C11416" t="str">
            <v>ซาติน แขนสั้นขายาว ดอกไม้กาสะลอง พื้นดำ (กปก) 2XL QC</v>
          </cell>
          <cell r="E11416">
            <v>0</v>
          </cell>
          <cell r="F11416">
            <v>890</v>
          </cell>
        </row>
        <row r="11417">
          <cell r="A11417" t="str">
            <v>ST1129-L</v>
          </cell>
          <cell r="B11417" t="str">
            <v>T1129</v>
          </cell>
          <cell r="C11417" t="str">
            <v>ซาติน แขนสั้นขายาว ดอกไม้กาสะลอง พื้นดำ (กปก) L</v>
          </cell>
          <cell r="E11417">
            <v>0</v>
          </cell>
          <cell r="F11417">
            <v>890</v>
          </cell>
        </row>
        <row r="11418">
          <cell r="A11418" t="str">
            <v>ST1129-M</v>
          </cell>
          <cell r="B11418" t="str">
            <v>QT1129</v>
          </cell>
          <cell r="C11418" t="str">
            <v>ซาติน แขนสั้นขายาว ดอกไม้กาสะลอง พื้นดำ (กปก) M QC</v>
          </cell>
          <cell r="E11418">
            <v>0</v>
          </cell>
          <cell r="F11418">
            <v>890</v>
          </cell>
        </row>
        <row r="11419">
          <cell r="A11419" t="str">
            <v>ST1129-XL</v>
          </cell>
          <cell r="B11419" t="str">
            <v>QT1129</v>
          </cell>
          <cell r="C11419" t="str">
            <v>ซาติน แขนสั้นขายาว ดอกไม้กาสะลอง พื้นดำ (กปก) XL QC</v>
          </cell>
          <cell r="E11419">
            <v>0</v>
          </cell>
          <cell r="F11419">
            <v>890</v>
          </cell>
        </row>
        <row r="11420">
          <cell r="A11420" t="str">
            <v>ST1130-2XL</v>
          </cell>
          <cell r="B11420" t="str">
            <v>T1130</v>
          </cell>
          <cell r="C11420" t="str">
            <v>ซาติน แขนสั้นขายาว นกกระยาง พื้นฟ้า (กปก) 2XL</v>
          </cell>
          <cell r="E11420">
            <v>0</v>
          </cell>
          <cell r="F11420">
            <v>890</v>
          </cell>
        </row>
        <row r="11421">
          <cell r="A11421" t="str">
            <v>ST1130-L</v>
          </cell>
          <cell r="B11421" t="str">
            <v>T1130</v>
          </cell>
          <cell r="C11421" t="str">
            <v>ซาติน แขนสั้นขายาว นกกระยาง พื้นฟ้า (กปก) L</v>
          </cell>
          <cell r="E11421">
            <v>0</v>
          </cell>
          <cell r="F11421">
            <v>890</v>
          </cell>
        </row>
        <row r="11422">
          <cell r="A11422" t="str">
            <v>ST1130-M</v>
          </cell>
          <cell r="B11422" t="str">
            <v>T1130</v>
          </cell>
          <cell r="C11422" t="str">
            <v>ซาติน แขนสั้นขายาว นกกระยาง พื้นฟ้า (กปก) M</v>
          </cell>
          <cell r="E11422">
            <v>0</v>
          </cell>
          <cell r="F11422">
            <v>890</v>
          </cell>
        </row>
        <row r="11423">
          <cell r="A11423" t="str">
            <v>ST1130-XL</v>
          </cell>
          <cell r="B11423" t="str">
            <v>QT1130</v>
          </cell>
          <cell r="C11423" t="str">
            <v>ซาติน แขนสั้นขายาว นกกระยาง พื้นฟ้า (กปก) XL QC</v>
          </cell>
          <cell r="E11423">
            <v>0</v>
          </cell>
          <cell r="F11423">
            <v>890</v>
          </cell>
        </row>
        <row r="11424">
          <cell r="A11424" t="str">
            <v>ST1133-2XL</v>
          </cell>
          <cell r="B11424" t="str">
            <v>T1133</v>
          </cell>
          <cell r="C11424" t="str">
            <v>ซาติน แขนสั้นขายาว แมว ชมพู กุ้นชอบขาว (กปก) 2XL</v>
          </cell>
          <cell r="E11424">
            <v>0</v>
          </cell>
          <cell r="F11424">
            <v>890</v>
          </cell>
        </row>
        <row r="11425">
          <cell r="A11425" t="str">
            <v>ST1133-3XL</v>
          </cell>
          <cell r="B11425" t="str">
            <v>T1133</v>
          </cell>
          <cell r="C11425" t="str">
            <v>ซาติน แขนสั้นขายาว แมว ชมพู กุ้นชอบขาว (กปก) 3XL</v>
          </cell>
          <cell r="E11425">
            <v>0</v>
          </cell>
          <cell r="F11425">
            <v>890</v>
          </cell>
        </row>
        <row r="11426">
          <cell r="A11426" t="str">
            <v>ST1133-L</v>
          </cell>
          <cell r="B11426" t="str">
            <v>T1133</v>
          </cell>
          <cell r="C11426" t="str">
            <v>ซาติน แขนสั้นขายาว แมว ชมพู กุ้นชอบขาว (กปก) L</v>
          </cell>
          <cell r="E11426">
            <v>0</v>
          </cell>
          <cell r="F11426">
            <v>890</v>
          </cell>
        </row>
        <row r="11427">
          <cell r="A11427" t="str">
            <v>ST1133-M</v>
          </cell>
          <cell r="B11427" t="str">
            <v>T1133</v>
          </cell>
          <cell r="C11427" t="str">
            <v>ซาติน แขนสั้นขายาว แมว ชมพู กุ้นชอบขาว (กปก) M</v>
          </cell>
          <cell r="E11427">
            <v>0</v>
          </cell>
          <cell r="F11427">
            <v>890</v>
          </cell>
        </row>
        <row r="11428">
          <cell r="A11428" t="str">
            <v>ST1133-XL</v>
          </cell>
          <cell r="B11428" t="str">
            <v>T1133</v>
          </cell>
          <cell r="C11428" t="str">
            <v>ซาติน แขนสั้นขายาว แมว ชมพู กุ้นชอบขาว (กปก) XL</v>
          </cell>
          <cell r="E11428">
            <v>0</v>
          </cell>
          <cell r="F11428">
            <v>890</v>
          </cell>
        </row>
        <row r="11429">
          <cell r="A11429" t="str">
            <v>ST1134-2XL</v>
          </cell>
          <cell r="B11429" t="str">
            <v>T1134</v>
          </cell>
          <cell r="C11429" t="str">
            <v>ซาติน แขนสั้นขายาว น้องแมว พื้นครีม (กปก) 2XL</v>
          </cell>
          <cell r="E11429">
            <v>0</v>
          </cell>
          <cell r="F11429">
            <v>890</v>
          </cell>
        </row>
        <row r="11430">
          <cell r="A11430" t="str">
            <v>ST1134-L</v>
          </cell>
          <cell r="B11430" t="str">
            <v>T1134</v>
          </cell>
          <cell r="C11430" t="str">
            <v>ซาติน แขนสั้นขายาว น้องแมว พื้นครีม (กปก) L</v>
          </cell>
          <cell r="E11430">
            <v>0</v>
          </cell>
          <cell r="F11430">
            <v>890</v>
          </cell>
        </row>
        <row r="11431">
          <cell r="A11431" t="str">
            <v>ST1134-M</v>
          </cell>
          <cell r="B11431" t="str">
            <v>T1134</v>
          </cell>
          <cell r="C11431" t="str">
            <v>ซาติน แขนสั้นขายาว น้องแมว พื้นครีม (กปก) M</v>
          </cell>
          <cell r="E11431">
            <v>0</v>
          </cell>
          <cell r="F11431">
            <v>890</v>
          </cell>
        </row>
        <row r="11432">
          <cell r="A11432" t="str">
            <v>ST1134-XL</v>
          </cell>
          <cell r="B11432" t="str">
            <v>T1134</v>
          </cell>
          <cell r="C11432" t="str">
            <v>ซาติน แขนสั้นขายาว น้องแมว พื้นครีม (กปก) XL</v>
          </cell>
          <cell r="E11432">
            <v>0</v>
          </cell>
          <cell r="F11432">
            <v>890</v>
          </cell>
        </row>
        <row r="11433">
          <cell r="A11433" t="str">
            <v>ST1137-2XL</v>
          </cell>
          <cell r="B11433" t="str">
            <v>T1137</v>
          </cell>
          <cell r="C11433" t="str">
            <v>ซาติน แขนสั้นขายาว สีรุ้งม่วงชมพู 2XL  (กปก)</v>
          </cell>
          <cell r="E11433">
            <v>0</v>
          </cell>
          <cell r="F11433">
            <v>890</v>
          </cell>
        </row>
        <row r="11434">
          <cell r="A11434" t="str">
            <v>ST1137-L</v>
          </cell>
          <cell r="B11434" t="str">
            <v>T1137</v>
          </cell>
          <cell r="C11434" t="str">
            <v>ซาติน แขนสั้นขายาว สีรุ้งม่วงชมพู L (กปก)</v>
          </cell>
          <cell r="E11434">
            <v>0</v>
          </cell>
          <cell r="F11434">
            <v>890</v>
          </cell>
        </row>
        <row r="11435">
          <cell r="A11435" t="str">
            <v>ST1137-M</v>
          </cell>
          <cell r="B11435" t="str">
            <v>T1137</v>
          </cell>
          <cell r="C11435" t="str">
            <v>ซาติน แขนสั้นขายาว สีรุ้งม่วงชมพู M (กปก)</v>
          </cell>
          <cell r="E11435">
            <v>0</v>
          </cell>
          <cell r="F11435">
            <v>890</v>
          </cell>
        </row>
        <row r="11436">
          <cell r="A11436" t="str">
            <v>ST1137-XL</v>
          </cell>
          <cell r="B11436" t="str">
            <v>T1137</v>
          </cell>
          <cell r="C11436" t="str">
            <v>ซาติน แขนสั้นขายาว สีรุ้งม่วงชมพู XL (กปก)</v>
          </cell>
          <cell r="E11436">
            <v>0</v>
          </cell>
          <cell r="F11436">
            <v>890</v>
          </cell>
        </row>
        <row r="11437">
          <cell r="A11437" t="str">
            <v>ST1138-2XL</v>
          </cell>
          <cell r="B11437" t="str">
            <v>T1138</v>
          </cell>
          <cell r="C11437" t="str">
            <v>ซาติน แขนสั้นขายาว กราฟฟิกฟาโร เขียวแดง 2XL  (กปก)</v>
          </cell>
          <cell r="E11437">
            <v>9</v>
          </cell>
          <cell r="F11437">
            <v>890</v>
          </cell>
        </row>
        <row r="11438">
          <cell r="A11438" t="str">
            <v>ST1138-L</v>
          </cell>
          <cell r="B11438" t="str">
            <v>QT1138</v>
          </cell>
          <cell r="C11438" t="str">
            <v>ซาติน แขนสั้นขายาว กราฟฟิกฟาโร เขียวแดง L (กปก) QC</v>
          </cell>
          <cell r="E11438">
            <v>0</v>
          </cell>
          <cell r="F11438">
            <v>890</v>
          </cell>
        </row>
        <row r="11439">
          <cell r="A11439" t="str">
            <v>ST1138-M</v>
          </cell>
          <cell r="B11439" t="str">
            <v>T1138</v>
          </cell>
          <cell r="C11439" t="str">
            <v>ซาติน แขนสั้นขายาว กราฟฟิกฟาโร เขียวแดง M (กปก)</v>
          </cell>
          <cell r="E11439">
            <v>0</v>
          </cell>
          <cell r="F11439">
            <v>890</v>
          </cell>
        </row>
        <row r="11440">
          <cell r="A11440" t="str">
            <v>ST1138-XL</v>
          </cell>
          <cell r="B11440" t="str">
            <v>QT1138</v>
          </cell>
          <cell r="C11440" t="str">
            <v>ซาติน แขนสั้นขายาว กราฟฟิกฟาโร เขียวแดง XL (กปก) QC</v>
          </cell>
          <cell r="E11440">
            <v>0</v>
          </cell>
          <cell r="F11440">
            <v>890</v>
          </cell>
        </row>
        <row r="11441">
          <cell r="A11441" t="str">
            <v>ST1139-2XL</v>
          </cell>
          <cell r="B11441" t="str">
            <v>QT1139</v>
          </cell>
          <cell r="C11441" t="str">
            <v>ซาติน แขนสั้นขายาว WOMEN Thursday 2XL (กปก) QC</v>
          </cell>
          <cell r="E11441">
            <v>0</v>
          </cell>
          <cell r="F11441">
            <v>990</v>
          </cell>
        </row>
        <row r="11442">
          <cell r="A11442" t="str">
            <v>ST1139-L</v>
          </cell>
          <cell r="B11442" t="str">
            <v>T1139</v>
          </cell>
          <cell r="C11442" t="str">
            <v>ซาติน แขนสั้นขายาว WOMEN Thursday L (กปก)</v>
          </cell>
          <cell r="E11442">
            <v>0</v>
          </cell>
          <cell r="F11442">
            <v>990</v>
          </cell>
        </row>
        <row r="11443">
          <cell r="A11443" t="str">
            <v>ST1139-M</v>
          </cell>
          <cell r="B11443" t="str">
            <v>QT1139</v>
          </cell>
          <cell r="C11443" t="str">
            <v>ซาติน แขนสั้นขายาว WOMEN Thursday M (กปก) QC</v>
          </cell>
          <cell r="E11443">
            <v>0</v>
          </cell>
          <cell r="F11443">
            <v>990</v>
          </cell>
        </row>
        <row r="11444">
          <cell r="A11444" t="str">
            <v>ST1139-XL</v>
          </cell>
          <cell r="B11444" t="str">
            <v>T1139</v>
          </cell>
          <cell r="C11444" t="str">
            <v>ซาติน แขนสั้นขายาว WOMEN Thursday XL (กปก)</v>
          </cell>
          <cell r="E11444">
            <v>0</v>
          </cell>
          <cell r="F11444">
            <v>990</v>
          </cell>
        </row>
        <row r="11445">
          <cell r="A11445" t="str">
            <v>ST1140-2XL</v>
          </cell>
          <cell r="B11445" t="str">
            <v>T1140</v>
          </cell>
          <cell r="C11445" t="str">
            <v>ซาติน แขนสั้นขายาว WOMEN Tuesday 2XL (กปก)</v>
          </cell>
          <cell r="E11445">
            <v>0</v>
          </cell>
          <cell r="F11445">
            <v>990</v>
          </cell>
        </row>
        <row r="11446">
          <cell r="A11446" t="str">
            <v>ST1140-L</v>
          </cell>
          <cell r="B11446" t="str">
            <v>QT1140</v>
          </cell>
          <cell r="C11446" t="str">
            <v>ซาติน แขนสั้นขายาว WOMEN Tuesday L (กปก) QC</v>
          </cell>
          <cell r="E11446">
            <v>0</v>
          </cell>
          <cell r="F11446">
            <v>990</v>
          </cell>
        </row>
        <row r="11447">
          <cell r="A11447" t="str">
            <v>ST1140-M</v>
          </cell>
          <cell r="B11447" t="str">
            <v>QT1140</v>
          </cell>
          <cell r="C11447" t="str">
            <v>ซาติน แขนสั้นขายาว WOMEN Tuesday M (กปก) QC</v>
          </cell>
          <cell r="E11447">
            <v>0</v>
          </cell>
          <cell r="F11447">
            <v>990</v>
          </cell>
        </row>
        <row r="11448">
          <cell r="A11448" t="str">
            <v>ST1140-XL</v>
          </cell>
          <cell r="B11448" t="str">
            <v>QT1140</v>
          </cell>
          <cell r="C11448" t="str">
            <v>ซาติน แขนสั้นขายาว WOMEN Tuesday XL (กปก) QC</v>
          </cell>
          <cell r="E11448">
            <v>0</v>
          </cell>
          <cell r="F11448">
            <v>990</v>
          </cell>
        </row>
        <row r="11449">
          <cell r="A11449" t="str">
            <v>ST1141-2XL</v>
          </cell>
          <cell r="B11449" t="str">
            <v>T1141</v>
          </cell>
          <cell r="C11449" t="str">
            <v>ซาติน แขนสั้นขายาว WOMEN Wednesday 2XL (กปก)</v>
          </cell>
          <cell r="E11449">
            <v>0</v>
          </cell>
          <cell r="F11449">
            <v>990</v>
          </cell>
        </row>
        <row r="11450">
          <cell r="A11450" t="str">
            <v>ST1141-L</v>
          </cell>
          <cell r="B11450" t="str">
            <v>T1141</v>
          </cell>
          <cell r="C11450" t="str">
            <v>ซาติน แขนสั้นขายาว WOMEN Wednesday L (กปก)</v>
          </cell>
          <cell r="E11450">
            <v>0</v>
          </cell>
          <cell r="F11450">
            <v>990</v>
          </cell>
        </row>
        <row r="11451">
          <cell r="A11451" t="str">
            <v>ST1141-M</v>
          </cell>
          <cell r="B11451" t="str">
            <v>T1141</v>
          </cell>
          <cell r="C11451" t="str">
            <v>ซาติน แขนสั้นขายาว WOMEN Wednesday M (กปก)</v>
          </cell>
          <cell r="E11451">
            <v>0</v>
          </cell>
          <cell r="F11451">
            <v>990</v>
          </cell>
        </row>
        <row r="11452">
          <cell r="A11452" t="str">
            <v>ST1141-XL</v>
          </cell>
          <cell r="B11452" t="str">
            <v>T1141</v>
          </cell>
          <cell r="C11452" t="str">
            <v>ซาติน แขนสั้นขายาว WOMEN Wednesday XL (กปก)</v>
          </cell>
          <cell r="E11452">
            <v>0</v>
          </cell>
          <cell r="F11452">
            <v>990</v>
          </cell>
        </row>
        <row r="11453">
          <cell r="A11453" t="str">
            <v>ST1142-2XL</v>
          </cell>
          <cell r="B11453" t="str">
            <v>T1142</v>
          </cell>
          <cell r="C11453" t="str">
            <v>ซาติน แขนสั้นขายาว WOMEN Friday 2XL (กปก)</v>
          </cell>
          <cell r="E11453">
            <v>0</v>
          </cell>
          <cell r="F11453">
            <v>990</v>
          </cell>
        </row>
        <row r="11454">
          <cell r="A11454" t="str">
            <v>ST1142-L</v>
          </cell>
          <cell r="B11454" t="str">
            <v>T1142</v>
          </cell>
          <cell r="C11454" t="str">
            <v>ซาติน แขนสั้นขายาว WOMEN Friday L (กปก)</v>
          </cell>
          <cell r="E11454">
            <v>0</v>
          </cell>
          <cell r="F11454">
            <v>990</v>
          </cell>
        </row>
        <row r="11455">
          <cell r="A11455" t="str">
            <v>ST1142-M</v>
          </cell>
          <cell r="B11455" t="str">
            <v>T1142</v>
          </cell>
          <cell r="C11455" t="str">
            <v>ซาติน แขนสั้นขายาว WOMEN Friday M (กปก)</v>
          </cell>
          <cell r="E11455">
            <v>0</v>
          </cell>
          <cell r="F11455">
            <v>990</v>
          </cell>
        </row>
        <row r="11456">
          <cell r="A11456" t="str">
            <v>ST1142-XL</v>
          </cell>
          <cell r="B11456" t="str">
            <v>T1142</v>
          </cell>
          <cell r="C11456" t="str">
            <v>ซาติน แขนสั้นขายาว WOMEN Friday XL (กปก)</v>
          </cell>
          <cell r="E11456">
            <v>4</v>
          </cell>
          <cell r="F11456">
            <v>990</v>
          </cell>
        </row>
        <row r="11457">
          <cell r="A11457" t="str">
            <v>ST1143-2XL</v>
          </cell>
          <cell r="B11457" t="str">
            <v>QT1143</v>
          </cell>
          <cell r="C11457" t="str">
            <v>ซาติน แขนสั้นขายาว WOMEN Saturday 2XL (กปก) QC</v>
          </cell>
          <cell r="E11457">
            <v>0</v>
          </cell>
          <cell r="F11457">
            <v>990</v>
          </cell>
        </row>
        <row r="11458">
          <cell r="A11458" t="str">
            <v>ST1143-L</v>
          </cell>
          <cell r="B11458" t="str">
            <v>T1143</v>
          </cell>
          <cell r="C11458" t="str">
            <v>ซาติน แขนสั้นขายาว WOMEN Saturday L (กปก)</v>
          </cell>
          <cell r="E11458">
            <v>0</v>
          </cell>
          <cell r="F11458">
            <v>990</v>
          </cell>
        </row>
        <row r="11459">
          <cell r="A11459" t="str">
            <v>ST1143-M</v>
          </cell>
          <cell r="B11459" t="str">
            <v>QT1143</v>
          </cell>
          <cell r="C11459" t="str">
            <v>ซาติน แขนสั้นขายาว WOMEN Saturday M (กปก) QC</v>
          </cell>
          <cell r="E11459">
            <v>0</v>
          </cell>
          <cell r="F11459">
            <v>990</v>
          </cell>
        </row>
        <row r="11460">
          <cell r="A11460" t="str">
            <v>ST1143-XL</v>
          </cell>
          <cell r="B11460" t="str">
            <v>T1143</v>
          </cell>
          <cell r="C11460" t="str">
            <v>ซาติน แขนสั้นขายาว WOMEN Saturday XL (กปก)</v>
          </cell>
          <cell r="E11460">
            <v>0</v>
          </cell>
          <cell r="F11460">
            <v>990</v>
          </cell>
        </row>
        <row r="11461">
          <cell r="A11461" t="str">
            <v>ST1144-2XL</v>
          </cell>
          <cell r="B11461" t="str">
            <v>T1144</v>
          </cell>
          <cell r="C11461" t="str">
            <v>ซาติน แขนสั้นขายาว WOMEN Sunday 2XL (กปก)</v>
          </cell>
          <cell r="E11461">
            <v>0</v>
          </cell>
          <cell r="F11461">
            <v>990</v>
          </cell>
        </row>
        <row r="11462">
          <cell r="A11462" t="str">
            <v>ST1144-L</v>
          </cell>
          <cell r="B11462" t="str">
            <v>T1144</v>
          </cell>
          <cell r="C11462" t="str">
            <v>ซาติน แขนสั้นขายาว WOMEN Sunday L (กปก)</v>
          </cell>
          <cell r="E11462">
            <v>0</v>
          </cell>
          <cell r="F11462">
            <v>990</v>
          </cell>
        </row>
        <row r="11463">
          <cell r="A11463" t="str">
            <v>ST1144-M</v>
          </cell>
          <cell r="B11463" t="str">
            <v>T1144</v>
          </cell>
          <cell r="C11463" t="str">
            <v>ซาติน แขนสั้นขายาว WOMEN Sunday M (กปก)</v>
          </cell>
          <cell r="E11463">
            <v>0</v>
          </cell>
          <cell r="F11463">
            <v>990</v>
          </cell>
        </row>
        <row r="11464">
          <cell r="A11464" t="str">
            <v>ST1144-XL</v>
          </cell>
          <cell r="B11464" t="str">
            <v>T1144</v>
          </cell>
          <cell r="C11464" t="str">
            <v>ซาติน แขนสั้นขายาว WOMEN Sunday XL (กปก)</v>
          </cell>
          <cell r="E11464">
            <v>0</v>
          </cell>
          <cell r="F11464">
            <v>990</v>
          </cell>
        </row>
        <row r="11465">
          <cell r="A11465" t="str">
            <v>ST1145-2XL</v>
          </cell>
          <cell r="B11465" t="str">
            <v>T1145</v>
          </cell>
          <cell r="C11465" t="str">
            <v>ซาติน แขนสั้นขายาว WOMEN Monday 2XL (กปก)</v>
          </cell>
          <cell r="E11465">
            <v>0</v>
          </cell>
          <cell r="F11465">
            <v>990</v>
          </cell>
        </row>
        <row r="11466">
          <cell r="A11466" t="str">
            <v>ST1145-L</v>
          </cell>
          <cell r="B11466" t="str">
            <v>T1145</v>
          </cell>
          <cell r="C11466" t="str">
            <v>ซาติน แขนสั้นขายาว WOMEN Monday L (กปก)</v>
          </cell>
          <cell r="E11466">
            <v>0</v>
          </cell>
          <cell r="F11466">
            <v>990</v>
          </cell>
        </row>
        <row r="11467">
          <cell r="A11467" t="str">
            <v>ST1145-M</v>
          </cell>
          <cell r="B11467" t="str">
            <v>T1145</v>
          </cell>
          <cell r="C11467" t="str">
            <v>ซาติน แขนสั้นขายาว WOMEN Monday M (กปก)</v>
          </cell>
          <cell r="E11467">
            <v>0</v>
          </cell>
          <cell r="F11467">
            <v>990</v>
          </cell>
        </row>
        <row r="11468">
          <cell r="A11468" t="str">
            <v>ST1145-XL</v>
          </cell>
          <cell r="B11468" t="str">
            <v>QT1145</v>
          </cell>
          <cell r="C11468" t="str">
            <v>ซาติน แขนสั้นขายาว WOMEN Monday XL (กปก) QC</v>
          </cell>
          <cell r="E11468">
            <v>0</v>
          </cell>
          <cell r="F11468">
            <v>990</v>
          </cell>
        </row>
        <row r="11469">
          <cell r="A11469" t="str">
            <v>ST1146-2XL</v>
          </cell>
          <cell r="B11469" t="str">
            <v>T1146</v>
          </cell>
          <cell r="C11469" t="str">
            <v>ซาติน แขนสั้นขายาว Pinky Flowers คอปกชมพูอ่อน 2XL (กปก)</v>
          </cell>
          <cell r="E11469">
            <v>0</v>
          </cell>
          <cell r="F11469">
            <v>890</v>
          </cell>
        </row>
        <row r="11470">
          <cell r="A11470" t="str">
            <v>ST1146-L</v>
          </cell>
          <cell r="B11470" t="str">
            <v>T1146</v>
          </cell>
          <cell r="C11470" t="str">
            <v>ซาติน แขนสั้นขายาว Pinky Flowers คอปกชมพูอ่อน L (กปก)</v>
          </cell>
          <cell r="E11470">
            <v>0</v>
          </cell>
          <cell r="F11470">
            <v>890</v>
          </cell>
        </row>
        <row r="11471">
          <cell r="A11471" t="str">
            <v>ST1146-M</v>
          </cell>
          <cell r="B11471" t="str">
            <v>T1146</v>
          </cell>
          <cell r="C11471" t="str">
            <v>ซาติน แขนสั้นขายาว Pinky Flowers คอปกชมพูอ่อน M (กปก)</v>
          </cell>
          <cell r="E11471">
            <v>0</v>
          </cell>
          <cell r="F11471">
            <v>890</v>
          </cell>
        </row>
        <row r="11472">
          <cell r="A11472" t="str">
            <v>ST1146-XL</v>
          </cell>
          <cell r="B11472" t="str">
            <v>T1146</v>
          </cell>
          <cell r="C11472" t="str">
            <v>ซาติน แขนสั้นขายาว Pinky Flowers คอปกชมพูอ่อน XL (กปก)</v>
          </cell>
          <cell r="E11472">
            <v>0</v>
          </cell>
          <cell r="F11472">
            <v>890</v>
          </cell>
        </row>
        <row r="11473">
          <cell r="A11473" t="str">
            <v>ST1147-2XL</v>
          </cell>
          <cell r="B11473" t="str">
            <v>T1147</v>
          </cell>
          <cell r="C11473" t="str">
            <v>ซาติน แขนสั้นขายาว ผลไม้รวม พื้นชมพู ขอบลายทางเขียว (มีกปก) 2XL</v>
          </cell>
          <cell r="E11473">
            <v>0</v>
          </cell>
          <cell r="F11473">
            <v>890</v>
          </cell>
        </row>
        <row r="11474">
          <cell r="A11474" t="str">
            <v>ST1147-L</v>
          </cell>
          <cell r="B11474" t="str">
            <v>T1147</v>
          </cell>
          <cell r="C11474" t="str">
            <v>ซาติน แขนสั้นขายาว ผลไม้รวม พื้นชมพู ขอบลายทางเขียว (มีกปก) L</v>
          </cell>
          <cell r="E11474">
            <v>0</v>
          </cell>
          <cell r="F11474">
            <v>890</v>
          </cell>
        </row>
        <row r="11475">
          <cell r="A11475" t="str">
            <v>ST1147-M</v>
          </cell>
          <cell r="B11475" t="str">
            <v>QT1147</v>
          </cell>
          <cell r="C11475" t="str">
            <v>ซาติน แขนสั้นขายาว ผลไม้รวม พื้นชมพู ขอบลายทางเขียว (มีกปก) M QC</v>
          </cell>
          <cell r="E11475">
            <v>0</v>
          </cell>
          <cell r="F11475">
            <v>890</v>
          </cell>
        </row>
        <row r="11476">
          <cell r="A11476" t="str">
            <v>ST1147-XL</v>
          </cell>
          <cell r="B11476" t="str">
            <v>T1147</v>
          </cell>
          <cell r="C11476" t="str">
            <v>ซาติน แขนสั้นขายาว ผลไม้รวม พื้นชมพู ขอบลายทางเขียว (มีกปก) XL</v>
          </cell>
          <cell r="E11476">
            <v>0</v>
          </cell>
          <cell r="F11476">
            <v>890</v>
          </cell>
        </row>
        <row r="11477">
          <cell r="A11477" t="str">
            <v>ST1148-2XL</v>
          </cell>
          <cell r="B11477" t="str">
            <v>QT1148</v>
          </cell>
          <cell r="C11477" t="str">
            <v>ซาติน แขนสั้นขายาว Tiger Pink (มีกปก) 2XL QC</v>
          </cell>
          <cell r="E11477">
            <v>0</v>
          </cell>
          <cell r="F11477">
            <v>890</v>
          </cell>
        </row>
        <row r="11478">
          <cell r="A11478" t="str">
            <v>ST1148-3XL</v>
          </cell>
          <cell r="B11478" t="str">
            <v>T1148</v>
          </cell>
          <cell r="C11478" t="str">
            <v>ซาติน แขนสั้นขายาว Tiger Pink (มีกปก) 3XL</v>
          </cell>
          <cell r="E11478">
            <v>0</v>
          </cell>
          <cell r="F11478">
            <v>890</v>
          </cell>
        </row>
        <row r="11479">
          <cell r="A11479" t="str">
            <v>ST1148-L</v>
          </cell>
          <cell r="B11479" t="str">
            <v>QT1148</v>
          </cell>
          <cell r="C11479" t="str">
            <v>ซาติน แขนสั้นขายาว Tiger Pink (มีกปก) L QC</v>
          </cell>
          <cell r="E11479">
            <v>0</v>
          </cell>
          <cell r="F11479">
            <v>890</v>
          </cell>
        </row>
        <row r="11480">
          <cell r="A11480" t="str">
            <v>ST1148-M</v>
          </cell>
          <cell r="B11480" t="str">
            <v>QT1148</v>
          </cell>
          <cell r="C11480" t="str">
            <v>ซาติน แขนสั้นขายาว Tiger Pink (มีกปก) M QC</v>
          </cell>
          <cell r="E11480">
            <v>0</v>
          </cell>
          <cell r="F11480">
            <v>890</v>
          </cell>
        </row>
        <row r="11481">
          <cell r="A11481" t="str">
            <v>ST1148-XL</v>
          </cell>
          <cell r="B11481" t="str">
            <v>T1148</v>
          </cell>
          <cell r="C11481" t="str">
            <v>ซาติน แขนสั้นขายาว Tiger Pink (มีกปก) XL</v>
          </cell>
          <cell r="E11481">
            <v>0</v>
          </cell>
          <cell r="F11481">
            <v>890</v>
          </cell>
        </row>
        <row r="11482">
          <cell r="A11482" t="str">
            <v>ST1149-2XL</v>
          </cell>
          <cell r="B11482" t="str">
            <v>T1149</v>
          </cell>
          <cell r="C11482" t="str">
            <v>ซาติน แขนสั้นขายาว 12 ราศี พื้นกรม (มีกปก) 2XL</v>
          </cell>
          <cell r="E11482">
            <v>0</v>
          </cell>
          <cell r="F11482">
            <v>890</v>
          </cell>
        </row>
        <row r="11483">
          <cell r="A11483" t="str">
            <v>ST1149-3XL</v>
          </cell>
          <cell r="B11483" t="str">
            <v>T1149</v>
          </cell>
          <cell r="C11483" t="str">
            <v>ซาติน แขนสั้นขายาว 12 ราศี พื้นกรม (มีกปก) 3XL</v>
          </cell>
          <cell r="E11483">
            <v>0</v>
          </cell>
          <cell r="F11483">
            <v>890</v>
          </cell>
        </row>
        <row r="11484">
          <cell r="A11484" t="str">
            <v>ST1149-L</v>
          </cell>
          <cell r="B11484" t="str">
            <v>T1149</v>
          </cell>
          <cell r="C11484" t="str">
            <v>ซาติน แขนสั้นขายาว 12 ราศี พื้นกรม (มีกปก) L</v>
          </cell>
          <cell r="E11484">
            <v>0</v>
          </cell>
          <cell r="F11484">
            <v>890</v>
          </cell>
        </row>
        <row r="11485">
          <cell r="A11485" t="str">
            <v>ST1149-M</v>
          </cell>
          <cell r="B11485" t="str">
            <v>QT1149</v>
          </cell>
          <cell r="C11485" t="str">
            <v>ซาติน แขนสั้นขายาว 12 ราศี พื้นกรม (มีกปก) M QC</v>
          </cell>
          <cell r="E11485">
            <v>0</v>
          </cell>
          <cell r="F11485">
            <v>890</v>
          </cell>
        </row>
        <row r="11486">
          <cell r="A11486" t="str">
            <v>ST1149-XL</v>
          </cell>
          <cell r="B11486" t="str">
            <v>T1149</v>
          </cell>
          <cell r="C11486" t="str">
            <v>ซาติน แขนสั้นขายาว 12 ราศี พื้นกรม (มีกปก) XL</v>
          </cell>
          <cell r="E11486">
            <v>0</v>
          </cell>
          <cell r="F11486">
            <v>890</v>
          </cell>
        </row>
        <row r="11487">
          <cell r="A11487" t="str">
            <v>ST1150-2XL</v>
          </cell>
          <cell r="B11487" t="str">
            <v>QT1150</v>
          </cell>
          <cell r="C11487" t="str">
            <v>ซาติน แขนสั้นขายาว 12 ราศี พื้นเขียว (มีกปก) 2XL QC</v>
          </cell>
          <cell r="E11487">
            <v>0</v>
          </cell>
          <cell r="F11487">
            <v>890</v>
          </cell>
        </row>
        <row r="11488">
          <cell r="A11488" t="str">
            <v>ST1150-3XL</v>
          </cell>
          <cell r="B11488" t="str">
            <v>T1150</v>
          </cell>
          <cell r="C11488" t="str">
            <v>ซาติน แขนสั้นขายาว 12 ราศี พื้นเขียว (มีกปก) 3XL</v>
          </cell>
          <cell r="E11488">
            <v>0</v>
          </cell>
          <cell r="F11488">
            <v>890</v>
          </cell>
        </row>
        <row r="11489">
          <cell r="A11489" t="str">
            <v>ST1150-L</v>
          </cell>
          <cell r="B11489" t="str">
            <v>T1150</v>
          </cell>
          <cell r="C11489" t="str">
            <v>ซาติน แขนสั้นขายาว 12 ราศี พื้นเขียว (มีกปก) L</v>
          </cell>
          <cell r="E11489">
            <v>0</v>
          </cell>
          <cell r="F11489">
            <v>890</v>
          </cell>
        </row>
        <row r="11490">
          <cell r="A11490" t="str">
            <v>ST1150-M</v>
          </cell>
          <cell r="B11490" t="str">
            <v>T1150</v>
          </cell>
          <cell r="C11490" t="str">
            <v>ซาติน แขนสั้นขายาว 12 ราศี พื้นเขียว (มีกปก) M</v>
          </cell>
          <cell r="E11490">
            <v>0</v>
          </cell>
          <cell r="F11490">
            <v>890</v>
          </cell>
        </row>
        <row r="11491">
          <cell r="A11491" t="str">
            <v>ST1150-XL</v>
          </cell>
          <cell r="B11491" t="str">
            <v>T1150</v>
          </cell>
          <cell r="C11491" t="str">
            <v>ซาติน แขนสั้นขายาว 12 ราศี พื้นเขียว (มีกปก) XL</v>
          </cell>
          <cell r="E11491">
            <v>0</v>
          </cell>
          <cell r="F11491">
            <v>890</v>
          </cell>
        </row>
        <row r="11492">
          <cell r="A11492" t="str">
            <v>ST1151-2XL</v>
          </cell>
          <cell r="B11492" t="str">
            <v>T1151</v>
          </cell>
          <cell r="C11492" t="str">
            <v>ซาติน แขนสั้นขายาว อาชา ฟ้าคราม (กปก) 2XL</v>
          </cell>
          <cell r="E11492">
            <v>0</v>
          </cell>
          <cell r="F11492">
            <v>890</v>
          </cell>
        </row>
        <row r="11493">
          <cell r="A11493" t="str">
            <v>ST1151-L</v>
          </cell>
          <cell r="B11493" t="str">
            <v>QT1151</v>
          </cell>
          <cell r="C11493" t="str">
            <v>ซาติน แขนสั้นขายาว อาชา ฟ้าคราม (กปก) L QC</v>
          </cell>
          <cell r="E11493">
            <v>0</v>
          </cell>
          <cell r="F11493">
            <v>890</v>
          </cell>
        </row>
        <row r="11494">
          <cell r="A11494" t="str">
            <v>ST1151-M</v>
          </cell>
          <cell r="B11494" t="str">
            <v>T1151</v>
          </cell>
          <cell r="C11494" t="str">
            <v>ซาติน แขนสั้นขายาว อาชา ฟ้าคราม (กปก) M</v>
          </cell>
          <cell r="E11494">
            <v>0</v>
          </cell>
          <cell r="F11494">
            <v>890</v>
          </cell>
        </row>
        <row r="11495">
          <cell r="A11495" t="str">
            <v>ST1151-XL</v>
          </cell>
          <cell r="B11495" t="str">
            <v>T1151</v>
          </cell>
          <cell r="C11495" t="str">
            <v>ซาติน แขนสั้นขายาว อาชา ฟ้าคราม (กปก) XL</v>
          </cell>
          <cell r="E11495">
            <v>0</v>
          </cell>
          <cell r="F11495">
            <v>890</v>
          </cell>
        </row>
        <row r="11496">
          <cell r="A11496" t="str">
            <v>ST1153-2XL</v>
          </cell>
          <cell r="B11496" t="str">
            <v>T1153</v>
          </cell>
          <cell r="C11496" t="str">
            <v>ซาติน แขนสั้นขายาว ทิวลิปส้ม พื้นขาว 2XL</v>
          </cell>
          <cell r="E11496">
            <v>0</v>
          </cell>
          <cell r="F11496">
            <v>890</v>
          </cell>
        </row>
        <row r="11497">
          <cell r="A11497" t="str">
            <v>ST1153-L</v>
          </cell>
          <cell r="B11497" t="str">
            <v>QT1153</v>
          </cell>
          <cell r="C11497" t="str">
            <v>ซาติน แขนสั้นขายาว ทิวลิปส้ม พื้นขาว L QC</v>
          </cell>
          <cell r="E11497">
            <v>0</v>
          </cell>
          <cell r="F11497">
            <v>890</v>
          </cell>
        </row>
        <row r="11498">
          <cell r="A11498" t="str">
            <v>ST1153-M</v>
          </cell>
          <cell r="B11498" t="str">
            <v>T1153</v>
          </cell>
          <cell r="C11498" t="str">
            <v>ซาติน แขนสั้นขายาว ทิวลิปส้ม พื้นขาว M</v>
          </cell>
          <cell r="E11498">
            <v>0</v>
          </cell>
          <cell r="F11498">
            <v>890</v>
          </cell>
        </row>
        <row r="11499">
          <cell r="A11499" t="str">
            <v>ST1153-XL</v>
          </cell>
          <cell r="B11499" t="str">
            <v>T1153</v>
          </cell>
          <cell r="C11499" t="str">
            <v>ซาติน แขนสั้นขายาว ทิวลิปส้ม พื้นขาว XL</v>
          </cell>
          <cell r="E11499">
            <v>0</v>
          </cell>
          <cell r="F11499">
            <v>890</v>
          </cell>
        </row>
        <row r="11500">
          <cell r="A11500" t="str">
            <v>ST1154-2XL</v>
          </cell>
          <cell r="B11500" t="str">
            <v>T1154</v>
          </cell>
          <cell r="C11500" t="str">
            <v>ซาติน แขนสั้นขายาว Pink Heart 2XL (กปก)</v>
          </cell>
          <cell r="E11500">
            <v>0</v>
          </cell>
          <cell r="F11500">
            <v>890</v>
          </cell>
        </row>
        <row r="11501">
          <cell r="A11501" t="str">
            <v>ST1154-L</v>
          </cell>
          <cell r="B11501" t="str">
            <v>T1154</v>
          </cell>
          <cell r="C11501" t="str">
            <v>ซาติน แขนสั้นขายาว Pink Heart L (กปก)</v>
          </cell>
          <cell r="E11501">
            <v>0</v>
          </cell>
          <cell r="F11501">
            <v>890</v>
          </cell>
        </row>
        <row r="11502">
          <cell r="A11502" t="str">
            <v>ST1154-M</v>
          </cell>
          <cell r="B11502" t="str">
            <v>T1154</v>
          </cell>
          <cell r="C11502" t="str">
            <v>ซาติน แขนสั้นขายาว Pink Heart M (กปก)</v>
          </cell>
          <cell r="E11502">
            <v>0</v>
          </cell>
          <cell r="F11502">
            <v>890</v>
          </cell>
        </row>
        <row r="11503">
          <cell r="A11503" t="str">
            <v>ST1154-XL</v>
          </cell>
          <cell r="B11503" t="str">
            <v>T1154</v>
          </cell>
          <cell r="C11503" t="str">
            <v>ซาติน แขนสั้นขายาว Pink Heart XL (กปก)</v>
          </cell>
          <cell r="E11503">
            <v>0</v>
          </cell>
          <cell r="F11503">
            <v>890</v>
          </cell>
        </row>
        <row r="11504">
          <cell r="A11504" t="str">
            <v>ST1155-2XL</v>
          </cell>
          <cell r="B11504" t="str">
            <v>T1155</v>
          </cell>
          <cell r="C11504" t="str">
            <v>ซาติน แขนสั้นขายาว Violet Forest 2XL (กปก)</v>
          </cell>
          <cell r="E11504">
            <v>0</v>
          </cell>
          <cell r="F11504">
            <v>890</v>
          </cell>
        </row>
        <row r="11505">
          <cell r="A11505" t="str">
            <v>ST1155-L</v>
          </cell>
          <cell r="B11505" t="str">
            <v>T1155</v>
          </cell>
          <cell r="C11505" t="str">
            <v>ซาติน แขนสั้นขายาว Violet Forest L (กปก)</v>
          </cell>
          <cell r="E11505">
            <v>0</v>
          </cell>
          <cell r="F11505">
            <v>890</v>
          </cell>
        </row>
        <row r="11506">
          <cell r="A11506" t="str">
            <v>ST1155-M</v>
          </cell>
          <cell r="B11506" t="str">
            <v>T1155</v>
          </cell>
          <cell r="C11506" t="str">
            <v>ซาติน แขนสั้นขายาว Violet Forest M (กปก)</v>
          </cell>
          <cell r="E11506">
            <v>0</v>
          </cell>
          <cell r="F11506">
            <v>890</v>
          </cell>
        </row>
        <row r="11507">
          <cell r="A11507" t="str">
            <v>ST1155-XL</v>
          </cell>
          <cell r="B11507" t="str">
            <v>T1155</v>
          </cell>
          <cell r="C11507" t="str">
            <v>ซาติน แขนสั้นขายาว Violet Forest XL (กปก)</v>
          </cell>
          <cell r="E11507">
            <v>0</v>
          </cell>
          <cell r="F11507">
            <v>890</v>
          </cell>
        </row>
        <row r="11508">
          <cell r="A11508" t="str">
            <v>ST1156-2XL</v>
          </cell>
          <cell r="B11508" t="str">
            <v>T1156</v>
          </cell>
          <cell r="C11508" t="str">
            <v>ซาติน แขนสั้นขายาว Beautiful Women White 2XL (กปก)</v>
          </cell>
          <cell r="E11508">
            <v>0</v>
          </cell>
          <cell r="F11508">
            <v>890</v>
          </cell>
        </row>
        <row r="11509">
          <cell r="A11509" t="str">
            <v>ST1156-L</v>
          </cell>
          <cell r="B11509" t="str">
            <v>T1156</v>
          </cell>
          <cell r="C11509" t="str">
            <v>ซาติน แขนสั้นขายาว Beautiful Women White L (กปก)</v>
          </cell>
          <cell r="E11509">
            <v>0</v>
          </cell>
          <cell r="F11509">
            <v>890</v>
          </cell>
        </row>
        <row r="11510">
          <cell r="A11510" t="str">
            <v>ST1156-M</v>
          </cell>
          <cell r="B11510" t="str">
            <v>T1156</v>
          </cell>
          <cell r="C11510" t="str">
            <v>ซาติน แขนสั้นขายาว Beautiful Women White M (กปก)</v>
          </cell>
          <cell r="E11510">
            <v>0</v>
          </cell>
          <cell r="F11510">
            <v>890</v>
          </cell>
        </row>
        <row r="11511">
          <cell r="A11511" t="str">
            <v>ST1156-XL</v>
          </cell>
          <cell r="B11511" t="str">
            <v>T1156</v>
          </cell>
          <cell r="C11511" t="str">
            <v>ซาติน แขนสั้นขายาว Beautiful Women White XL (กปก)</v>
          </cell>
          <cell r="E11511">
            <v>0</v>
          </cell>
          <cell r="F11511">
            <v>890</v>
          </cell>
        </row>
        <row r="11512">
          <cell r="A11512" t="str">
            <v>ST1157-2XL</v>
          </cell>
          <cell r="B11512" t="str">
            <v>T1157</v>
          </cell>
          <cell r="C11512" t="str">
            <v>ซาติน แขนสั้นขายาว ฟอนท์อังกฤษ พื้นขาว 2XL (กปก)</v>
          </cell>
          <cell r="E11512">
            <v>1</v>
          </cell>
          <cell r="F11512">
            <v>890</v>
          </cell>
        </row>
        <row r="11513">
          <cell r="A11513" t="str">
            <v>ST1157-L</v>
          </cell>
          <cell r="B11513" t="str">
            <v>T1157</v>
          </cell>
          <cell r="C11513" t="str">
            <v>ซาติน แขนสั้นขายาว ฟอนท์อังกฤษ พื้นขาว L (กปก)</v>
          </cell>
          <cell r="E11513">
            <v>0</v>
          </cell>
          <cell r="F11513">
            <v>890</v>
          </cell>
        </row>
        <row r="11514">
          <cell r="A11514" t="str">
            <v>ST1157-M</v>
          </cell>
          <cell r="B11514" t="str">
            <v>T1157</v>
          </cell>
          <cell r="C11514" t="str">
            <v>ซาติน แขนสั้นขายาว ฟอนท์อังกฤษ พื้นขาว M (กปก)</v>
          </cell>
          <cell r="E11514">
            <v>0</v>
          </cell>
          <cell r="F11514">
            <v>890</v>
          </cell>
        </row>
        <row r="11515">
          <cell r="A11515" t="str">
            <v>ST1157-XL</v>
          </cell>
          <cell r="B11515" t="str">
            <v>T1157</v>
          </cell>
          <cell r="C11515" t="str">
            <v>ซาติน แขนสั้นขายาว ฟอนท์อังกฤษ พื้นขาว XL (กปก)</v>
          </cell>
          <cell r="E11515">
            <v>0</v>
          </cell>
          <cell r="F11515">
            <v>890</v>
          </cell>
        </row>
        <row r="11516">
          <cell r="A11516" t="str">
            <v>ST1158-2XL</v>
          </cell>
          <cell r="B11516" t="str">
            <v>T1158</v>
          </cell>
          <cell r="C11516" t="str">
            <v>ซาติน แขนสั้นขายาว Beautiful Women Pink 2XL (กปก)</v>
          </cell>
          <cell r="E11516">
            <v>0</v>
          </cell>
          <cell r="F11516">
            <v>890</v>
          </cell>
        </row>
        <row r="11517">
          <cell r="A11517" t="str">
            <v>ST1158-L</v>
          </cell>
          <cell r="B11517" t="str">
            <v>T1158</v>
          </cell>
          <cell r="C11517" t="str">
            <v>ซาติน แขนสั้นขายาว Beautiful Women Pink L (กปก)</v>
          </cell>
          <cell r="E11517">
            <v>0</v>
          </cell>
          <cell r="F11517">
            <v>890</v>
          </cell>
        </row>
        <row r="11518">
          <cell r="A11518" t="str">
            <v>ST1158-M</v>
          </cell>
          <cell r="B11518" t="str">
            <v>QT1158</v>
          </cell>
          <cell r="C11518" t="str">
            <v>ซาติน แขนสั้นขายาว Beautiful Women Pink M (กปก) QC</v>
          </cell>
          <cell r="E11518">
            <v>0</v>
          </cell>
          <cell r="F11518">
            <v>890</v>
          </cell>
        </row>
        <row r="11519">
          <cell r="A11519" t="str">
            <v>ST1158-XL</v>
          </cell>
          <cell r="B11519" t="str">
            <v>T1158</v>
          </cell>
          <cell r="C11519" t="str">
            <v>ซาติน แขนสั้นขายาว Beautiful Women Pink XL (กปก)</v>
          </cell>
          <cell r="E11519">
            <v>0</v>
          </cell>
          <cell r="F11519">
            <v>890</v>
          </cell>
        </row>
        <row r="11520">
          <cell r="A11520" t="str">
            <v>ST1159-2XL</v>
          </cell>
          <cell r="B11520" t="str">
            <v>T1159</v>
          </cell>
          <cell r="C11520" t="str">
            <v>ซาติน แขนสั้นขายาว Violet Rose พื้นเขียวมินท์ 2XL (กปก)</v>
          </cell>
          <cell r="E11520">
            <v>0</v>
          </cell>
          <cell r="F11520">
            <v>890</v>
          </cell>
        </row>
        <row r="11521">
          <cell r="A11521" t="str">
            <v>ST1159-L</v>
          </cell>
          <cell r="B11521" t="str">
            <v>QT1159</v>
          </cell>
          <cell r="C11521" t="str">
            <v>ซาติน แขนสั้นขายาว Violet Rose พื้นเขียวมินท์ L (กปก) QC</v>
          </cell>
          <cell r="E11521">
            <v>0</v>
          </cell>
          <cell r="F11521">
            <v>890</v>
          </cell>
        </row>
        <row r="11522">
          <cell r="A11522" t="str">
            <v>ST1159-M</v>
          </cell>
          <cell r="B11522" t="str">
            <v>T1159</v>
          </cell>
          <cell r="C11522" t="str">
            <v>ซาติน แขนสั้นขายาว Violet Rose พื้นเขียวมินท์ M (กปก)</v>
          </cell>
          <cell r="E11522">
            <v>0</v>
          </cell>
          <cell r="F11522">
            <v>890</v>
          </cell>
        </row>
        <row r="11523">
          <cell r="A11523" t="str">
            <v>ST1159-XL</v>
          </cell>
          <cell r="B11523" t="str">
            <v>T1159</v>
          </cell>
          <cell r="C11523" t="str">
            <v>ซาติน แขนสั้นขายาว Violet Rose พื้นเขียวมินท์ XL (กปก)</v>
          </cell>
          <cell r="E11523">
            <v>0</v>
          </cell>
          <cell r="F11523">
            <v>890</v>
          </cell>
        </row>
        <row r="11524">
          <cell r="A11524" t="str">
            <v>ST1160-2XL</v>
          </cell>
          <cell r="B11524" t="str">
            <v>T1160</v>
          </cell>
          <cell r="C11524" t="str">
            <v>ซาติน แขนสั้นขายาว Muslin Yellow (กปก) 2XL</v>
          </cell>
          <cell r="E11524">
            <v>8</v>
          </cell>
          <cell r="F11524">
            <v>890</v>
          </cell>
        </row>
        <row r="11525">
          <cell r="A11525" t="str">
            <v>ST1160-L</v>
          </cell>
          <cell r="B11525" t="str">
            <v>T1160</v>
          </cell>
          <cell r="C11525" t="str">
            <v>ซาติน แขนสั้นขายาว Muslin Yellow (กปก) L</v>
          </cell>
          <cell r="E11525">
            <v>0</v>
          </cell>
          <cell r="F11525">
            <v>890</v>
          </cell>
        </row>
        <row r="11526">
          <cell r="A11526" t="str">
            <v>ST1160-M</v>
          </cell>
          <cell r="B11526" t="str">
            <v>T1160</v>
          </cell>
          <cell r="C11526" t="str">
            <v>ซาติน แขนสั้นขายาว Muslin Yellow (กปก) M</v>
          </cell>
          <cell r="E11526">
            <v>0</v>
          </cell>
          <cell r="F11526">
            <v>890</v>
          </cell>
        </row>
        <row r="11527">
          <cell r="A11527" t="str">
            <v>ST1160-XL</v>
          </cell>
          <cell r="B11527" t="str">
            <v>T1160</v>
          </cell>
          <cell r="C11527" t="str">
            <v>ซาติน แขนสั้นขายาว Muslin Yellow (กปก) XL</v>
          </cell>
          <cell r="E11527">
            <v>0</v>
          </cell>
          <cell r="F11527">
            <v>890</v>
          </cell>
        </row>
        <row r="11528">
          <cell r="A11528" t="str">
            <v>ST1161-2XL</v>
          </cell>
          <cell r="B11528" t="str">
            <v>T1161</v>
          </cell>
          <cell r="C11528" t="str">
            <v>ซาติน แขนสั้นขายาว Muslin Light Blue (กปก) 2XL</v>
          </cell>
          <cell r="E11528">
            <v>6</v>
          </cell>
          <cell r="F11528">
            <v>890</v>
          </cell>
        </row>
        <row r="11529">
          <cell r="A11529" t="str">
            <v>ST1161-L</v>
          </cell>
          <cell r="B11529" t="str">
            <v>T1161</v>
          </cell>
          <cell r="C11529" t="str">
            <v>ซาติน แขนสั้นขายาว Muslin Light Blue (กปก) L</v>
          </cell>
          <cell r="E11529">
            <v>0</v>
          </cell>
          <cell r="F11529">
            <v>890</v>
          </cell>
        </row>
        <row r="11530">
          <cell r="A11530" t="str">
            <v>ST1161-M</v>
          </cell>
          <cell r="B11530" t="str">
            <v>T1161</v>
          </cell>
          <cell r="C11530" t="str">
            <v>ซาติน แขนสั้นขายาว Muslin Light Blue (กปก) M</v>
          </cell>
          <cell r="E11530">
            <v>0</v>
          </cell>
          <cell r="F11530">
            <v>890</v>
          </cell>
        </row>
        <row r="11531">
          <cell r="A11531" t="str">
            <v>ST1161-XL</v>
          </cell>
          <cell r="B11531" t="str">
            <v>T1161</v>
          </cell>
          <cell r="C11531" t="str">
            <v>ซาติน แขนสั้นขายาว Muslin Light Blue (กปก) XL</v>
          </cell>
          <cell r="E11531">
            <v>2</v>
          </cell>
          <cell r="F11531">
            <v>890</v>
          </cell>
        </row>
        <row r="11532">
          <cell r="A11532" t="str">
            <v>ST1162-2XL</v>
          </cell>
          <cell r="B11532" t="str">
            <v>T1162</v>
          </cell>
          <cell r="C11532" t="str">
            <v>ซาติน แขนสั้นขายาว Muslin Green (กปก) 2XL</v>
          </cell>
          <cell r="E11532">
            <v>0</v>
          </cell>
          <cell r="F11532">
            <v>890</v>
          </cell>
        </row>
        <row r="11533">
          <cell r="A11533" t="str">
            <v>ST1162-L</v>
          </cell>
          <cell r="B11533" t="str">
            <v>QT1162</v>
          </cell>
          <cell r="C11533" t="str">
            <v>ซาติน แขนสั้นขายาว Muslin Green (กปก) L QC</v>
          </cell>
          <cell r="E11533">
            <v>0</v>
          </cell>
          <cell r="F11533">
            <v>890</v>
          </cell>
        </row>
        <row r="11534">
          <cell r="A11534" t="str">
            <v>ST1162-M</v>
          </cell>
          <cell r="B11534" t="str">
            <v>QT1162</v>
          </cell>
          <cell r="C11534" t="str">
            <v>ซาติน แขนสั้นขายาว Muslin Green (กปก) M QC</v>
          </cell>
          <cell r="E11534">
            <v>0</v>
          </cell>
          <cell r="F11534">
            <v>890</v>
          </cell>
        </row>
        <row r="11535">
          <cell r="A11535" t="str">
            <v>ST1162-XL</v>
          </cell>
          <cell r="B11535" t="str">
            <v>QT1162</v>
          </cell>
          <cell r="C11535" t="str">
            <v>ซาติน แขนสั้นขายาว Muslin Green (กปก) XL QC</v>
          </cell>
          <cell r="E11535">
            <v>0</v>
          </cell>
          <cell r="F11535">
            <v>890</v>
          </cell>
        </row>
        <row r="11536">
          <cell r="A11536" t="str">
            <v>ST1163-2XL</v>
          </cell>
          <cell r="B11536" t="str">
            <v>T1163</v>
          </cell>
          <cell r="C11536" t="str">
            <v>ซาติน แขนสั้นขายาว Muslin Pinkky (กปก) 2XL</v>
          </cell>
          <cell r="E11536">
            <v>0</v>
          </cell>
          <cell r="F11536">
            <v>890</v>
          </cell>
        </row>
        <row r="11537">
          <cell r="A11537" t="str">
            <v>ST1163-L</v>
          </cell>
          <cell r="B11537" t="str">
            <v>T1163</v>
          </cell>
          <cell r="C11537" t="str">
            <v>ซาติน แขนสั้นขายาว Muslin Pinkky (กปก) L</v>
          </cell>
          <cell r="E11537">
            <v>0</v>
          </cell>
          <cell r="F11537">
            <v>890</v>
          </cell>
        </row>
        <row r="11538">
          <cell r="A11538" t="str">
            <v>ST1163-M</v>
          </cell>
          <cell r="B11538" t="str">
            <v>T1163</v>
          </cell>
          <cell r="C11538" t="str">
            <v>ซาติน แขนสั้นขายาว Muslin Pinkky (กปก) M</v>
          </cell>
          <cell r="E11538">
            <v>0</v>
          </cell>
          <cell r="F11538">
            <v>890</v>
          </cell>
        </row>
        <row r="11539">
          <cell r="A11539" t="str">
            <v>ST1163-XL</v>
          </cell>
          <cell r="B11539" t="str">
            <v>T1163</v>
          </cell>
          <cell r="C11539" t="str">
            <v>ซาติน แขนสั้นขายาว Muslin Pinkky (กปก) XL</v>
          </cell>
          <cell r="E11539">
            <v>0</v>
          </cell>
          <cell r="F11539">
            <v>890</v>
          </cell>
        </row>
        <row r="11540">
          <cell r="A11540" t="str">
            <v>ST1164-2XL</v>
          </cell>
          <cell r="B11540" t="str">
            <v>T1164</v>
          </cell>
          <cell r="C11540" t="str">
            <v>ซาติน แขนสั้นขายาว Muslin Dark Blue (กปก) 2XL</v>
          </cell>
          <cell r="E11540">
            <v>8</v>
          </cell>
          <cell r="F11540">
            <v>890</v>
          </cell>
        </row>
        <row r="11541">
          <cell r="A11541" t="str">
            <v>ST1164-L</v>
          </cell>
          <cell r="B11541" t="str">
            <v>T1164</v>
          </cell>
          <cell r="C11541" t="str">
            <v>ซาติน แขนสั้นขายาว Muslin Dark Blue (กปก) L</v>
          </cell>
          <cell r="E11541">
            <v>0</v>
          </cell>
          <cell r="F11541">
            <v>890</v>
          </cell>
        </row>
        <row r="11542">
          <cell r="A11542" t="str">
            <v>ST1164-M</v>
          </cell>
          <cell r="B11542" t="str">
            <v>T1164</v>
          </cell>
          <cell r="C11542" t="str">
            <v>ซาติน แขนสั้นขายาว Muslin Dark Blue (กปก) M</v>
          </cell>
          <cell r="E11542">
            <v>0</v>
          </cell>
          <cell r="F11542">
            <v>890</v>
          </cell>
        </row>
        <row r="11543">
          <cell r="A11543" t="str">
            <v>ST1164-XL</v>
          </cell>
          <cell r="B11543" t="str">
            <v>T1164</v>
          </cell>
          <cell r="C11543" t="str">
            <v>ซาติน แขนสั้นขายาว Muslin Dark Blue (กปก) XL</v>
          </cell>
          <cell r="E11543">
            <v>2</v>
          </cell>
          <cell r="F11543">
            <v>890</v>
          </cell>
        </row>
        <row r="11544">
          <cell r="A11544" t="str">
            <v>ST1168-2XL</v>
          </cell>
          <cell r="B11544" t="str">
            <v>T1168</v>
          </cell>
          <cell r="C11544" t="str">
            <v>ซาติน แขนสั้นขายาว Mini Cute เขียวขาว 2XL (กปก)</v>
          </cell>
          <cell r="E11544">
            <v>0</v>
          </cell>
          <cell r="F11544">
            <v>890</v>
          </cell>
        </row>
        <row r="11545">
          <cell r="A11545" t="str">
            <v>ST1168-L</v>
          </cell>
          <cell r="B11545" t="str">
            <v>T1168</v>
          </cell>
          <cell r="C11545" t="str">
            <v>ซาติน แขนสั้นขายาว Mini Cute เขียวขาว L (กปก)</v>
          </cell>
          <cell r="E11545">
            <v>0</v>
          </cell>
          <cell r="F11545">
            <v>890</v>
          </cell>
        </row>
        <row r="11546">
          <cell r="A11546" t="str">
            <v>ST1168-M</v>
          </cell>
          <cell r="B11546" t="str">
            <v>T1168</v>
          </cell>
          <cell r="C11546" t="str">
            <v>ซาติน แขนสั้นขายาว Mini Cute เขียวขาว M (กปก)</v>
          </cell>
          <cell r="E11546">
            <v>0</v>
          </cell>
          <cell r="F11546">
            <v>890</v>
          </cell>
        </row>
        <row r="11547">
          <cell r="A11547" t="str">
            <v>ST1168-XL</v>
          </cell>
          <cell r="B11547" t="str">
            <v>T1168</v>
          </cell>
          <cell r="C11547" t="str">
            <v>ซาติน แขนสั้นขายาว Mini Cute เขียวขาว XL (กปก)</v>
          </cell>
          <cell r="E11547">
            <v>0</v>
          </cell>
          <cell r="F11547">
            <v>890</v>
          </cell>
        </row>
        <row r="11548">
          <cell r="A11548" t="str">
            <v>ST1169-2XL</v>
          </cell>
          <cell r="B11548" t="str">
            <v>T1169</v>
          </cell>
          <cell r="C11548" t="str">
            <v>ซาติน แขนสั้นขายาว Mini Cute เทาขาว 2XL (กปก)</v>
          </cell>
          <cell r="E11548">
            <v>0</v>
          </cell>
          <cell r="F11548">
            <v>890</v>
          </cell>
        </row>
        <row r="11549">
          <cell r="A11549" t="str">
            <v>ST1169-L</v>
          </cell>
          <cell r="B11549" t="str">
            <v>T1169</v>
          </cell>
          <cell r="C11549" t="str">
            <v>ซาติน แขนสั้นขายาว Mini Cute เทาขาว L (กปก)</v>
          </cell>
          <cell r="E11549">
            <v>0</v>
          </cell>
          <cell r="F11549">
            <v>890</v>
          </cell>
        </row>
        <row r="11550">
          <cell r="A11550" t="str">
            <v>ST1169-M</v>
          </cell>
          <cell r="B11550" t="str">
            <v>T1169</v>
          </cell>
          <cell r="C11550" t="str">
            <v>ซาติน แขนสั้นขายาว Mini Cute เทาขาว M (กปก)</v>
          </cell>
          <cell r="E11550">
            <v>0</v>
          </cell>
          <cell r="F11550">
            <v>890</v>
          </cell>
        </row>
        <row r="11551">
          <cell r="A11551" t="str">
            <v>ST1169-XL</v>
          </cell>
          <cell r="B11551" t="str">
            <v>T1169</v>
          </cell>
          <cell r="C11551" t="str">
            <v>ซาติน แขนสั้นขายาว Mini Cute เทาขาว XL (กปก)</v>
          </cell>
          <cell r="E11551">
            <v>0</v>
          </cell>
          <cell r="F11551">
            <v>890</v>
          </cell>
        </row>
        <row r="11552">
          <cell r="A11552" t="str">
            <v>ST1170-2XL</v>
          </cell>
          <cell r="B11552" t="str">
            <v>QT1170</v>
          </cell>
          <cell r="C11552" t="str">
            <v>ซาติน แขนสั้นขายาว Mini Cute โอโรสขาว 2XL (กปก) QC</v>
          </cell>
          <cell r="E11552">
            <v>0</v>
          </cell>
          <cell r="F11552">
            <v>890</v>
          </cell>
        </row>
        <row r="11553">
          <cell r="A11553" t="str">
            <v>ST1170-L</v>
          </cell>
          <cell r="B11553" t="str">
            <v>T1170</v>
          </cell>
          <cell r="C11553" t="str">
            <v>ซาติน แขนสั้นขายาว Mini Cute โอโรสขาว L (กปก)</v>
          </cell>
          <cell r="E11553">
            <v>0</v>
          </cell>
          <cell r="F11553">
            <v>890</v>
          </cell>
        </row>
        <row r="11554">
          <cell r="A11554" t="str">
            <v>ST1170-M</v>
          </cell>
          <cell r="B11554" t="str">
            <v>QT1170</v>
          </cell>
          <cell r="C11554" t="str">
            <v>ซาติน แขนสั้นขายาว Mini Cute โอโรสขาว M (กปก) QC</v>
          </cell>
          <cell r="E11554">
            <v>0</v>
          </cell>
          <cell r="F11554">
            <v>890</v>
          </cell>
        </row>
        <row r="11555">
          <cell r="A11555" t="str">
            <v>ST1170-XL</v>
          </cell>
          <cell r="B11555" t="str">
            <v>QT1170</v>
          </cell>
          <cell r="C11555" t="str">
            <v>ซาติน แขนสั้นขายาว Mini Cute โอโรสขาว XL (กปก) QC</v>
          </cell>
          <cell r="E11555">
            <v>0</v>
          </cell>
          <cell r="F11555">
            <v>890</v>
          </cell>
        </row>
        <row r="11556">
          <cell r="A11556" t="str">
            <v>ST1175-2XL</v>
          </cell>
          <cell r="B11556" t="str">
            <v>T1175</v>
          </cell>
          <cell r="C11556" t="str">
            <v>ซาติน แขนสั้นขายาว กวางน้อย พื้นขาว ปกเทา 2XL  (กปก)</v>
          </cell>
          <cell r="E11556">
            <v>0</v>
          </cell>
          <cell r="F11556">
            <v>890</v>
          </cell>
        </row>
        <row r="11557">
          <cell r="A11557" t="str">
            <v>ST1175-L</v>
          </cell>
          <cell r="B11557" t="str">
            <v>T1175</v>
          </cell>
          <cell r="C11557" t="str">
            <v>ซาติน แขนสั้นขายาว กวางน้อย พื้นขาว ปกเทา L (กปก)</v>
          </cell>
          <cell r="E11557">
            <v>0</v>
          </cell>
          <cell r="F11557">
            <v>890</v>
          </cell>
        </row>
        <row r="11558">
          <cell r="A11558" t="str">
            <v>ST1175-M</v>
          </cell>
          <cell r="B11558" t="str">
            <v>T1175</v>
          </cell>
          <cell r="C11558" t="str">
            <v>ซาติน แขนสั้นขายาว กวางน้อย พื้นขาว ปกเทา M (กปก)</v>
          </cell>
          <cell r="E11558">
            <v>0</v>
          </cell>
          <cell r="F11558">
            <v>890</v>
          </cell>
        </row>
        <row r="11559">
          <cell r="A11559" t="str">
            <v>ST1175-XL</v>
          </cell>
          <cell r="B11559" t="str">
            <v>T1175</v>
          </cell>
          <cell r="C11559" t="str">
            <v>ซาติน แขนสั้นขายาว กวางน้อย พื้นขาว ปกเทา XL (กปก)</v>
          </cell>
          <cell r="E11559">
            <v>0</v>
          </cell>
          <cell r="F11559">
            <v>890</v>
          </cell>
        </row>
        <row r="11560">
          <cell r="A11560" t="str">
            <v>ST1176-2XL</v>
          </cell>
          <cell r="B11560" t="str">
            <v>T1176</v>
          </cell>
          <cell r="C11560" t="str">
            <v>ซาติน แขนสั้นขายาว กราฟฟิก พาสเทล ส้ม ชมพู 2XL (กปก)</v>
          </cell>
          <cell r="E11560">
            <v>0</v>
          </cell>
          <cell r="F11560">
            <v>890</v>
          </cell>
        </row>
        <row r="11561">
          <cell r="A11561" t="str">
            <v>ST1176-L</v>
          </cell>
          <cell r="B11561" t="str">
            <v>T1176</v>
          </cell>
          <cell r="C11561" t="str">
            <v>ซาติน แขนสั้นขายาว กราฟฟิก พาสเทล ส้ม ชมพู L (กปก)</v>
          </cell>
          <cell r="E11561">
            <v>0</v>
          </cell>
          <cell r="F11561">
            <v>890</v>
          </cell>
        </row>
        <row r="11562">
          <cell r="A11562" t="str">
            <v>ST1176-M</v>
          </cell>
          <cell r="B11562" t="str">
            <v>T1176</v>
          </cell>
          <cell r="C11562" t="str">
            <v>ซาติน แขนสั้นขายาว กราฟฟิก พาสเทล ส้ม ชมพู M (กปก)</v>
          </cell>
          <cell r="E11562">
            <v>0</v>
          </cell>
          <cell r="F11562">
            <v>890</v>
          </cell>
        </row>
        <row r="11563">
          <cell r="A11563" t="str">
            <v>ST1176-XL</v>
          </cell>
          <cell r="B11563" t="str">
            <v>T1176</v>
          </cell>
          <cell r="C11563" t="str">
            <v>ซาติน แขนสั้นขายาว กราฟฟิก พาสเทล ส้ม ชมพู XL (กปก)</v>
          </cell>
          <cell r="E11563">
            <v>0</v>
          </cell>
          <cell r="F11563">
            <v>890</v>
          </cell>
        </row>
        <row r="11564">
          <cell r="A11564" t="str">
            <v>ST1177-2XL</v>
          </cell>
          <cell r="B11564" t="str">
            <v>T1177</v>
          </cell>
          <cell r="C11564" t="str">
            <v>ซาติน แขนสั้นขายาว กราฟฟิก พาสเทล ฟ้า เขียว 2XL (กปก)</v>
          </cell>
          <cell r="E11564">
            <v>0</v>
          </cell>
          <cell r="F11564">
            <v>890</v>
          </cell>
        </row>
        <row r="11565">
          <cell r="A11565" t="str">
            <v>ST1177-L</v>
          </cell>
          <cell r="B11565" t="str">
            <v>T1177</v>
          </cell>
          <cell r="C11565" t="str">
            <v>ซาติน แขนสั้นขายาว กราฟฟิก พาสเทล ฟ้า เขียว L (กปก)</v>
          </cell>
          <cell r="E11565">
            <v>0</v>
          </cell>
          <cell r="F11565">
            <v>890</v>
          </cell>
        </row>
        <row r="11566">
          <cell r="A11566" t="str">
            <v>ST1177-M</v>
          </cell>
          <cell r="B11566" t="str">
            <v>T1177</v>
          </cell>
          <cell r="C11566" t="str">
            <v>ซาติน แขนสั้นขายาว กราฟฟิก พาสเทล ฟ้า เขียว M (กปก)</v>
          </cell>
          <cell r="E11566">
            <v>0</v>
          </cell>
          <cell r="F11566">
            <v>890</v>
          </cell>
        </row>
        <row r="11567">
          <cell r="A11567" t="str">
            <v>ST1177-XL</v>
          </cell>
          <cell r="B11567" t="str">
            <v>T1177</v>
          </cell>
          <cell r="C11567" t="str">
            <v>ซาติน แขนสั้นขายาว กราฟฟิก พาสเทล ฟ้า เขียว XL (กปก)</v>
          </cell>
          <cell r="E11567">
            <v>0</v>
          </cell>
          <cell r="F11567">
            <v>890</v>
          </cell>
        </row>
        <row r="11568">
          <cell r="A11568" t="str">
            <v>ST1180-2XL</v>
          </cell>
          <cell r="B11568" t="str">
            <v>T1180</v>
          </cell>
          <cell r="C11568" t="str">
            <v>ซาติน แขนสั้นขายาว ดอกเหลืองพื้นขาว 2XL (กปก)</v>
          </cell>
          <cell r="E11568">
            <v>0</v>
          </cell>
          <cell r="F11568">
            <v>890</v>
          </cell>
        </row>
        <row r="11569">
          <cell r="A11569" t="str">
            <v>ST1180-L</v>
          </cell>
          <cell r="B11569" t="str">
            <v>T1180</v>
          </cell>
          <cell r="C11569" t="str">
            <v>ซาติน แขนสั้นขายาว ดอกเหลืองพื้นขาว L (กปก)</v>
          </cell>
          <cell r="E11569">
            <v>0</v>
          </cell>
          <cell r="F11569">
            <v>890</v>
          </cell>
        </row>
        <row r="11570">
          <cell r="A11570" t="str">
            <v>ST1180-M</v>
          </cell>
          <cell r="B11570" t="str">
            <v>QT1180</v>
          </cell>
          <cell r="C11570" t="str">
            <v>ซาติน แขนสั้นขายาว ดอกเหลืองพื้นขาว M (กปก) QC</v>
          </cell>
          <cell r="E11570">
            <v>0</v>
          </cell>
          <cell r="F11570">
            <v>890</v>
          </cell>
        </row>
        <row r="11571">
          <cell r="A11571" t="str">
            <v>ST1180-XL</v>
          </cell>
          <cell r="B11571" t="str">
            <v>T1180</v>
          </cell>
          <cell r="C11571" t="str">
            <v>ซาติน แขนสั้นขายาว ดอกเหลืองพื้นขาว XL (กปก)</v>
          </cell>
          <cell r="E11571">
            <v>0</v>
          </cell>
          <cell r="F11571">
            <v>890</v>
          </cell>
        </row>
        <row r="11572">
          <cell r="A11572" t="str">
            <v>ST1182-2XL</v>
          </cell>
          <cell r="B11572" t="str">
            <v>T1182</v>
          </cell>
          <cell r="C11572" t="str">
            <v>ซาติน แขนสั้นขายาว หมีฟ้า พื้นฟ้า 2XL (กปก)</v>
          </cell>
          <cell r="E11572">
            <v>0</v>
          </cell>
          <cell r="F11572">
            <v>890</v>
          </cell>
        </row>
        <row r="11573">
          <cell r="A11573" t="str">
            <v>ST1182-3XL</v>
          </cell>
          <cell r="B11573" t="str">
            <v>T1182</v>
          </cell>
          <cell r="C11573" t="str">
            <v>ซาติน แขนสั้นขายาว หมีฟ้า พื้นฟ้า 3XL (กปก)</v>
          </cell>
          <cell r="E11573">
            <v>0</v>
          </cell>
          <cell r="F11573">
            <v>890</v>
          </cell>
        </row>
        <row r="11574">
          <cell r="A11574" t="str">
            <v>ST1182-L</v>
          </cell>
          <cell r="B11574" t="str">
            <v>QT1182</v>
          </cell>
          <cell r="C11574" t="str">
            <v>ซาติน แขนสั้นขายาว หมีฟ้า พื้นฟ้า L (กปก) QC</v>
          </cell>
          <cell r="E11574">
            <v>0</v>
          </cell>
          <cell r="F11574">
            <v>890</v>
          </cell>
        </row>
        <row r="11575">
          <cell r="A11575" t="str">
            <v>ST1182-M</v>
          </cell>
          <cell r="B11575" t="str">
            <v>QT1182</v>
          </cell>
          <cell r="C11575" t="str">
            <v>ซาติน แขนสั้นขายาว หมีฟ้า พื้นฟ้า M (กปก) QC</v>
          </cell>
          <cell r="E11575">
            <v>0</v>
          </cell>
          <cell r="F11575">
            <v>890</v>
          </cell>
        </row>
        <row r="11576">
          <cell r="A11576" t="str">
            <v>ST1182-XL</v>
          </cell>
          <cell r="B11576" t="str">
            <v>QT1182</v>
          </cell>
          <cell r="C11576" t="str">
            <v>ซาติน แขนสั้นขายาว หมีฟ้า พื้นฟ้า XL (กปก) QC</v>
          </cell>
          <cell r="E11576">
            <v>0</v>
          </cell>
          <cell r="F11576">
            <v>890</v>
          </cell>
        </row>
        <row r="11577">
          <cell r="A11577" t="str">
            <v>ST1183-2XL</v>
          </cell>
          <cell r="B11577" t="str">
            <v>T1183</v>
          </cell>
          <cell r="C11577" t="str">
            <v>ซาติน แขนสั้นขายาว กระต่ายชมพู ปกเขียว 2XL (กปก)</v>
          </cell>
          <cell r="E11577">
            <v>0</v>
          </cell>
          <cell r="F11577">
            <v>890</v>
          </cell>
        </row>
        <row r="11578">
          <cell r="A11578" t="str">
            <v>ST1183-3XL</v>
          </cell>
          <cell r="B11578" t="str">
            <v>T1183</v>
          </cell>
          <cell r="C11578" t="str">
            <v>ซาติน แขนสั้นขายาว กระต่ายชมพู ปกเขียว 3XL (กปก)</v>
          </cell>
          <cell r="E11578">
            <v>0</v>
          </cell>
          <cell r="F11578">
            <v>890</v>
          </cell>
        </row>
        <row r="11579">
          <cell r="A11579" t="str">
            <v>ST1183-L</v>
          </cell>
          <cell r="B11579" t="str">
            <v>T1183</v>
          </cell>
          <cell r="C11579" t="str">
            <v>ซาติน แขนสั้นขายาว กระต่ายชมพู ปกเขียว L (กปก)</v>
          </cell>
          <cell r="E11579">
            <v>0</v>
          </cell>
          <cell r="F11579">
            <v>890</v>
          </cell>
        </row>
        <row r="11580">
          <cell r="A11580" t="str">
            <v>ST1183-M</v>
          </cell>
          <cell r="B11580" t="str">
            <v>T1183</v>
          </cell>
          <cell r="C11580" t="str">
            <v>ซาติน แขนสั้นขายาว กระต่ายชมพู ปกเขียว M (กปก)</v>
          </cell>
          <cell r="E11580">
            <v>0</v>
          </cell>
          <cell r="F11580">
            <v>990</v>
          </cell>
        </row>
        <row r="11581">
          <cell r="A11581" t="str">
            <v>ST1183-XL</v>
          </cell>
          <cell r="B11581" t="str">
            <v>T1183</v>
          </cell>
          <cell r="C11581" t="str">
            <v>ซาติน แขนสั้นขายาว กระต่ายชมพู ปกเขียว XL (กปก)</v>
          </cell>
          <cell r="E11581">
            <v>0</v>
          </cell>
          <cell r="F11581">
            <v>890</v>
          </cell>
        </row>
        <row r="11582">
          <cell r="A11582" t="str">
            <v>ST1184-2XL</v>
          </cell>
          <cell r="B11582" t="str">
            <v>T1184</v>
          </cell>
          <cell r="C11582" t="str">
            <v>ซาติน แขนสั้นขายาว ม้าลาย ปกชมพู 2XL</v>
          </cell>
          <cell r="E11582">
            <v>0</v>
          </cell>
          <cell r="F11582">
            <v>990</v>
          </cell>
        </row>
        <row r="11583">
          <cell r="A11583" t="str">
            <v>ST1184-3XL</v>
          </cell>
          <cell r="B11583" t="str">
            <v>T1184</v>
          </cell>
          <cell r="C11583" t="str">
            <v>ซาติน แขนสั้นขายาว ม้าลาย ปกชมพู 3XL</v>
          </cell>
          <cell r="E11583">
            <v>0</v>
          </cell>
          <cell r="F11583">
            <v>990</v>
          </cell>
        </row>
        <row r="11584">
          <cell r="A11584" t="str">
            <v>ST1184-L</v>
          </cell>
          <cell r="B11584" t="str">
            <v>T1184</v>
          </cell>
          <cell r="C11584" t="str">
            <v>ซาติน แขนสั้นขายาว ม้าลาย ปกชมพู L</v>
          </cell>
          <cell r="E11584">
            <v>0</v>
          </cell>
          <cell r="F11584">
            <v>990</v>
          </cell>
        </row>
        <row r="11585">
          <cell r="A11585" t="str">
            <v>ST1184-M</v>
          </cell>
          <cell r="B11585" t="str">
            <v>QT1184</v>
          </cell>
          <cell r="C11585" t="str">
            <v>ซาติน แขนสั้นขายาว ม้าลาย ปกชมพู M QC</v>
          </cell>
          <cell r="E11585">
            <v>0</v>
          </cell>
          <cell r="F11585">
            <v>990</v>
          </cell>
        </row>
        <row r="11586">
          <cell r="A11586" t="str">
            <v>ST1184-XL</v>
          </cell>
          <cell r="B11586" t="str">
            <v>T1184</v>
          </cell>
          <cell r="C11586" t="str">
            <v>ซาติน แขนสั้นขายาว ม้าลาย ปกชมพู XL</v>
          </cell>
          <cell r="E11586">
            <v>0</v>
          </cell>
          <cell r="F11586">
            <v>990</v>
          </cell>
        </row>
        <row r="11587">
          <cell r="A11587" t="str">
            <v>ST1186-2XL</v>
          </cell>
          <cell r="B11587" t="str">
            <v>T1186</v>
          </cell>
          <cell r="C11587" t="str">
            <v>ซาติน แขนสั้นขายาว กุหลาบขอบดำลายดอกไม้ 2XL</v>
          </cell>
          <cell r="E11587">
            <v>0</v>
          </cell>
          <cell r="F11587">
            <v>990</v>
          </cell>
        </row>
        <row r="11588">
          <cell r="A11588" t="str">
            <v>ST1186-L</v>
          </cell>
          <cell r="B11588" t="str">
            <v>T1186</v>
          </cell>
          <cell r="C11588" t="str">
            <v>ซาติน แขนสั้นขายาว กุหลาบขอบดำลายดอกไม้ L</v>
          </cell>
          <cell r="E11588">
            <v>0</v>
          </cell>
          <cell r="F11588">
            <v>990</v>
          </cell>
        </row>
        <row r="11589">
          <cell r="A11589" t="str">
            <v>ST1186-M</v>
          </cell>
          <cell r="B11589" t="str">
            <v>T1186</v>
          </cell>
          <cell r="C11589" t="str">
            <v>ซาติน แขนสั้นขายาว กุหลาบขอบดำลายดอกไม้ M</v>
          </cell>
          <cell r="E11589">
            <v>0</v>
          </cell>
          <cell r="F11589">
            <v>990</v>
          </cell>
        </row>
        <row r="11590">
          <cell r="A11590" t="str">
            <v>ST1186-XL</v>
          </cell>
          <cell r="B11590" t="str">
            <v>QT1186</v>
          </cell>
          <cell r="C11590" t="str">
            <v>ซาติน แขนสั้นขายาว กุหลาบขอบดำลายดอกไม้ XL QC</v>
          </cell>
          <cell r="E11590">
            <v>0</v>
          </cell>
          <cell r="F11590">
            <v>990</v>
          </cell>
        </row>
        <row r="11591">
          <cell r="A11591" t="str">
            <v>ST1188-2XL</v>
          </cell>
          <cell r="B11591" t="str">
            <v>QT1188</v>
          </cell>
          <cell r="C11591" t="str">
            <v>ซาติน แขนสั้นขายาว Aquata Mermaid (กปก) 2XL QC</v>
          </cell>
          <cell r="E11591">
            <v>0</v>
          </cell>
          <cell r="F11591">
            <v>890</v>
          </cell>
        </row>
        <row r="11592">
          <cell r="A11592" t="str">
            <v>ST1188-3XL</v>
          </cell>
          <cell r="B11592" t="str">
            <v>QT1188</v>
          </cell>
          <cell r="C11592" t="str">
            <v>ซาติน แขนสั้นขายาว Aquata Mermaid (กปก) 3XL QC</v>
          </cell>
          <cell r="E11592">
            <v>0</v>
          </cell>
          <cell r="F11592">
            <v>890</v>
          </cell>
        </row>
        <row r="11593">
          <cell r="A11593" t="str">
            <v>ST1188-L</v>
          </cell>
          <cell r="B11593" t="str">
            <v>QT1188</v>
          </cell>
          <cell r="C11593" t="str">
            <v>ซาติน แขนสั้นขายาว Aquata Mermaid (กปก) L QC</v>
          </cell>
          <cell r="E11593">
            <v>0</v>
          </cell>
          <cell r="F11593">
            <v>890</v>
          </cell>
        </row>
        <row r="11594">
          <cell r="A11594" t="str">
            <v>ST1188-M</v>
          </cell>
          <cell r="B11594" t="str">
            <v>QT1188</v>
          </cell>
          <cell r="C11594" t="str">
            <v>ซาติน แขนสั้นขายาว Aquata Mermaid (กปก) M QC</v>
          </cell>
          <cell r="E11594">
            <v>0</v>
          </cell>
          <cell r="F11594">
            <v>890</v>
          </cell>
        </row>
        <row r="11595">
          <cell r="A11595" t="str">
            <v>ST1188-XL</v>
          </cell>
          <cell r="B11595" t="str">
            <v>QT1188</v>
          </cell>
          <cell r="C11595" t="str">
            <v>ซาติน แขนสั้นขายาว Aquata Mermaid (กปก) XL QC</v>
          </cell>
          <cell r="E11595">
            <v>0</v>
          </cell>
          <cell r="F11595">
            <v>890</v>
          </cell>
        </row>
        <row r="11596">
          <cell r="A11596" t="str">
            <v>ST1190-2XL</v>
          </cell>
          <cell r="B11596" t="str">
            <v>QT1190</v>
          </cell>
          <cell r="C11596" t="str">
            <v>ซาติน แขนสั้นขายาว two tone white blue (กปก) 2XL QC</v>
          </cell>
          <cell r="E11596">
            <v>0</v>
          </cell>
          <cell r="F11596">
            <v>890</v>
          </cell>
        </row>
        <row r="11597">
          <cell r="A11597" t="str">
            <v>ST1190-3XL</v>
          </cell>
          <cell r="B11597" t="str">
            <v>T1190</v>
          </cell>
          <cell r="C11597" t="str">
            <v>ซาติน แขนสั้นขายาว two tone white blue (กปก) 3XL</v>
          </cell>
          <cell r="E11597">
            <v>0</v>
          </cell>
          <cell r="F11597">
            <v>890</v>
          </cell>
        </row>
        <row r="11598">
          <cell r="A11598" t="str">
            <v>ST1190-L</v>
          </cell>
          <cell r="B11598" t="str">
            <v>T1190</v>
          </cell>
          <cell r="C11598" t="str">
            <v>ซาติน แขนสั้นขายาว two tone white blue (กปก) L</v>
          </cell>
          <cell r="E11598">
            <v>0</v>
          </cell>
          <cell r="F11598">
            <v>0</v>
          </cell>
        </row>
        <row r="11599">
          <cell r="A11599" t="str">
            <v>ST1190-M</v>
          </cell>
          <cell r="B11599" t="str">
            <v>T1190</v>
          </cell>
          <cell r="C11599" t="str">
            <v>ซาติน แขนสั้นขายาว two tone white blue (กปก) M</v>
          </cell>
          <cell r="E11599">
            <v>0</v>
          </cell>
          <cell r="F11599">
            <v>890</v>
          </cell>
        </row>
        <row r="11600">
          <cell r="A11600" t="str">
            <v>ST1190-XL</v>
          </cell>
          <cell r="B11600" t="str">
            <v>T1190</v>
          </cell>
          <cell r="C11600" t="str">
            <v>ซาติน แขนสั้นขายาว two tone white blue (กปก) XL</v>
          </cell>
          <cell r="E11600">
            <v>0</v>
          </cell>
          <cell r="F11600">
            <v>890</v>
          </cell>
        </row>
        <row r="11601">
          <cell r="A11601" t="str">
            <v>ST1191-2XL</v>
          </cell>
          <cell r="B11601" t="str">
            <v>T1191</v>
          </cell>
          <cell r="C11601" t="str">
            <v>ซาติน แขนสั้นขายาว two tone white brown (กปก) 2XL</v>
          </cell>
          <cell r="E11601">
            <v>0</v>
          </cell>
          <cell r="F11601">
            <v>890</v>
          </cell>
        </row>
        <row r="11602">
          <cell r="A11602" t="str">
            <v>ST1191-3XL</v>
          </cell>
          <cell r="B11602" t="str">
            <v>T1191</v>
          </cell>
          <cell r="C11602" t="str">
            <v>ซาติน แขนสั้นขายาว two tone white brown (กปก) 3XL</v>
          </cell>
          <cell r="E11602">
            <v>0</v>
          </cell>
          <cell r="F11602">
            <v>890</v>
          </cell>
        </row>
        <row r="11603">
          <cell r="A11603" t="str">
            <v>ST1191-L</v>
          </cell>
          <cell r="B11603" t="str">
            <v>T1191</v>
          </cell>
          <cell r="C11603" t="str">
            <v>ซาติน แขนสั้นขายาว two tone white brown (กปก) L</v>
          </cell>
          <cell r="E11603">
            <v>0</v>
          </cell>
          <cell r="F11603">
            <v>890</v>
          </cell>
        </row>
        <row r="11604">
          <cell r="A11604" t="str">
            <v>ST1191-M</v>
          </cell>
          <cell r="B11604" t="str">
            <v>T1191</v>
          </cell>
          <cell r="C11604" t="str">
            <v>ซาติน แขนสั้นขายาว two tone white brown (กปก) M</v>
          </cell>
          <cell r="E11604">
            <v>0</v>
          </cell>
          <cell r="F11604">
            <v>890</v>
          </cell>
        </row>
        <row r="11605">
          <cell r="A11605" t="str">
            <v>ST1191-XL</v>
          </cell>
          <cell r="B11605" t="str">
            <v>T1191</v>
          </cell>
          <cell r="C11605" t="str">
            <v>ซาติน แขนสั้นขายาว two tone white brown (กปก) XL</v>
          </cell>
          <cell r="E11605">
            <v>0</v>
          </cell>
          <cell r="F11605">
            <v>890</v>
          </cell>
        </row>
        <row r="11606">
          <cell r="A11606" t="str">
            <v>ST1192-2XL</v>
          </cell>
          <cell r="B11606" t="str">
            <v>T1192</v>
          </cell>
          <cell r="C11606" t="str">
            <v>ซาติน แขนสั้นขายาว two tone white gold (กปก) 2XL</v>
          </cell>
          <cell r="E11606">
            <v>0</v>
          </cell>
          <cell r="F11606">
            <v>890</v>
          </cell>
        </row>
        <row r="11607">
          <cell r="A11607" t="str">
            <v>ST1192-3XL</v>
          </cell>
          <cell r="B11607" t="str">
            <v>T1192</v>
          </cell>
          <cell r="C11607" t="str">
            <v>ซาติน แขนสั้นขายาว two tone white gold (กปก) 3XL</v>
          </cell>
          <cell r="E11607">
            <v>0</v>
          </cell>
          <cell r="F11607">
            <v>890</v>
          </cell>
        </row>
        <row r="11608">
          <cell r="A11608" t="str">
            <v>ST1192-L</v>
          </cell>
          <cell r="B11608" t="str">
            <v>T1192</v>
          </cell>
          <cell r="C11608" t="str">
            <v>ซาติน แขนสั้นขายาว two tone white gold (กปก) L</v>
          </cell>
          <cell r="E11608">
            <v>0</v>
          </cell>
          <cell r="F11608">
            <v>890</v>
          </cell>
        </row>
        <row r="11609">
          <cell r="A11609" t="str">
            <v>ST1192-M</v>
          </cell>
          <cell r="B11609" t="str">
            <v>T1192</v>
          </cell>
          <cell r="C11609" t="str">
            <v>ซาติน แขนสั้นขายาว two tone white gold (กปก) M</v>
          </cell>
          <cell r="E11609">
            <v>0</v>
          </cell>
          <cell r="F11609">
            <v>890</v>
          </cell>
        </row>
        <row r="11610">
          <cell r="A11610" t="str">
            <v>ST1192-XL</v>
          </cell>
          <cell r="B11610" t="str">
            <v>T1192</v>
          </cell>
          <cell r="C11610" t="str">
            <v>ซาติน แขนสั้นขายาว two tone white gold (กปก) XL</v>
          </cell>
          <cell r="E11610">
            <v>0</v>
          </cell>
          <cell r="F11610">
            <v>890</v>
          </cell>
        </row>
        <row r="11611">
          <cell r="A11611" t="str">
            <v>ST1193-2XL</v>
          </cell>
          <cell r="B11611" t="str">
            <v>QT1193</v>
          </cell>
          <cell r="C11611" t="str">
            <v>ซาติน แขนสั้นขายาว ใบไม้พื้นชมพู (กปก) 2XL QC</v>
          </cell>
          <cell r="E11611">
            <v>0</v>
          </cell>
          <cell r="F11611">
            <v>890</v>
          </cell>
        </row>
        <row r="11612">
          <cell r="A11612" t="str">
            <v>ST1193-L</v>
          </cell>
          <cell r="B11612" t="str">
            <v>T1193</v>
          </cell>
          <cell r="C11612" t="str">
            <v>ซาติน แขนสั้นขายาว ใบไม้พื้นชมพู (กปก) L</v>
          </cell>
          <cell r="E11612">
            <v>0</v>
          </cell>
          <cell r="F11612">
            <v>890</v>
          </cell>
        </row>
        <row r="11613">
          <cell r="A11613" t="str">
            <v>ST1193-M</v>
          </cell>
          <cell r="B11613" t="str">
            <v>T1193</v>
          </cell>
          <cell r="C11613" t="str">
            <v>ซาติน แขนสั้นขายาว ใบไม้พื้นชมพู (กปก) M</v>
          </cell>
          <cell r="E11613">
            <v>0</v>
          </cell>
          <cell r="F11613">
            <v>890</v>
          </cell>
        </row>
        <row r="11614">
          <cell r="A11614" t="str">
            <v>ST1193-XL</v>
          </cell>
          <cell r="B11614" t="str">
            <v>T1193</v>
          </cell>
          <cell r="C11614" t="str">
            <v>ซาติน แขนสั้นขายาว ใบไม้พื้นชมพู (กปก) XL</v>
          </cell>
          <cell r="E11614">
            <v>0</v>
          </cell>
          <cell r="F11614">
            <v>890</v>
          </cell>
        </row>
        <row r="11615">
          <cell r="A11615" t="str">
            <v>ST1194-2XL</v>
          </cell>
          <cell r="B11615" t="str">
            <v>T1194</v>
          </cell>
          <cell r="C11615" t="str">
            <v>ซาติน แขนสั้นขายาว pink sunny time (กปก) 2XL</v>
          </cell>
          <cell r="E11615">
            <v>0</v>
          </cell>
          <cell r="F11615">
            <v>890</v>
          </cell>
        </row>
        <row r="11616">
          <cell r="A11616" t="str">
            <v>ST1194-L</v>
          </cell>
          <cell r="B11616" t="str">
            <v>T1194</v>
          </cell>
          <cell r="C11616" t="str">
            <v>ซาติน แขนสั้นขายาว pink sunny time (กปก) L</v>
          </cell>
          <cell r="E11616">
            <v>0</v>
          </cell>
          <cell r="F11616">
            <v>0</v>
          </cell>
        </row>
        <row r="11617">
          <cell r="A11617" t="str">
            <v>ST1194-M</v>
          </cell>
          <cell r="B11617" t="str">
            <v>QT1194</v>
          </cell>
          <cell r="C11617" t="str">
            <v>ซาติน แขนสั้นขายาว pink sunny time (กปก) M QC</v>
          </cell>
          <cell r="E11617">
            <v>0</v>
          </cell>
          <cell r="F11617">
            <v>890</v>
          </cell>
        </row>
        <row r="11618">
          <cell r="A11618" t="str">
            <v>ST1194-XL</v>
          </cell>
          <cell r="B11618" t="str">
            <v>T1194</v>
          </cell>
          <cell r="C11618" t="str">
            <v>ซาติน แขนสั้นขายาว pink sunny time (กปก) XL</v>
          </cell>
          <cell r="E11618">
            <v>0</v>
          </cell>
          <cell r="F11618">
            <v>890</v>
          </cell>
        </row>
        <row r="11619">
          <cell r="A11619" t="str">
            <v>ST1195-2XL</v>
          </cell>
          <cell r="B11619" t="str">
            <v>T1195</v>
          </cell>
          <cell r="C11619" t="str">
            <v>ซาติน แขนสั้นขายาว กระต่ายขาว พื้นม่วง (กปก) 2XL</v>
          </cell>
          <cell r="E11619">
            <v>0</v>
          </cell>
          <cell r="F11619">
            <v>890</v>
          </cell>
        </row>
        <row r="11620">
          <cell r="A11620" t="str">
            <v>ST1195-3XL</v>
          </cell>
          <cell r="B11620" t="str">
            <v>T1195</v>
          </cell>
          <cell r="C11620" t="str">
            <v>ซาติน แขนสั้นขายาว กระต่ายขาว พื้นม่วง (กปก) 3XL</v>
          </cell>
          <cell r="E11620">
            <v>0</v>
          </cell>
          <cell r="F11620">
            <v>890</v>
          </cell>
        </row>
        <row r="11621">
          <cell r="A11621" t="str">
            <v>ST1195-L</v>
          </cell>
          <cell r="B11621" t="str">
            <v>T1195</v>
          </cell>
          <cell r="C11621" t="str">
            <v>ซาติน แขนสั้นขายาว กระต่ายขาว พื้นม่วง (กปก) L</v>
          </cell>
          <cell r="E11621">
            <v>0</v>
          </cell>
          <cell r="F11621">
            <v>0</v>
          </cell>
        </row>
        <row r="11622">
          <cell r="A11622" t="str">
            <v>ST1195-M</v>
          </cell>
          <cell r="B11622" t="str">
            <v>T1195</v>
          </cell>
          <cell r="C11622" t="str">
            <v>ซาติน แขนสั้นขายาว กระต่ายขาว พื้นม่วง (กปก) M</v>
          </cell>
          <cell r="E11622">
            <v>0</v>
          </cell>
          <cell r="F11622">
            <v>890</v>
          </cell>
        </row>
        <row r="11623">
          <cell r="A11623" t="str">
            <v>ST1195-XL</v>
          </cell>
          <cell r="B11623" t="str">
            <v>T1195</v>
          </cell>
          <cell r="C11623" t="str">
            <v>ซาติน แขนสั้นขายาว กระต่ายขาว พื้นม่วง (กปก) XL</v>
          </cell>
          <cell r="E11623">
            <v>0</v>
          </cell>
          <cell r="F11623">
            <v>890</v>
          </cell>
        </row>
        <row r="11624">
          <cell r="A11624" t="str">
            <v>ST1197-2XL</v>
          </cell>
          <cell r="B11624" t="str">
            <v>QT1197</v>
          </cell>
          <cell r="C11624" t="str">
            <v>ซาติน แขนสั้นขายาว นกยูงในป่าหิมพานต์ (กปก) 2XL QC</v>
          </cell>
          <cell r="E11624">
            <v>0</v>
          </cell>
          <cell r="F11624">
            <v>890</v>
          </cell>
        </row>
        <row r="11625">
          <cell r="A11625" t="str">
            <v>ST1197-L</v>
          </cell>
          <cell r="B11625" t="str">
            <v>T1197</v>
          </cell>
          <cell r="C11625" t="str">
            <v>ซาติน แขนสั้นขายาว นกยูงในป่าหิมพานต์ (กปก) L</v>
          </cell>
          <cell r="E11625">
            <v>0</v>
          </cell>
          <cell r="F11625">
            <v>890</v>
          </cell>
        </row>
        <row r="11626">
          <cell r="A11626" t="str">
            <v>ST1197-M</v>
          </cell>
          <cell r="B11626" t="str">
            <v>QT1197</v>
          </cell>
          <cell r="C11626" t="str">
            <v>ซาติน แขนสั้นขายาว นกยูงในป่าหิมพานต์ (กปก) M QC</v>
          </cell>
          <cell r="E11626">
            <v>0</v>
          </cell>
          <cell r="F11626">
            <v>890</v>
          </cell>
        </row>
        <row r="11627">
          <cell r="A11627" t="str">
            <v>ST1197-XL</v>
          </cell>
          <cell r="B11627" t="str">
            <v>T1197</v>
          </cell>
          <cell r="C11627" t="str">
            <v>ซาติน แขนสั้นขายาว นกยูงในป่าหิมพานต์ (กปก) XL</v>
          </cell>
          <cell r="E11627">
            <v>0</v>
          </cell>
          <cell r="F11627">
            <v>890</v>
          </cell>
        </row>
        <row r="11628">
          <cell r="A11628" t="str">
            <v>ST1198-2XL</v>
          </cell>
          <cell r="B11628" t="str">
            <v>T1198</v>
          </cell>
          <cell r="C11628" t="str">
            <v>ซาติน แขนสั้นขายาว กระต่ายขาว พื้นชมพู ขอบเขียว (กปก) 2XL</v>
          </cell>
          <cell r="E11628">
            <v>0</v>
          </cell>
          <cell r="F11628">
            <v>990</v>
          </cell>
        </row>
        <row r="11629">
          <cell r="A11629" t="str">
            <v>ST1198-3XL</v>
          </cell>
          <cell r="B11629" t="str">
            <v>T1198</v>
          </cell>
          <cell r="C11629" t="str">
            <v>ซาติน แขนสั้นขายาว กระต่ายขาว พื้นชมพู ขอบเขียว (กปก) 3XL</v>
          </cell>
          <cell r="E11629">
            <v>0</v>
          </cell>
          <cell r="F11629">
            <v>990</v>
          </cell>
        </row>
        <row r="11630">
          <cell r="A11630" t="str">
            <v>ST1198-L</v>
          </cell>
          <cell r="B11630" t="str">
            <v>T1198</v>
          </cell>
          <cell r="C11630" t="str">
            <v>ซาติน แขนสั้นขายาว กระต่ายขาว พื้นชมพู ขอบเขียว (กปก) L</v>
          </cell>
          <cell r="E11630">
            <v>0</v>
          </cell>
          <cell r="F11630">
            <v>990</v>
          </cell>
        </row>
        <row r="11631">
          <cell r="A11631" t="str">
            <v>ST1198-M</v>
          </cell>
          <cell r="B11631" t="str">
            <v>QT1198</v>
          </cell>
          <cell r="C11631" t="str">
            <v>ซาติน แขนสั้นขายาว กระต่ายขาว พื้นชมพู ขอบเขียว (กปก) M QC</v>
          </cell>
          <cell r="E11631">
            <v>0</v>
          </cell>
          <cell r="F11631">
            <v>990</v>
          </cell>
        </row>
        <row r="11632">
          <cell r="A11632" t="str">
            <v>ST1198-XL</v>
          </cell>
          <cell r="B11632" t="str">
            <v>T1198</v>
          </cell>
          <cell r="C11632" t="str">
            <v>ซาติน แขนสั้นขายาว กระต่ายขาว พื้นชมพู ขอบเขียว (กปก) XL</v>
          </cell>
          <cell r="E11632">
            <v>0</v>
          </cell>
          <cell r="F11632">
            <v>890</v>
          </cell>
        </row>
        <row r="11633">
          <cell r="A11633" t="str">
            <v>ST1199-2XL</v>
          </cell>
          <cell r="B11633" t="str">
            <v>T1199</v>
          </cell>
          <cell r="C11633" t="str">
            <v>ซาติน แขนสั้นขายาว กระต่ายขาว พื้นเขียวมิ้น ขอบขาว (กปก) 2XL</v>
          </cell>
          <cell r="E11633">
            <v>0</v>
          </cell>
          <cell r="F11633">
            <v>890</v>
          </cell>
        </row>
        <row r="11634">
          <cell r="A11634" t="str">
            <v>ST1199-3XL</v>
          </cell>
          <cell r="B11634" t="str">
            <v>T1199</v>
          </cell>
          <cell r="C11634" t="str">
            <v>ซาติน แขนสั้นขายาว กระต่ายขาว พื้นเขียวมิ้น ขอบขาว (กปก) 3XL</v>
          </cell>
          <cell r="E11634">
            <v>0</v>
          </cell>
          <cell r="F11634">
            <v>890</v>
          </cell>
        </row>
        <row r="11635">
          <cell r="A11635" t="str">
            <v>ST1199-L</v>
          </cell>
          <cell r="B11635" t="str">
            <v>T1199</v>
          </cell>
          <cell r="C11635" t="str">
            <v>ซาติน แขนสั้นขายาว กระต่ายขาว พื้นเขียวมิ้น ขอบขาว (กปก) L</v>
          </cell>
          <cell r="E11635">
            <v>0</v>
          </cell>
          <cell r="F11635">
            <v>890</v>
          </cell>
        </row>
        <row r="11636">
          <cell r="A11636" t="str">
            <v>ST1199-M</v>
          </cell>
          <cell r="B11636" t="str">
            <v>T1199</v>
          </cell>
          <cell r="C11636" t="str">
            <v>ซาติน แขนสั้นขายาว กระต่ายขาว พื้นเขียวมิ้น ขอบขาว (กปก) M</v>
          </cell>
          <cell r="E11636">
            <v>0</v>
          </cell>
          <cell r="F11636">
            <v>890</v>
          </cell>
        </row>
        <row r="11637">
          <cell r="A11637" t="str">
            <v>ST1199-XL</v>
          </cell>
          <cell r="B11637" t="str">
            <v>T1199</v>
          </cell>
          <cell r="C11637" t="str">
            <v>ซาติน แขนสั้นขายาว กระต่ายขาว พื้นเขียวมิ้น ขอบขาว (กปก) XL</v>
          </cell>
          <cell r="E11637">
            <v>0</v>
          </cell>
          <cell r="F11637">
            <v>0</v>
          </cell>
        </row>
        <row r="11638">
          <cell r="A11638" t="str">
            <v>ST1200-2XL</v>
          </cell>
          <cell r="B11638" t="str">
            <v>T1200</v>
          </cell>
          <cell r="C11638" t="str">
            <v>ซาติน แขนสั้นขายาว น้องหมา พื้นเทา (กปก) 2XL</v>
          </cell>
          <cell r="E11638">
            <v>0</v>
          </cell>
          <cell r="F11638">
            <v>890</v>
          </cell>
        </row>
        <row r="11639">
          <cell r="A11639" t="str">
            <v>ST1200-3XL</v>
          </cell>
          <cell r="B11639" t="str">
            <v>T1200</v>
          </cell>
          <cell r="C11639" t="str">
            <v>ซาติน แขนสั้นขายาว น้องหมา พื้นเทา (กปก) 3XL</v>
          </cell>
          <cell r="E11639">
            <v>0</v>
          </cell>
          <cell r="F11639">
            <v>890</v>
          </cell>
        </row>
        <row r="11640">
          <cell r="A11640" t="str">
            <v>ST1200-L</v>
          </cell>
          <cell r="B11640" t="str">
            <v>T1200</v>
          </cell>
          <cell r="C11640" t="str">
            <v>ซาติน แขนสั้นขายาว น้องหมา พื้นเทา (กปก) L</v>
          </cell>
          <cell r="E11640">
            <v>0</v>
          </cell>
          <cell r="F11640">
            <v>890</v>
          </cell>
        </row>
        <row r="11641">
          <cell r="A11641" t="str">
            <v>ST1200-M</v>
          </cell>
          <cell r="B11641" t="str">
            <v>T1200</v>
          </cell>
          <cell r="C11641" t="str">
            <v>ซาติน แขนสั้นขายาว น้องหมา พื้นเทา (กปก) M</v>
          </cell>
          <cell r="E11641">
            <v>0</v>
          </cell>
          <cell r="F11641">
            <v>0</v>
          </cell>
        </row>
        <row r="11642">
          <cell r="A11642" t="str">
            <v>ST1200-XL</v>
          </cell>
          <cell r="B11642" t="str">
            <v>T1200</v>
          </cell>
          <cell r="C11642" t="str">
            <v>ซาติน แขนสั้นขายาว น้องหมา พื้นเทา (กปก) XL</v>
          </cell>
          <cell r="E11642">
            <v>0</v>
          </cell>
          <cell r="F11642">
            <v>0</v>
          </cell>
        </row>
        <row r="11643">
          <cell r="A11643" t="str">
            <v>ST1201-2XL</v>
          </cell>
          <cell r="B11643" t="str">
            <v>T1201</v>
          </cell>
          <cell r="C11643" t="str">
            <v>ซาติน แขนสั้นขายาว Christmas Buddy 2XL (กปก)</v>
          </cell>
          <cell r="E11643">
            <v>0</v>
          </cell>
          <cell r="F11643">
            <v>890</v>
          </cell>
        </row>
        <row r="11644">
          <cell r="A11644" t="str">
            <v>ST1201-3XL</v>
          </cell>
          <cell r="B11644" t="str">
            <v>T1201</v>
          </cell>
          <cell r="C11644" t="str">
            <v>ซาติน แขนสั้นขายาว รวมสัตว์ คริสต์มาส 3XL (กปก)</v>
          </cell>
          <cell r="E11644">
            <v>0</v>
          </cell>
          <cell r="F11644">
            <v>890</v>
          </cell>
        </row>
        <row r="11645">
          <cell r="A11645" t="str">
            <v>ST1201-L</v>
          </cell>
          <cell r="B11645" t="str">
            <v>T1201</v>
          </cell>
          <cell r="C11645" t="str">
            <v>ซาติน แขนสั้นขายาว Christmas Buddy L (กปก)</v>
          </cell>
          <cell r="E11645">
            <v>0</v>
          </cell>
          <cell r="F11645">
            <v>890</v>
          </cell>
        </row>
        <row r="11646">
          <cell r="A11646" t="str">
            <v>ST1201-M</v>
          </cell>
          <cell r="B11646" t="str">
            <v>T1201</v>
          </cell>
          <cell r="C11646" t="str">
            <v>ซาติน แขนสั้นขายาว Christmas Buddy M (กปก)</v>
          </cell>
          <cell r="E11646">
            <v>0</v>
          </cell>
          <cell r="F11646">
            <v>890</v>
          </cell>
        </row>
        <row r="11647">
          <cell r="A11647" t="str">
            <v>ST1201-XL</v>
          </cell>
          <cell r="B11647" t="str">
            <v>QT1201</v>
          </cell>
          <cell r="C11647" t="str">
            <v>ซาติน แขนสั้นขายาว Christmas Buddy XL (กปก) QC</v>
          </cell>
          <cell r="E11647">
            <v>0</v>
          </cell>
          <cell r="F11647">
            <v>890</v>
          </cell>
        </row>
        <row r="11648">
          <cell r="A11648" t="str">
            <v>ST1202-2XL</v>
          </cell>
          <cell r="B11648" t="str">
            <v>T1202</v>
          </cell>
          <cell r="C11648" t="str">
            <v>ซาติน แขนสั้นขายาว สวนสัตว์หลากสี 2XL (กปก)</v>
          </cell>
          <cell r="E11648">
            <v>0</v>
          </cell>
          <cell r="F11648">
            <v>890</v>
          </cell>
        </row>
        <row r="11649">
          <cell r="A11649" t="str">
            <v>ST1202-3XL</v>
          </cell>
          <cell r="B11649" t="str">
            <v>T1202</v>
          </cell>
          <cell r="C11649" t="str">
            <v>ซาติน แขนสั้นขายาว สวนสัตว์หลากสี 3XL (กปก)</v>
          </cell>
          <cell r="E11649">
            <v>0</v>
          </cell>
          <cell r="F11649">
            <v>890</v>
          </cell>
        </row>
        <row r="11650">
          <cell r="A11650" t="str">
            <v>ST1202-L</v>
          </cell>
          <cell r="B11650" t="str">
            <v>T1202</v>
          </cell>
          <cell r="C11650" t="str">
            <v>ซาติน แขนสั้นขายาว สวนสัตว์หลากสี L (กปก)</v>
          </cell>
          <cell r="E11650">
            <v>0</v>
          </cell>
          <cell r="F11650">
            <v>890</v>
          </cell>
        </row>
        <row r="11651">
          <cell r="A11651" t="str">
            <v>ST1202-M</v>
          </cell>
          <cell r="B11651" t="str">
            <v>T1202</v>
          </cell>
          <cell r="C11651" t="str">
            <v>ซาติน แขนสั้นขายาว สวนสัตว์หลากสี M (กปก)</v>
          </cell>
          <cell r="E11651">
            <v>0</v>
          </cell>
          <cell r="F11651">
            <v>890</v>
          </cell>
        </row>
        <row r="11652">
          <cell r="A11652" t="str">
            <v>ST1202-XL</v>
          </cell>
          <cell r="B11652" t="str">
            <v>T1202</v>
          </cell>
          <cell r="C11652" t="str">
            <v>ซาติน แขนสั้นขายาว สวนสัตว์หลากสี XL (กปก)</v>
          </cell>
          <cell r="E11652">
            <v>0</v>
          </cell>
          <cell r="F11652">
            <v>890</v>
          </cell>
        </row>
        <row r="11653">
          <cell r="A11653" t="str">
            <v>ST1203-2XL</v>
          </cell>
          <cell r="B11653" t="str">
            <v>T1203</v>
          </cell>
          <cell r="C11653" t="str">
            <v>ซาติน แขนสั้นขายาว หมาผลไม้ พื้นชมพู 2XL (กปก)</v>
          </cell>
          <cell r="E11653">
            <v>0</v>
          </cell>
          <cell r="F11653">
            <v>890</v>
          </cell>
        </row>
        <row r="11654">
          <cell r="A11654" t="str">
            <v>ST1203-3XL</v>
          </cell>
          <cell r="B11654" t="str">
            <v>T1203</v>
          </cell>
          <cell r="C11654" t="str">
            <v>ซาติน แขนสั้นขายาว หมาผลไม้ พื้นชมพู 3XL (กปก)</v>
          </cell>
          <cell r="E11654">
            <v>0</v>
          </cell>
          <cell r="F11654">
            <v>890</v>
          </cell>
        </row>
        <row r="11655">
          <cell r="A11655" t="str">
            <v>ST1203-L</v>
          </cell>
          <cell r="B11655" t="str">
            <v>T1203</v>
          </cell>
          <cell r="C11655" t="str">
            <v>ซาติน แขนสั้นขายาว หมาผลไม้ พื้นชมพู L (กปก)</v>
          </cell>
          <cell r="E11655">
            <v>0</v>
          </cell>
          <cell r="F11655">
            <v>890</v>
          </cell>
        </row>
        <row r="11656">
          <cell r="A11656" t="str">
            <v>ST1203-M</v>
          </cell>
          <cell r="B11656" t="str">
            <v>T1203</v>
          </cell>
          <cell r="C11656" t="str">
            <v>ซาติน แขนสั้นขายาว หมาผลไม้ พื้นชมพู M (กปก)</v>
          </cell>
          <cell r="E11656">
            <v>0</v>
          </cell>
          <cell r="F11656">
            <v>890</v>
          </cell>
        </row>
        <row r="11657">
          <cell r="A11657" t="str">
            <v>ST1203-XL</v>
          </cell>
          <cell r="B11657" t="str">
            <v>T1203</v>
          </cell>
          <cell r="C11657" t="str">
            <v>ซาติน แขนสั้นขายาว หมาผลไม้ พื้นชมพู XL (กปก)</v>
          </cell>
          <cell r="E11657">
            <v>0</v>
          </cell>
          <cell r="F11657">
            <v>890</v>
          </cell>
        </row>
        <row r="11658">
          <cell r="A11658" t="str">
            <v>ST1204-2XL</v>
          </cell>
          <cell r="B11658" t="str">
            <v>T1204</v>
          </cell>
          <cell r="C11658" t="str">
            <v>ซาติน แขนสั้นขายาว หัวใจเล็ก พื้นครีม 2XL (กปก)</v>
          </cell>
          <cell r="E11658">
            <v>2</v>
          </cell>
          <cell r="F11658">
            <v>890</v>
          </cell>
        </row>
        <row r="11659">
          <cell r="A11659" t="str">
            <v>ST1204-3XL</v>
          </cell>
          <cell r="B11659" t="str">
            <v>T1204</v>
          </cell>
          <cell r="C11659" t="str">
            <v>ซาติน แขนสั้นขายาว หัวใจเล็ก พื้นครีม 3XL (กปก)</v>
          </cell>
          <cell r="E11659">
            <v>0</v>
          </cell>
          <cell r="F11659">
            <v>890</v>
          </cell>
        </row>
        <row r="11660">
          <cell r="A11660" t="str">
            <v>ST1204-L</v>
          </cell>
          <cell r="B11660" t="str">
            <v>T1204</v>
          </cell>
          <cell r="C11660" t="str">
            <v>ซาติน แขนสั้นขายาว หัวใจเล็ก พื้นครีม L (กปก)</v>
          </cell>
          <cell r="E11660">
            <v>0</v>
          </cell>
          <cell r="F11660">
            <v>890</v>
          </cell>
        </row>
        <row r="11661">
          <cell r="A11661" t="str">
            <v>ST1204-M</v>
          </cell>
          <cell r="B11661" t="str">
            <v>T1204</v>
          </cell>
          <cell r="C11661" t="str">
            <v>ซาติน แขนสั้นขายาว หัวใจเล็ก พื้นครีม M (กปก)</v>
          </cell>
          <cell r="E11661">
            <v>0</v>
          </cell>
          <cell r="F11661">
            <v>890</v>
          </cell>
        </row>
        <row r="11662">
          <cell r="A11662" t="str">
            <v>ST1204-XL</v>
          </cell>
          <cell r="B11662" t="str">
            <v>T1204</v>
          </cell>
          <cell r="C11662" t="str">
            <v>ซาติน แขนสั้นขายาว หัวใจเล็ก พื้นครีม XL (กปก)</v>
          </cell>
          <cell r="E11662">
            <v>0</v>
          </cell>
          <cell r="F11662">
            <v>890</v>
          </cell>
        </row>
        <row r="11663">
          <cell r="A11663" t="str">
            <v>ST1205-2XL</v>
          </cell>
          <cell r="B11663" t="str">
            <v>T1205</v>
          </cell>
          <cell r="C11663" t="str">
            <v>ซาติน แขนสั้นขายาว หัวใจเล็ก พื้นม่วง 2XL (กปก)</v>
          </cell>
          <cell r="E11663">
            <v>0</v>
          </cell>
          <cell r="F11663">
            <v>890</v>
          </cell>
        </row>
        <row r="11664">
          <cell r="A11664" t="str">
            <v>ST1205-3XL</v>
          </cell>
          <cell r="B11664" t="str">
            <v>T1205</v>
          </cell>
          <cell r="C11664" t="str">
            <v>ซาติน แขนสั้นขายาว หัวใจเล็ก พื้นม่วง 3XL (กปก)</v>
          </cell>
          <cell r="E11664">
            <v>0</v>
          </cell>
          <cell r="F11664">
            <v>890</v>
          </cell>
        </row>
        <row r="11665">
          <cell r="A11665" t="str">
            <v>ST1205-L</v>
          </cell>
          <cell r="B11665" t="str">
            <v>T1205</v>
          </cell>
          <cell r="C11665" t="str">
            <v>ซาติน แขนสั้นขายาว หัวใจเล็ก พื้นม่วง L (กปก)</v>
          </cell>
          <cell r="E11665">
            <v>0</v>
          </cell>
          <cell r="F11665">
            <v>890</v>
          </cell>
        </row>
        <row r="11666">
          <cell r="A11666" t="str">
            <v>ST1205-M</v>
          </cell>
          <cell r="B11666" t="str">
            <v>T1205</v>
          </cell>
          <cell r="C11666" t="str">
            <v>ซาติน แขนสั้นขายาว หัวใจเล็ก พื้นม่วง M (กปก)</v>
          </cell>
          <cell r="E11666">
            <v>0</v>
          </cell>
          <cell r="F11666">
            <v>890</v>
          </cell>
        </row>
        <row r="11667">
          <cell r="A11667" t="str">
            <v>ST1205-XL</v>
          </cell>
          <cell r="B11667" t="str">
            <v>T1205</v>
          </cell>
          <cell r="C11667" t="str">
            <v>ซาติน แขนสั้นขายาว หัวใจเล็ก พื้นม่วง XL (กปก)</v>
          </cell>
          <cell r="E11667">
            <v>0</v>
          </cell>
          <cell r="F11667">
            <v>890</v>
          </cell>
        </row>
        <row r="11668">
          <cell r="A11668" t="str">
            <v>ST1206-2XL</v>
          </cell>
          <cell r="B11668" t="str">
            <v>QT1206</v>
          </cell>
          <cell r="C11668" t="str">
            <v>ซาติน แขนสั้นขายาว Charcoal timber 2XL QC</v>
          </cell>
          <cell r="E11668">
            <v>0</v>
          </cell>
          <cell r="F11668">
            <v>890</v>
          </cell>
        </row>
        <row r="11669">
          <cell r="A11669" t="str">
            <v>ST1206-3XL</v>
          </cell>
          <cell r="B11669" t="str">
            <v>QT1206</v>
          </cell>
          <cell r="C11669" t="str">
            <v>ซาติน แขนสั้นขายาว Forest Brom 3XL QC</v>
          </cell>
          <cell r="E11669">
            <v>0</v>
          </cell>
          <cell r="F11669">
            <v>890</v>
          </cell>
        </row>
        <row r="11670">
          <cell r="A11670" t="str">
            <v>ST1206-L</v>
          </cell>
          <cell r="B11670" t="str">
            <v>QT1206</v>
          </cell>
          <cell r="C11670" t="str">
            <v>ซาติน แขนสั้นขายาว Charcoal timber L QC</v>
          </cell>
          <cell r="E11670">
            <v>0</v>
          </cell>
          <cell r="F11670">
            <v>890</v>
          </cell>
        </row>
        <row r="11671">
          <cell r="A11671" t="str">
            <v>ST1206-M</v>
          </cell>
          <cell r="B11671" t="str">
            <v>QT1206</v>
          </cell>
          <cell r="C11671" t="str">
            <v>ซาติน แขนสั้นขายาว Charcoal timber M QC</v>
          </cell>
          <cell r="E11671">
            <v>0</v>
          </cell>
          <cell r="F11671">
            <v>890</v>
          </cell>
        </row>
        <row r="11672">
          <cell r="A11672" t="str">
            <v>ST1206-XL</v>
          </cell>
          <cell r="B11672" t="str">
            <v>T1206</v>
          </cell>
          <cell r="C11672" t="str">
            <v>ซาติน แขนสั้นขายาว Charcoal timber XL</v>
          </cell>
          <cell r="E11672">
            <v>0</v>
          </cell>
          <cell r="F11672">
            <v>890</v>
          </cell>
        </row>
        <row r="11673">
          <cell r="A11673" t="str">
            <v>ST1209-2XL</v>
          </cell>
          <cell r="B11673" t="str">
            <v>T1209</v>
          </cell>
          <cell r="C11673" t="str">
            <v>ซาติน แขนสั้นขายาว Isla Floral (กปก) 2XL</v>
          </cell>
          <cell r="E11673">
            <v>4</v>
          </cell>
          <cell r="F11673">
            <v>890</v>
          </cell>
        </row>
        <row r="11674">
          <cell r="A11674" t="str">
            <v>ST1209-3XL</v>
          </cell>
          <cell r="B11674" t="str">
            <v>QT1209</v>
          </cell>
          <cell r="C11674" t="str">
            <v>ซาติน แขนสั้นขายาว Isla Floral (กปก) 3XL QC</v>
          </cell>
          <cell r="E11674">
            <v>0</v>
          </cell>
          <cell r="F11674">
            <v>890</v>
          </cell>
        </row>
        <row r="11675">
          <cell r="A11675" t="str">
            <v>ST1209-L</v>
          </cell>
          <cell r="B11675" t="str">
            <v>T1209</v>
          </cell>
          <cell r="C11675" t="str">
            <v>ซาติน แขนสั้นขายาว Isla Floral (กปก) L</v>
          </cell>
          <cell r="E11675">
            <v>0</v>
          </cell>
          <cell r="F11675">
            <v>890</v>
          </cell>
        </row>
        <row r="11676">
          <cell r="A11676" t="str">
            <v>ST1209-M</v>
          </cell>
          <cell r="B11676" t="str">
            <v>T1209</v>
          </cell>
          <cell r="C11676" t="str">
            <v>ซาติน แขนสั้นขายาว Isla Floral (กปก) M</v>
          </cell>
          <cell r="E11676">
            <v>3</v>
          </cell>
          <cell r="F11676">
            <v>890</v>
          </cell>
        </row>
        <row r="11677">
          <cell r="A11677" t="str">
            <v>ST1209-XL</v>
          </cell>
          <cell r="B11677" t="str">
            <v>T1209</v>
          </cell>
          <cell r="C11677" t="str">
            <v>ซาติน แขนสั้นขายาว Isla Floral (กปก) XL</v>
          </cell>
          <cell r="E11677">
            <v>0</v>
          </cell>
          <cell r="F11677">
            <v>890</v>
          </cell>
        </row>
        <row r="11678">
          <cell r="A11678" t="str">
            <v>ST1210-2XL</v>
          </cell>
          <cell r="B11678" t="str">
            <v>T1210</v>
          </cell>
          <cell r="C11678" t="str">
            <v>ซาติน แขนสั้นขายาว Blue Heart 2XL (กปก)</v>
          </cell>
          <cell r="E11678">
            <v>0</v>
          </cell>
          <cell r="F11678">
            <v>890</v>
          </cell>
        </row>
        <row r="11679">
          <cell r="A11679" t="str">
            <v>ST1210-L</v>
          </cell>
          <cell r="B11679" t="str">
            <v>T1210</v>
          </cell>
          <cell r="C11679" t="str">
            <v>ซาติน แขนสั้นขายาว Blue Heart L (กปก)</v>
          </cell>
          <cell r="E11679">
            <v>0</v>
          </cell>
          <cell r="F11679">
            <v>890</v>
          </cell>
        </row>
        <row r="11680">
          <cell r="A11680" t="str">
            <v>ST1210-M</v>
          </cell>
          <cell r="B11680" t="str">
            <v>T1210</v>
          </cell>
          <cell r="C11680" t="str">
            <v>ซาติน แขนสั้นขายาว Blue Heart M (กปก)</v>
          </cell>
          <cell r="E11680">
            <v>0</v>
          </cell>
          <cell r="F11680">
            <v>890</v>
          </cell>
        </row>
        <row r="11681">
          <cell r="A11681" t="str">
            <v>ST1210-XL</v>
          </cell>
          <cell r="B11681" t="str">
            <v>T1210</v>
          </cell>
          <cell r="C11681" t="str">
            <v>ซาติน แขนสั้นขายาว Blue Heart XL (กปก)</v>
          </cell>
          <cell r="E11681">
            <v>0</v>
          </cell>
          <cell r="F11681">
            <v>890</v>
          </cell>
        </row>
        <row r="11682">
          <cell r="A11682" t="str">
            <v>ST1211-2XL</v>
          </cell>
          <cell r="B11682" t="str">
            <v>T1211</v>
          </cell>
          <cell r="C11682" t="str">
            <v>ซาติน แขนสั้นขายาว Violet Heart 2XL (กปก)</v>
          </cell>
          <cell r="E11682">
            <v>0</v>
          </cell>
          <cell r="F11682">
            <v>890</v>
          </cell>
        </row>
        <row r="11683">
          <cell r="A11683" t="str">
            <v>ST1211-L</v>
          </cell>
          <cell r="B11683" t="str">
            <v>T1211</v>
          </cell>
          <cell r="C11683" t="str">
            <v>ซาติน แขนสั้นขายาว Violet Heart L (กปก)</v>
          </cell>
          <cell r="E11683">
            <v>0</v>
          </cell>
          <cell r="F11683">
            <v>890</v>
          </cell>
        </row>
        <row r="11684">
          <cell r="A11684" t="str">
            <v>ST1211-M</v>
          </cell>
          <cell r="B11684" t="str">
            <v>T1211</v>
          </cell>
          <cell r="C11684" t="str">
            <v>ซาติน แขนสั้นขายาว Violet Heart M (กปก)</v>
          </cell>
          <cell r="E11684">
            <v>0</v>
          </cell>
          <cell r="F11684">
            <v>890</v>
          </cell>
        </row>
        <row r="11685">
          <cell r="A11685" t="str">
            <v>ST1211-XL</v>
          </cell>
          <cell r="B11685" t="str">
            <v>T1211</v>
          </cell>
          <cell r="C11685" t="str">
            <v>ซาติน แขนสั้นขายาว Violet Heart XL (กปก)</v>
          </cell>
          <cell r="E11685">
            <v>0</v>
          </cell>
          <cell r="F11685">
            <v>890</v>
          </cell>
        </row>
        <row r="11686">
          <cell r="A11686" t="str">
            <v>ST1212-2XL</v>
          </cell>
          <cell r="B11686" t="str">
            <v>T1212</v>
          </cell>
          <cell r="C11686" t="str">
            <v>ซาติน แขนสั้นขายาว กระต่ายน้อยอุ้มไข่ ปกเหลือง 2XL (กปก)</v>
          </cell>
          <cell r="E11686">
            <v>1</v>
          </cell>
          <cell r="F11686">
            <v>890</v>
          </cell>
        </row>
        <row r="11687">
          <cell r="A11687" t="str">
            <v>ST1212-3XL</v>
          </cell>
          <cell r="B11687" t="str">
            <v>T1212</v>
          </cell>
          <cell r="C11687" t="str">
            <v>ซาติน แขนสั้นขายาว กระต่ายน้อยอุ้มไข่ ปกเหลือง 3XL (กปก)</v>
          </cell>
          <cell r="E11687">
            <v>0</v>
          </cell>
          <cell r="F11687">
            <v>890</v>
          </cell>
        </row>
        <row r="11688">
          <cell r="A11688" t="str">
            <v>ST1212-L</v>
          </cell>
          <cell r="B11688" t="str">
            <v>T1212</v>
          </cell>
          <cell r="C11688" t="str">
            <v>ซาติน แขนสั้นขายาว กระต่ายน้อยอุ้มไข่ ปกเหลือง L (กปก)</v>
          </cell>
          <cell r="E11688">
            <v>0</v>
          </cell>
          <cell r="F11688">
            <v>890</v>
          </cell>
        </row>
        <row r="11689">
          <cell r="A11689" t="str">
            <v>ST1212-M</v>
          </cell>
          <cell r="B11689" t="str">
            <v>T1212</v>
          </cell>
          <cell r="C11689" t="str">
            <v>ซาติน แขนสั้นขายาว กระต่ายน้อยอุ้มไข่ ปกเหลือง M (กปก)</v>
          </cell>
          <cell r="E11689">
            <v>0</v>
          </cell>
          <cell r="F11689">
            <v>890</v>
          </cell>
        </row>
        <row r="11690">
          <cell r="A11690" t="str">
            <v>ST1212-XL</v>
          </cell>
          <cell r="B11690" t="str">
            <v>T1212</v>
          </cell>
          <cell r="C11690" t="str">
            <v>ซาติน แขนสั้นขายาว กระต่ายน้อยอุ้มไข่ ปกเหลือง XL (กปก)</v>
          </cell>
          <cell r="E11690">
            <v>0</v>
          </cell>
          <cell r="F11690">
            <v>890</v>
          </cell>
        </row>
        <row r="11691">
          <cell r="A11691" t="str">
            <v>ST1213-2XL</v>
          </cell>
          <cell r="B11691" t="str">
            <v>T1213</v>
          </cell>
          <cell r="C11691" t="str">
            <v>ซาติน แขนสั้นขายาว rabbit white ปกขาว ขอบม่วง 2XL</v>
          </cell>
          <cell r="E11691">
            <v>0</v>
          </cell>
          <cell r="F11691">
            <v>990</v>
          </cell>
        </row>
        <row r="11692">
          <cell r="A11692" t="str">
            <v>ST1213-3XL</v>
          </cell>
          <cell r="B11692" t="str">
            <v>T1213</v>
          </cell>
          <cell r="C11692" t="str">
            <v>ซาติน แขนสั้นขายาว rabbit white ปกขาว ขอบม่วง 3XL</v>
          </cell>
          <cell r="E11692">
            <v>0</v>
          </cell>
          <cell r="F11692">
            <v>990</v>
          </cell>
        </row>
        <row r="11693">
          <cell r="A11693" t="str">
            <v>ST1213-L</v>
          </cell>
          <cell r="B11693" t="str">
            <v>T1213</v>
          </cell>
          <cell r="C11693" t="str">
            <v>ซาติน แขนสั้นขายาว rabbit white ปกขาว ขอบม่วง L</v>
          </cell>
          <cell r="E11693">
            <v>0</v>
          </cell>
          <cell r="F11693">
            <v>990</v>
          </cell>
        </row>
        <row r="11694">
          <cell r="A11694" t="str">
            <v>ST1213-M</v>
          </cell>
          <cell r="B11694" t="str">
            <v>T1213</v>
          </cell>
          <cell r="C11694" t="str">
            <v>ซาติน แขนสั้นขายาว rabbit white ปกขาว ขอบม่วง M</v>
          </cell>
          <cell r="E11694">
            <v>0</v>
          </cell>
          <cell r="F11694">
            <v>990</v>
          </cell>
        </row>
        <row r="11695">
          <cell r="A11695" t="str">
            <v>ST1213-XL</v>
          </cell>
          <cell r="B11695" t="str">
            <v>T1213</v>
          </cell>
          <cell r="C11695" t="str">
            <v>ซาติน แขนสั้นขายาว rabbit white ปกขาว ขอบม่วง XL</v>
          </cell>
          <cell r="E11695">
            <v>0</v>
          </cell>
          <cell r="F11695">
            <v>990</v>
          </cell>
        </row>
        <row r="11696">
          <cell r="A11696" t="str">
            <v>ST1214-2XL</v>
          </cell>
          <cell r="B11696" t="str">
            <v>T1214</v>
          </cell>
          <cell r="C11696" t="str">
            <v>ซาติน แขนสั้นขายาว rabbit white flower pink ปกม่วง 2XL (กปก)</v>
          </cell>
          <cell r="E11696">
            <v>0</v>
          </cell>
          <cell r="F11696">
            <v>990</v>
          </cell>
        </row>
        <row r="11697">
          <cell r="A11697" t="str">
            <v>ST1214-3XL</v>
          </cell>
          <cell r="B11697" t="str">
            <v>QT1214</v>
          </cell>
          <cell r="C11697" t="str">
            <v>ซาติน แขนสั้นขายาว rabbit white flower pink ปกม่วง 3XL (กปก) QC</v>
          </cell>
          <cell r="E11697">
            <v>0</v>
          </cell>
          <cell r="F11697">
            <v>990</v>
          </cell>
        </row>
        <row r="11698">
          <cell r="A11698" t="str">
            <v>ST1214-L</v>
          </cell>
          <cell r="B11698" t="str">
            <v>T1214</v>
          </cell>
          <cell r="C11698" t="str">
            <v>ซาติน แขนสั้นขายาว rabbit white flower pink ปกม่วง L (กปก)</v>
          </cell>
          <cell r="E11698">
            <v>0</v>
          </cell>
          <cell r="F11698">
            <v>990</v>
          </cell>
        </row>
        <row r="11699">
          <cell r="A11699" t="str">
            <v>ST1214-M</v>
          </cell>
          <cell r="B11699" t="str">
            <v>QT1214</v>
          </cell>
          <cell r="C11699" t="str">
            <v>ซาติน แขนสั้นขายาว rabbit white flower pink ปกม่วง M (กปก) QC</v>
          </cell>
          <cell r="E11699">
            <v>0</v>
          </cell>
          <cell r="F11699">
            <v>990</v>
          </cell>
        </row>
        <row r="11700">
          <cell r="A11700" t="str">
            <v>ST1214-XL</v>
          </cell>
          <cell r="B11700" t="str">
            <v>T1214</v>
          </cell>
          <cell r="C11700" t="str">
            <v>ซาติน แขนสั้นขายาว rabbit white flower pink ปกม่วง XL (กปก)</v>
          </cell>
          <cell r="E11700">
            <v>0</v>
          </cell>
          <cell r="F11700">
            <v>990</v>
          </cell>
        </row>
        <row r="11701">
          <cell r="A11701" t="str">
            <v>ST1215-2XL</v>
          </cell>
          <cell r="B11701" t="str">
            <v>T1215</v>
          </cell>
          <cell r="C11701" t="str">
            <v>ซาติน แขนสั้นขายาว zoooforest 2XL  (กปก)</v>
          </cell>
          <cell r="E11701">
            <v>0</v>
          </cell>
          <cell r="F11701">
            <v>890</v>
          </cell>
        </row>
        <row r="11702">
          <cell r="A11702" t="str">
            <v>ST1215-3XL</v>
          </cell>
          <cell r="B11702" t="str">
            <v>T1215</v>
          </cell>
          <cell r="C11702" t="str">
            <v>ซาติน แขนสั้นขายาว zoooforest 3XL  (กปก)</v>
          </cell>
          <cell r="E11702">
            <v>0</v>
          </cell>
          <cell r="F11702">
            <v>890</v>
          </cell>
        </row>
        <row r="11703">
          <cell r="A11703" t="str">
            <v>ST1215-L</v>
          </cell>
          <cell r="B11703" t="str">
            <v>T1215</v>
          </cell>
          <cell r="C11703" t="str">
            <v>ซาติน แขนสั้นขายาว zoooforest L (กปก)</v>
          </cell>
          <cell r="E11703">
            <v>0</v>
          </cell>
          <cell r="F11703">
            <v>890</v>
          </cell>
        </row>
        <row r="11704">
          <cell r="A11704" t="str">
            <v>ST1215-M</v>
          </cell>
          <cell r="B11704" t="str">
            <v>T1215</v>
          </cell>
          <cell r="C11704" t="str">
            <v>ซาติน แขนสั้นขายาว zoooforest M (กปก)</v>
          </cell>
          <cell r="E11704">
            <v>0</v>
          </cell>
          <cell r="F11704">
            <v>890</v>
          </cell>
        </row>
        <row r="11705">
          <cell r="A11705" t="str">
            <v>ST1215-XL</v>
          </cell>
          <cell r="B11705" t="str">
            <v>T1215</v>
          </cell>
          <cell r="C11705" t="str">
            <v>ซาติน แขนสั้นขายาว zoooforest XL (กปก)</v>
          </cell>
          <cell r="E11705">
            <v>0</v>
          </cell>
          <cell r="F11705">
            <v>890</v>
          </cell>
        </row>
        <row r="11706">
          <cell r="A11706" t="str">
            <v>ST1216-2XL</v>
          </cell>
          <cell r="B11706" t="str">
            <v>T1216</v>
          </cell>
          <cell r="C11706" t="str">
            <v>ซาติน แขนสั้นขายาว สุนัขแฟชั่น พื้นเขียว 2XL  (กปก)</v>
          </cell>
          <cell r="E11706">
            <v>4</v>
          </cell>
          <cell r="F11706">
            <v>890</v>
          </cell>
        </row>
        <row r="11707">
          <cell r="A11707" t="str">
            <v>ST1216-3XL</v>
          </cell>
          <cell r="B11707" t="str">
            <v>T1216</v>
          </cell>
          <cell r="C11707" t="str">
            <v>ซาติน แขนสั้นขายาว สุนัขแฟชั่น พื้นเขียว 3XL  (กปก)</v>
          </cell>
          <cell r="E11707">
            <v>0</v>
          </cell>
          <cell r="F11707">
            <v>890</v>
          </cell>
        </row>
        <row r="11708">
          <cell r="A11708" t="str">
            <v>ST1216-L</v>
          </cell>
          <cell r="B11708" t="str">
            <v>QT1216</v>
          </cell>
          <cell r="C11708" t="str">
            <v>ซาติน แขนสั้นขายาว สุนัขแฟชั่น พื้นเขียว L (กปก) QC</v>
          </cell>
          <cell r="E11708">
            <v>0</v>
          </cell>
          <cell r="F11708">
            <v>890</v>
          </cell>
        </row>
        <row r="11709">
          <cell r="A11709" t="str">
            <v>ST1216-M</v>
          </cell>
          <cell r="B11709" t="str">
            <v>T1216</v>
          </cell>
          <cell r="C11709" t="str">
            <v>ซาติน แขนสั้นขายาว สุนัขแฟชั่น พื้นเขียว M (กปก)</v>
          </cell>
          <cell r="E11709">
            <v>0</v>
          </cell>
          <cell r="F11709">
            <v>890</v>
          </cell>
        </row>
        <row r="11710">
          <cell r="A11710" t="str">
            <v>ST1216-XL</v>
          </cell>
          <cell r="B11710" t="str">
            <v>T1216</v>
          </cell>
          <cell r="C11710" t="str">
            <v>ซาติน แขนสั้นขายาว สุนัขแฟชั่น พื้นเขียว XL (กปก)</v>
          </cell>
          <cell r="E11710">
            <v>3</v>
          </cell>
          <cell r="F11710">
            <v>890</v>
          </cell>
        </row>
        <row r="11711">
          <cell r="A11711" t="str">
            <v>ST1218-2XL</v>
          </cell>
          <cell r="B11711" t="str">
            <v>T1218</v>
          </cell>
          <cell r="C11711" t="str">
            <v>ซาติน แขนสั้นขายาว ช้างชมพู พื้นครีม 2XL (กปก)</v>
          </cell>
          <cell r="E11711">
            <v>0</v>
          </cell>
          <cell r="F11711">
            <v>890</v>
          </cell>
        </row>
        <row r="11712">
          <cell r="A11712" t="str">
            <v>ST1218-3XL</v>
          </cell>
          <cell r="B11712" t="str">
            <v>T1218</v>
          </cell>
          <cell r="C11712" t="str">
            <v>ซาติน แขนสั้นขายาว ช้างชมพู พื้นครีม 3XL (กปก)</v>
          </cell>
          <cell r="E11712">
            <v>0</v>
          </cell>
          <cell r="F11712">
            <v>890</v>
          </cell>
        </row>
        <row r="11713">
          <cell r="A11713" t="str">
            <v>ST1218-L</v>
          </cell>
          <cell r="B11713" t="str">
            <v>T1218</v>
          </cell>
          <cell r="C11713" t="str">
            <v>ซาติน แขนสั้นขายาว ช้างชมพู พื้นครีม L (กปก)</v>
          </cell>
          <cell r="E11713">
            <v>0</v>
          </cell>
          <cell r="F11713">
            <v>890</v>
          </cell>
        </row>
        <row r="11714">
          <cell r="A11714" t="str">
            <v>ST1218-M</v>
          </cell>
          <cell r="B11714" t="str">
            <v>T1218</v>
          </cell>
          <cell r="C11714" t="str">
            <v>ซาติน แขนสั้นขายาว ช้างชมพู พื้นครีม M (กปก)</v>
          </cell>
          <cell r="E11714">
            <v>0</v>
          </cell>
          <cell r="F11714">
            <v>890</v>
          </cell>
        </row>
        <row r="11715">
          <cell r="A11715" t="str">
            <v>ST1218-XL</v>
          </cell>
          <cell r="B11715" t="str">
            <v>T1218</v>
          </cell>
          <cell r="C11715" t="str">
            <v>ซาติน แขนสั้นขายาว ช้างชมพู พื้นครีม XL (กปก)</v>
          </cell>
          <cell r="E11715">
            <v>0</v>
          </cell>
          <cell r="F11715">
            <v>890</v>
          </cell>
        </row>
        <row r="11716">
          <cell r="A11716" t="str">
            <v>ST1221-2XL</v>
          </cell>
          <cell r="B11716" t="str">
            <v>T1221</v>
          </cell>
          <cell r="C11716" t="str">
            <v>ซาติน แขนสั้นขายาว เสือส้ม พื้นชมพู 2XL (กปก)</v>
          </cell>
          <cell r="E11716">
            <v>0</v>
          </cell>
          <cell r="F11716">
            <v>890</v>
          </cell>
        </row>
        <row r="11717">
          <cell r="A11717" t="str">
            <v>ST1221-3XL</v>
          </cell>
          <cell r="B11717" t="str">
            <v>T1221</v>
          </cell>
          <cell r="C11717" t="str">
            <v>ซาติน แขนสั้นขายาว เสือส้ม พื้นชมพู 3XL (กปก)</v>
          </cell>
          <cell r="E11717">
            <v>0</v>
          </cell>
          <cell r="F11717">
            <v>890</v>
          </cell>
        </row>
        <row r="11718">
          <cell r="A11718" t="str">
            <v>ST1221-L</v>
          </cell>
          <cell r="B11718" t="str">
            <v>T1221</v>
          </cell>
          <cell r="C11718" t="str">
            <v>ซาติน แขนสั้นขายาว เสือส้ม พื้นชมพู L (กปก)</v>
          </cell>
          <cell r="E11718">
            <v>0</v>
          </cell>
          <cell r="F11718">
            <v>890</v>
          </cell>
        </row>
        <row r="11719">
          <cell r="A11719" t="str">
            <v>ST1221-M</v>
          </cell>
          <cell r="B11719" t="str">
            <v>T1221</v>
          </cell>
          <cell r="C11719" t="str">
            <v>ซาติน แขนสั้นขายาว เสือส้ม พื้นชมพู M (กปก)</v>
          </cell>
          <cell r="E11719">
            <v>0</v>
          </cell>
          <cell r="F11719">
            <v>890</v>
          </cell>
        </row>
        <row r="11720">
          <cell r="A11720" t="str">
            <v>ST1221-XL</v>
          </cell>
          <cell r="B11720" t="str">
            <v>QT1221</v>
          </cell>
          <cell r="C11720" t="str">
            <v>ซาติน แขนสั้นขายาว เสือส้ม พื้นชมพู XL (กปก) QC</v>
          </cell>
          <cell r="E11720">
            <v>0</v>
          </cell>
          <cell r="F11720">
            <v>890</v>
          </cell>
        </row>
        <row r="11721">
          <cell r="A11721" t="str">
            <v>ST1223-2XL</v>
          </cell>
          <cell r="B11721" t="str">
            <v>T1223</v>
          </cell>
          <cell r="C11721" t="str">
            <v>ซาติน แขนสั้นขายาว กงจักรดอกไม้ 2XL (กปก)</v>
          </cell>
          <cell r="E11721">
            <v>0</v>
          </cell>
          <cell r="F11721">
            <v>890</v>
          </cell>
        </row>
        <row r="11722">
          <cell r="A11722" t="str">
            <v>ST1223-3XL</v>
          </cell>
          <cell r="B11722" t="str">
            <v>T1223</v>
          </cell>
          <cell r="C11722" t="str">
            <v>ซาติน แขนสั้นขายาว กงจักรดอกไม้ 3XL (กปก)</v>
          </cell>
          <cell r="E11722">
            <v>0</v>
          </cell>
          <cell r="F11722">
            <v>890</v>
          </cell>
        </row>
        <row r="11723">
          <cell r="A11723" t="str">
            <v>ST1223-L</v>
          </cell>
          <cell r="B11723" t="str">
            <v>T1223</v>
          </cell>
          <cell r="C11723" t="str">
            <v>ซาติน แขนสั้นขายาว กงจักรดอกไม้ L (กปก)</v>
          </cell>
          <cell r="E11723">
            <v>0</v>
          </cell>
          <cell r="F11723">
            <v>890</v>
          </cell>
        </row>
        <row r="11724">
          <cell r="A11724" t="str">
            <v>ST1223-M</v>
          </cell>
          <cell r="B11724" t="str">
            <v>QT1223</v>
          </cell>
          <cell r="C11724" t="str">
            <v>ซาติน แขนสั้นขายาว กงจักรดอกไม้ M (กปก) QC</v>
          </cell>
          <cell r="E11724">
            <v>0</v>
          </cell>
          <cell r="F11724">
            <v>890</v>
          </cell>
        </row>
        <row r="11725">
          <cell r="A11725" t="str">
            <v>ST1223-XL</v>
          </cell>
          <cell r="B11725" t="str">
            <v>T1223</v>
          </cell>
          <cell r="C11725" t="str">
            <v>ซาติน แขนสั้นขายาว กงจักรดอกไม้ XL (กปก)</v>
          </cell>
          <cell r="E11725">
            <v>0</v>
          </cell>
          <cell r="F11725">
            <v>890</v>
          </cell>
        </row>
        <row r="11726">
          <cell r="A11726" t="str">
            <v>ST1224-2XL</v>
          </cell>
          <cell r="B11726" t="str">
            <v>QT1224</v>
          </cell>
          <cell r="C11726" t="str">
            <v>ซาติน แขนสั้นขายาว เสือดาวพื้นน้ำเงิน ปกเสือชมพู 2XL (กปก) QC</v>
          </cell>
          <cell r="E11726">
            <v>0</v>
          </cell>
          <cell r="F11726">
            <v>890</v>
          </cell>
        </row>
        <row r="11727">
          <cell r="A11727" t="str">
            <v>ST1224-3XL</v>
          </cell>
          <cell r="B11727" t="str">
            <v>QT1224</v>
          </cell>
          <cell r="C11727" t="str">
            <v>ซาติน แขนสั้นขายาว เสือดาวพื้นน้ำเงิน ปกเสือชมพู 3XL (กปก) QC</v>
          </cell>
          <cell r="E11727">
            <v>0</v>
          </cell>
          <cell r="F11727">
            <v>890</v>
          </cell>
        </row>
        <row r="11728">
          <cell r="A11728" t="str">
            <v>ST1224-L</v>
          </cell>
          <cell r="B11728" t="str">
            <v>QT1224</v>
          </cell>
          <cell r="C11728" t="str">
            <v>ซาติน แขนสั้นขายาว เสือดาวพื้นน้ำเงิน ปกเสือชมพู L (กปก) QC</v>
          </cell>
          <cell r="E11728">
            <v>0</v>
          </cell>
          <cell r="F11728">
            <v>890</v>
          </cell>
        </row>
        <row r="11729">
          <cell r="A11729" t="str">
            <v>ST1224-M</v>
          </cell>
          <cell r="B11729" t="str">
            <v>QT1224</v>
          </cell>
          <cell r="C11729" t="str">
            <v>ซาติน แขนสั้นขายาว เสือดาวพื้นน้ำเงิน ปกเสือชมพู M (กปก) QC</v>
          </cell>
          <cell r="E11729">
            <v>0</v>
          </cell>
          <cell r="F11729">
            <v>890</v>
          </cell>
        </row>
        <row r="11730">
          <cell r="A11730" t="str">
            <v>ST1224-XL</v>
          </cell>
          <cell r="B11730" t="str">
            <v>T1224</v>
          </cell>
          <cell r="C11730" t="str">
            <v>ซาติน แขนสั้นขายาว เสือดาวพื้นน้ำเงิน ปกเสือชมพู XL (กปก)</v>
          </cell>
          <cell r="E11730">
            <v>0</v>
          </cell>
          <cell r="F11730">
            <v>890</v>
          </cell>
        </row>
        <row r="11731">
          <cell r="A11731" t="str">
            <v>ST1225-2XL</v>
          </cell>
          <cell r="B11731" t="str">
            <v>T1225</v>
          </cell>
          <cell r="C11731" t="str">
            <v>ซาติน แขนสั้นขายาว นักกีฬา สเก็ต พื้นครีม ปกฟ้า ขาว (กปก) 2XL</v>
          </cell>
          <cell r="E11731">
            <v>0</v>
          </cell>
          <cell r="F11731">
            <v>890</v>
          </cell>
        </row>
        <row r="11732">
          <cell r="A11732" t="str">
            <v>ST1225-3XL</v>
          </cell>
          <cell r="B11732" t="str">
            <v>T1225</v>
          </cell>
          <cell r="C11732" t="str">
            <v>ซาติน แขนสั้นขายาว นักกีฬา สเก็ต พื้นครีม ปกฟ้า ขาว (กปก) 3XL</v>
          </cell>
          <cell r="E11732">
            <v>0</v>
          </cell>
          <cell r="F11732">
            <v>890</v>
          </cell>
        </row>
        <row r="11733">
          <cell r="A11733" t="str">
            <v>ST1225-L</v>
          </cell>
          <cell r="B11733" t="str">
            <v>T1225</v>
          </cell>
          <cell r="C11733" t="str">
            <v>ซาติน แขนสั้นขายาว นักกีฬา สเก็ต พื้นครีม ปกฟ้า ขาว (กปก) L</v>
          </cell>
          <cell r="E11733">
            <v>0</v>
          </cell>
          <cell r="F11733">
            <v>890</v>
          </cell>
        </row>
        <row r="11734">
          <cell r="A11734" t="str">
            <v>ST1225-M</v>
          </cell>
          <cell r="B11734" t="str">
            <v>T1225</v>
          </cell>
          <cell r="C11734" t="str">
            <v>ซาติน แขนสั้นขายาว นักกีฬา สเก็ต พื้นครีม ปกฟ้า ขาว (กปก) M</v>
          </cell>
          <cell r="E11734">
            <v>0</v>
          </cell>
          <cell r="F11734">
            <v>890</v>
          </cell>
        </row>
        <row r="11735">
          <cell r="A11735" t="str">
            <v>ST1225-XL</v>
          </cell>
          <cell r="B11735" t="str">
            <v>T1225</v>
          </cell>
          <cell r="C11735" t="str">
            <v>ซาติน แขนสั้นขายาว นักกีฬา สเก็ต พื้นครีม ปกฟ้า ขาว (กปก) XL</v>
          </cell>
          <cell r="E11735">
            <v>0</v>
          </cell>
          <cell r="F11735">
            <v>890</v>
          </cell>
        </row>
        <row r="11736">
          <cell r="A11736" t="str">
            <v>ST1226-2XL</v>
          </cell>
          <cell r="B11736" t="str">
            <v>QT1226</v>
          </cell>
          <cell r="C11736" t="str">
            <v>ซาติน แขนสั้นขายาว Queen Tarot Card พื้นน้ำเงิน 2XL (กปก) QC</v>
          </cell>
          <cell r="E11736">
            <v>0</v>
          </cell>
          <cell r="F11736">
            <v>990</v>
          </cell>
        </row>
        <row r="11737">
          <cell r="A11737" t="str">
            <v>ST1226-3XL</v>
          </cell>
          <cell r="B11737" t="str">
            <v>QT1226</v>
          </cell>
          <cell r="C11737" t="str">
            <v>ซาติน แขนสั้นขายาว Queen Tarot Card พื้นน้ำเงิน 3XL (กปก) QC</v>
          </cell>
          <cell r="E11737">
            <v>0</v>
          </cell>
          <cell r="F11737">
            <v>990</v>
          </cell>
        </row>
        <row r="11738">
          <cell r="A11738" t="str">
            <v>ST1226-L</v>
          </cell>
          <cell r="B11738" t="str">
            <v>T1226</v>
          </cell>
          <cell r="C11738" t="str">
            <v>ซาติน แขนสั้นขายาว Queen Tarot Card พื้นน้ำเงิน L (กปก)</v>
          </cell>
          <cell r="E11738">
            <v>0</v>
          </cell>
          <cell r="F11738">
            <v>990</v>
          </cell>
        </row>
        <row r="11739">
          <cell r="A11739" t="str">
            <v>ST1226-M</v>
          </cell>
          <cell r="B11739" t="str">
            <v>T1226</v>
          </cell>
          <cell r="C11739" t="str">
            <v>ซาติน แขนสั้นขายาว Queen Tarot Card พื้นน้ำเงิน M (กปก)</v>
          </cell>
          <cell r="E11739">
            <v>0</v>
          </cell>
          <cell r="F11739">
            <v>990</v>
          </cell>
        </row>
        <row r="11740">
          <cell r="A11740" t="str">
            <v>ST1226-XL</v>
          </cell>
          <cell r="B11740" t="str">
            <v>T1226</v>
          </cell>
          <cell r="C11740" t="str">
            <v>ซาติน แขนสั้นขายาว Queen Tarot Card พื้นน้ำเงิน XL (กปก)</v>
          </cell>
          <cell r="E11740">
            <v>0</v>
          </cell>
          <cell r="F11740">
            <v>990</v>
          </cell>
        </row>
        <row r="11741">
          <cell r="A11741" t="str">
            <v>ST1228-2XL</v>
          </cell>
          <cell r="B11741" t="str">
            <v>T1228</v>
          </cell>
          <cell r="C11741" t="str">
            <v>ซาติน แขนสั้นขายาว Zoo forest พื้นขาว ปกโอโรส 2XL (กปก)</v>
          </cell>
          <cell r="E11741">
            <v>0</v>
          </cell>
          <cell r="F11741">
            <v>890</v>
          </cell>
        </row>
        <row r="11742">
          <cell r="A11742" t="str">
            <v>ST1228-3XL</v>
          </cell>
          <cell r="B11742" t="str">
            <v>T1228</v>
          </cell>
          <cell r="C11742" t="str">
            <v>ซาติน แขนสั้นขายาว Zoo forest พื้นขาว ปกโอโรส 3XL (กปก)</v>
          </cell>
          <cell r="E11742">
            <v>0</v>
          </cell>
          <cell r="F11742">
            <v>890</v>
          </cell>
        </row>
        <row r="11743">
          <cell r="A11743" t="str">
            <v>ST1228-L</v>
          </cell>
          <cell r="B11743" t="str">
            <v>T1228</v>
          </cell>
          <cell r="C11743" t="str">
            <v>ซาติน แขนสั้นขายาว Zoo forest พื้นขาว ปกโอโรส L (กปก)</v>
          </cell>
          <cell r="E11743">
            <v>0</v>
          </cell>
          <cell r="F11743">
            <v>890</v>
          </cell>
        </row>
        <row r="11744">
          <cell r="A11744" t="str">
            <v>ST1228-M</v>
          </cell>
          <cell r="B11744" t="str">
            <v>T1228</v>
          </cell>
          <cell r="C11744" t="str">
            <v>ซาติน แขนสั้นขายาว Zoo forest พื้นขาว ปกโอโรส M (กปก)</v>
          </cell>
          <cell r="E11744">
            <v>0</v>
          </cell>
          <cell r="F11744">
            <v>890</v>
          </cell>
        </row>
        <row r="11745">
          <cell r="A11745" t="str">
            <v>ST1228-XL</v>
          </cell>
          <cell r="B11745" t="str">
            <v>T1228</v>
          </cell>
          <cell r="C11745" t="str">
            <v>ซาติน แขนสั้นขายาว Zoo forest พื้นขาว ปกโอโรส XL (กปก)</v>
          </cell>
          <cell r="E11745">
            <v>0</v>
          </cell>
          <cell r="F11745">
            <v>890</v>
          </cell>
        </row>
        <row r="11746">
          <cell r="A11746" t="str">
            <v>ST1229-2XL</v>
          </cell>
          <cell r="B11746" t="str">
            <v>T1229</v>
          </cell>
          <cell r="C11746" t="str">
            <v>ซาติน แขนสั้นขายาว The Sun พื้นครีม กางเกงเหลือง 2XL (กปก)</v>
          </cell>
          <cell r="E11746">
            <v>0</v>
          </cell>
          <cell r="F11746">
            <v>990</v>
          </cell>
        </row>
        <row r="11747">
          <cell r="A11747" t="str">
            <v>ST1229-3XL</v>
          </cell>
          <cell r="B11747" t="str">
            <v>T1229</v>
          </cell>
          <cell r="C11747" t="str">
            <v>ซาติน แขนสั้นขายาว The Sun พื้นครีม กางเกงเหลือง 3XL (กปก)</v>
          </cell>
          <cell r="E11747">
            <v>0</v>
          </cell>
          <cell r="F11747">
            <v>990</v>
          </cell>
        </row>
        <row r="11748">
          <cell r="A11748" t="str">
            <v>ST1229-L</v>
          </cell>
          <cell r="B11748" t="str">
            <v>T1229</v>
          </cell>
          <cell r="C11748" t="str">
            <v>ซาติน แขนสั้นขายาว The Sun พื้นครีม กางเกงเหลือง L (กปก)</v>
          </cell>
          <cell r="E11748">
            <v>0</v>
          </cell>
          <cell r="F11748">
            <v>990</v>
          </cell>
        </row>
        <row r="11749">
          <cell r="A11749" t="str">
            <v>ST1229-M</v>
          </cell>
          <cell r="B11749" t="str">
            <v>QT1229</v>
          </cell>
          <cell r="C11749" t="str">
            <v>ซาติน แขนสั้นขายาว The Sun พื้นครีม กางเกงเหลือง M (กปก) QC</v>
          </cell>
          <cell r="E11749">
            <v>0</v>
          </cell>
          <cell r="F11749">
            <v>990</v>
          </cell>
        </row>
        <row r="11750">
          <cell r="A11750" t="str">
            <v>ST1229-XL</v>
          </cell>
          <cell r="B11750" t="str">
            <v>T1229</v>
          </cell>
          <cell r="C11750" t="str">
            <v>ซาติน แขนสั้นขายาว The Sun พื้นครีม กางเกงเหลือง XL (กปก)</v>
          </cell>
          <cell r="E11750">
            <v>0</v>
          </cell>
          <cell r="F11750">
            <v>990</v>
          </cell>
        </row>
        <row r="11751">
          <cell r="A11751" t="str">
            <v>ST1230-2XL</v>
          </cell>
          <cell r="B11751" t="str">
            <v>T1230</v>
          </cell>
          <cell r="C11751" t="str">
            <v>ซาติน แขนสั้นขายาว สิงห์โต ช้าง ยีราฟ พื้นขาว ปกเขียว 2XL (กปก)</v>
          </cell>
          <cell r="E11751">
            <v>0</v>
          </cell>
          <cell r="F11751">
            <v>890</v>
          </cell>
        </row>
        <row r="11752">
          <cell r="A11752" t="str">
            <v>ST1230-3XL</v>
          </cell>
          <cell r="B11752" t="str">
            <v>T1230</v>
          </cell>
          <cell r="C11752" t="str">
            <v>ซาติน แขนสั้นขายาว สิงห์โต ช้าง ยีราฟ พื้นขาว ปกเขียว 3XL (กปก)</v>
          </cell>
          <cell r="E11752">
            <v>0</v>
          </cell>
          <cell r="F11752">
            <v>890</v>
          </cell>
        </row>
        <row r="11753">
          <cell r="A11753" t="str">
            <v>ST1230-L</v>
          </cell>
          <cell r="B11753" t="str">
            <v>T1230</v>
          </cell>
          <cell r="C11753" t="str">
            <v>ซาติน แขนสั้นขายาว สิงห์โต ช้าง ยีราฟ พื้นขาว ปกเขียว L (กปก)</v>
          </cell>
          <cell r="E11753">
            <v>0</v>
          </cell>
          <cell r="F11753">
            <v>890</v>
          </cell>
        </row>
        <row r="11754">
          <cell r="A11754" t="str">
            <v>ST1230-M</v>
          </cell>
          <cell r="B11754" t="str">
            <v>T1230</v>
          </cell>
          <cell r="C11754" t="str">
            <v>ซาติน แขนสั้นขายาว สิงห์โต ช้าง ยีราฟ พื้นขาว ปกเขียว M (กปก)</v>
          </cell>
          <cell r="E11754">
            <v>0</v>
          </cell>
          <cell r="F11754">
            <v>890</v>
          </cell>
        </row>
        <row r="11755">
          <cell r="A11755" t="str">
            <v>ST1230-XL</v>
          </cell>
          <cell r="B11755" t="str">
            <v>T1230</v>
          </cell>
          <cell r="C11755" t="str">
            <v>ซาติน แขนสั้นขายาว สิงห์โต ช้าง ยีราฟ พื้นขาว ปกเขียว XL (กปก)</v>
          </cell>
          <cell r="E11755">
            <v>0</v>
          </cell>
          <cell r="F11755">
            <v>890</v>
          </cell>
        </row>
        <row r="11756">
          <cell r="A11756" t="str">
            <v>ST1231-2XL</v>
          </cell>
          <cell r="B11756" t="str">
            <v>T1231</v>
          </cell>
          <cell r="C11756" t="str">
            <v>ซาติน แขนสั้นขายาว 12 ราศี พาสเทล ปกม่วงพาสเทล 2XL (กปก)</v>
          </cell>
          <cell r="E11756">
            <v>0</v>
          </cell>
          <cell r="F11756">
            <v>890</v>
          </cell>
        </row>
        <row r="11757">
          <cell r="A11757" t="str">
            <v>ST1231-3XL</v>
          </cell>
          <cell r="B11757" t="str">
            <v>T1231</v>
          </cell>
          <cell r="C11757" t="str">
            <v>ซาติน แขนสั้นขายาว 12 ราศี พาสเทล ปกม่วงพาสเทล 3XL (กปก)</v>
          </cell>
          <cell r="E11757">
            <v>0</v>
          </cell>
          <cell r="F11757">
            <v>890</v>
          </cell>
        </row>
        <row r="11758">
          <cell r="A11758" t="str">
            <v>ST1231-L</v>
          </cell>
          <cell r="B11758" t="str">
            <v>T1231</v>
          </cell>
          <cell r="C11758" t="str">
            <v>ซาติน แขนสั้นขายาว 12 ราศี พาสเทล ปกม่วงพาสเทล L (กปก)</v>
          </cell>
          <cell r="E11758">
            <v>0</v>
          </cell>
          <cell r="F11758">
            <v>890</v>
          </cell>
        </row>
        <row r="11759">
          <cell r="A11759" t="str">
            <v>ST1231-M</v>
          </cell>
          <cell r="B11759" t="str">
            <v>T1231</v>
          </cell>
          <cell r="C11759" t="str">
            <v>ซาติน แขนสั้นขายาว 12 ราศี พาสเทล ปกม่วงพาสเทล M (กปก)</v>
          </cell>
          <cell r="E11759">
            <v>0</v>
          </cell>
          <cell r="F11759">
            <v>890</v>
          </cell>
        </row>
        <row r="11760">
          <cell r="A11760" t="str">
            <v>ST1231-XL</v>
          </cell>
          <cell r="B11760" t="str">
            <v>T1231</v>
          </cell>
          <cell r="C11760" t="str">
            <v>ซาติน แขนสั้นขายาว 12 ราศี พาสเทล ปกม่วงพาสเทล XL (กปก)</v>
          </cell>
          <cell r="E11760">
            <v>0</v>
          </cell>
          <cell r="F11760">
            <v>890</v>
          </cell>
        </row>
        <row r="11761">
          <cell r="A11761" t="str">
            <v>ST1232-2XL</v>
          </cell>
          <cell r="B11761" t="str">
            <v>T1232</v>
          </cell>
          <cell r="C11761" t="str">
            <v>ซาติน แขนสั้นขายาว น้องแกะ พื้นครีม ขอบเขียว 2XL (กปก)</v>
          </cell>
          <cell r="E11761">
            <v>0</v>
          </cell>
          <cell r="F11761">
            <v>890</v>
          </cell>
        </row>
        <row r="11762">
          <cell r="A11762" t="str">
            <v>ST1232-3XL</v>
          </cell>
          <cell r="B11762" t="str">
            <v>QT1232</v>
          </cell>
          <cell r="C11762" t="str">
            <v>ซาติน แขนสั้นขายาว น้องแกะ พื้นครีม ขอบเขียว 3XL (กปก) QC</v>
          </cell>
          <cell r="E11762">
            <v>0</v>
          </cell>
          <cell r="F11762">
            <v>890</v>
          </cell>
        </row>
        <row r="11763">
          <cell r="A11763" t="str">
            <v>ST1232-L</v>
          </cell>
          <cell r="B11763" t="str">
            <v>QT1232</v>
          </cell>
          <cell r="C11763" t="str">
            <v>ซาติน แขนสั้นขายาว น้องแกะ พื้นครีม ขอบเขียว L (กปก) QC</v>
          </cell>
          <cell r="E11763">
            <v>0</v>
          </cell>
          <cell r="F11763">
            <v>890</v>
          </cell>
        </row>
        <row r="11764">
          <cell r="A11764" t="str">
            <v>ST1232-M</v>
          </cell>
          <cell r="B11764" t="str">
            <v>QT1232</v>
          </cell>
          <cell r="C11764" t="str">
            <v>ซาติน แขนสั้นขายาว น้องแกะ พื้นครีม ขอบเขียว M (กปก) QC</v>
          </cell>
          <cell r="E11764">
            <v>0</v>
          </cell>
          <cell r="F11764">
            <v>890</v>
          </cell>
        </row>
        <row r="11765">
          <cell r="A11765" t="str">
            <v>ST1232-XL</v>
          </cell>
          <cell r="B11765" t="str">
            <v>QT1232</v>
          </cell>
          <cell r="C11765" t="str">
            <v>ซาติน แขนสั้นขายาว น้องแกะ พื้นครีม ขอบเขียว XL (กปก) QC</v>
          </cell>
          <cell r="E11765">
            <v>0</v>
          </cell>
          <cell r="F11765">
            <v>890</v>
          </cell>
        </row>
        <row r="11766">
          <cell r="A11766" t="str">
            <v>ST1234-2XL</v>
          </cell>
          <cell r="B11766" t="str">
            <v>T1234</v>
          </cell>
          <cell r="C11766" t="str">
            <v>ซาติน แขนสั้นขายาว หนูน้อย sweet dream 2XL (กปก)</v>
          </cell>
          <cell r="E11766">
            <v>0</v>
          </cell>
          <cell r="F11766">
            <v>890</v>
          </cell>
        </row>
        <row r="11767">
          <cell r="A11767" t="str">
            <v>ST1234-3XL</v>
          </cell>
          <cell r="B11767" t="str">
            <v>T1234</v>
          </cell>
          <cell r="C11767" t="str">
            <v>ซาติน แขนสั้นขายาว หนูน้อย sweet dream 3XL (กปก)</v>
          </cell>
          <cell r="E11767">
            <v>0</v>
          </cell>
          <cell r="F11767">
            <v>890</v>
          </cell>
        </row>
        <row r="11768">
          <cell r="A11768" t="str">
            <v>ST1234-L</v>
          </cell>
          <cell r="B11768" t="str">
            <v>T1234</v>
          </cell>
          <cell r="C11768" t="str">
            <v>ซาติน แขนสั้นขายาว หนูน้อย sweet dream L (กปก)</v>
          </cell>
          <cell r="E11768">
            <v>0</v>
          </cell>
          <cell r="F11768">
            <v>890</v>
          </cell>
        </row>
        <row r="11769">
          <cell r="A11769" t="str">
            <v>ST1234-M</v>
          </cell>
          <cell r="B11769" t="str">
            <v>T1234</v>
          </cell>
          <cell r="C11769" t="str">
            <v>ซาติน แขนสั้นขายาว หนูน้อย sweet dream M (กปก)</v>
          </cell>
          <cell r="E11769">
            <v>0</v>
          </cell>
          <cell r="F11769">
            <v>890</v>
          </cell>
        </row>
        <row r="11770">
          <cell r="A11770" t="str">
            <v>ST1234-XL</v>
          </cell>
          <cell r="B11770" t="str">
            <v>T1234</v>
          </cell>
          <cell r="C11770" t="str">
            <v>ซาติน แขนสั้นขายาว หนูน้อย sweet dream XL (กปก)</v>
          </cell>
          <cell r="E11770">
            <v>0</v>
          </cell>
          <cell r="F11770">
            <v>890</v>
          </cell>
        </row>
        <row r="11771">
          <cell r="A11771" t="str">
            <v>ST1235-L</v>
          </cell>
          <cell r="B11771" t="str">
            <v>T1235</v>
          </cell>
          <cell r="C11771" t="str">
            <v>ซาติน แขนสั้นขายาว พาสเทล โทนชมพู (กปก) L</v>
          </cell>
          <cell r="E11771">
            <v>0</v>
          </cell>
          <cell r="F11771">
            <v>890</v>
          </cell>
        </row>
        <row r="11772">
          <cell r="A11772" t="str">
            <v>ST1235-M</v>
          </cell>
          <cell r="B11772" t="str">
            <v>T1235</v>
          </cell>
          <cell r="C11772" t="str">
            <v>ซาติน แขนสั้นขายาว พาสเทล โทนชมพู (กปก) M</v>
          </cell>
          <cell r="E11772">
            <v>0</v>
          </cell>
          <cell r="F11772">
            <v>890</v>
          </cell>
        </row>
        <row r="11773">
          <cell r="A11773" t="str">
            <v>ST1235-XL</v>
          </cell>
          <cell r="B11773" t="str">
            <v>QT1235</v>
          </cell>
          <cell r="C11773" t="str">
            <v>ซาติน แขนสั้นขายาว พาสเทล โทนชมพู (กปก) XL QC</v>
          </cell>
          <cell r="E11773">
            <v>0</v>
          </cell>
          <cell r="F11773">
            <v>890</v>
          </cell>
        </row>
        <row r="11774">
          <cell r="A11774" t="str">
            <v>ST1236-F</v>
          </cell>
          <cell r="B11774" t="str">
            <v>T1236</v>
          </cell>
          <cell r="C11774" t="str">
            <v>cotton silk แขนสั้นขายาว Shinchan Peach F</v>
          </cell>
          <cell r="E11774">
            <v>1</v>
          </cell>
          <cell r="F11774">
            <v>990</v>
          </cell>
        </row>
        <row r="11775">
          <cell r="A11775" t="str">
            <v>ST1237-F</v>
          </cell>
          <cell r="B11775" t="str">
            <v>T1237</v>
          </cell>
          <cell r="C11775" t="str">
            <v>cotton silk แขนสั้นขายาว Shinchan Blueberry F</v>
          </cell>
          <cell r="E11775">
            <v>1</v>
          </cell>
          <cell r="F11775">
            <v>990</v>
          </cell>
        </row>
        <row r="11776">
          <cell r="A11776" t="str">
            <v>ST1238-F</v>
          </cell>
          <cell r="B11776" t="str">
            <v>T1238</v>
          </cell>
          <cell r="C11776" t="str">
            <v>cotton silk แขนสั้นขายาว Shinchan Grape F</v>
          </cell>
          <cell r="E11776">
            <v>10</v>
          </cell>
          <cell r="F11776">
            <v>990</v>
          </cell>
        </row>
        <row r="11777">
          <cell r="A11777" t="str">
            <v>ST1240-F</v>
          </cell>
          <cell r="B11777" t="str">
            <v>T1240</v>
          </cell>
          <cell r="C11777" t="str">
            <v>แขนสั้นขายาว KAKAO ชมพูเหลือง พื้นฟ้า (กปก) F</v>
          </cell>
          <cell r="E11777">
            <v>7</v>
          </cell>
          <cell r="F11777">
            <v>1390</v>
          </cell>
        </row>
        <row r="11778">
          <cell r="A11778" t="str">
            <v>ST1241-F</v>
          </cell>
          <cell r="B11778" t="str">
            <v>T1241</v>
          </cell>
          <cell r="C11778" t="str">
            <v>แขนสั้นขายาว KAKAO ไรอัน มูซี เหลือง พื้นโอรส (กปก) F</v>
          </cell>
          <cell r="E11778">
            <v>6</v>
          </cell>
          <cell r="F11778">
            <v>1390</v>
          </cell>
        </row>
        <row r="11779">
          <cell r="A11779" t="str">
            <v>ST1242-F</v>
          </cell>
          <cell r="B11779" t="str">
            <v>T1242</v>
          </cell>
          <cell r="C11779" t="str">
            <v>แขนสั้นขายาว KAKAO ไรอัน มูซี เหลืองพื้นฟ้า (กปก) F</v>
          </cell>
          <cell r="E11779">
            <v>7</v>
          </cell>
          <cell r="F11779">
            <v>1390</v>
          </cell>
        </row>
        <row r="11780">
          <cell r="A11780" t="str">
            <v>ST1243-F</v>
          </cell>
          <cell r="B11780" t="str">
            <v>T1243</v>
          </cell>
          <cell r="C11780" t="str">
            <v>แขนสั้นขายาว KAKAO ไรอัน เอพีช เหลืองพื้นชมพู (กปก) F</v>
          </cell>
          <cell r="E11780">
            <v>6</v>
          </cell>
          <cell r="F11780">
            <v>1390</v>
          </cell>
        </row>
        <row r="11781">
          <cell r="A11781" t="str">
            <v>ST2001-2XL</v>
          </cell>
          <cell r="B11781" t="str">
            <v>T2001</v>
          </cell>
          <cell r="C11781" t="str">
            <v>ซาติน แขนสั้นขายาว Pewter Kitten (กปก) 2XL</v>
          </cell>
          <cell r="E11781">
            <v>1</v>
          </cell>
          <cell r="F11781">
            <v>990</v>
          </cell>
        </row>
        <row r="11782">
          <cell r="A11782" t="str">
            <v>ST2001-3XL</v>
          </cell>
          <cell r="B11782" t="str">
            <v>QT2001</v>
          </cell>
          <cell r="C11782" t="str">
            <v>ซาติน แขนสั้นขายาว Pewter Kitten (กปก) 3XL QC</v>
          </cell>
          <cell r="E11782">
            <v>0</v>
          </cell>
          <cell r="F11782">
            <v>990</v>
          </cell>
        </row>
        <row r="11783">
          <cell r="A11783" t="str">
            <v>ST2001-L</v>
          </cell>
          <cell r="B11783" t="str">
            <v>T2001</v>
          </cell>
          <cell r="C11783" t="str">
            <v>ซาติน แขนสั้นขายาว Pewter Kitten (กปก) L</v>
          </cell>
          <cell r="E11783">
            <v>1</v>
          </cell>
          <cell r="F11783">
            <v>990</v>
          </cell>
        </row>
        <row r="11784">
          <cell r="A11784" t="str">
            <v>ST2001-M</v>
          </cell>
          <cell r="B11784" t="str">
            <v>T2001</v>
          </cell>
          <cell r="C11784" t="str">
            <v>ซาติน แขนสั้นขายาว Pewter Kitten (กปก) M</v>
          </cell>
          <cell r="E11784">
            <v>0</v>
          </cell>
          <cell r="F11784">
            <v>990</v>
          </cell>
        </row>
        <row r="11785">
          <cell r="A11785" t="str">
            <v>ST2001-XL</v>
          </cell>
          <cell r="B11785" t="str">
            <v>T2001</v>
          </cell>
          <cell r="C11785" t="str">
            <v>ซาติน แขนสั้นขายาว Pewter Kitten (กปก) XL</v>
          </cell>
          <cell r="E11785">
            <v>5</v>
          </cell>
          <cell r="F11785">
            <v>990</v>
          </cell>
        </row>
        <row r="11786">
          <cell r="A11786" t="str">
            <v>ST2002-2XL</v>
          </cell>
          <cell r="B11786" t="str">
            <v>QT2002</v>
          </cell>
          <cell r="C11786" t="str">
            <v>ซาติน แขนสั้นขายาว ไพ่ทาโร่ พื้นชมพู ปกเหลือง 2XL (กปก) QC</v>
          </cell>
          <cell r="E11786">
            <v>0</v>
          </cell>
          <cell r="F11786">
            <v>890</v>
          </cell>
        </row>
        <row r="11787">
          <cell r="A11787" t="str">
            <v>ST2002-3XL</v>
          </cell>
          <cell r="B11787" t="str">
            <v>QT2002</v>
          </cell>
          <cell r="C11787" t="str">
            <v>ซาติน แขนสั้นขายาว ไพ่ทาโร่ พื้นชมพู ปกเหลือง 3XL (กปก) QC</v>
          </cell>
          <cell r="E11787">
            <v>0</v>
          </cell>
          <cell r="F11787">
            <v>890</v>
          </cell>
        </row>
        <row r="11788">
          <cell r="A11788" t="str">
            <v>ST2002-L</v>
          </cell>
          <cell r="B11788" t="str">
            <v>T2002</v>
          </cell>
          <cell r="C11788" t="str">
            <v>ซาติน แขนสั้นขายาว ไพ่ทาโร่ พื้นชมพู ปกเหลือง L (กปก)</v>
          </cell>
          <cell r="E11788">
            <v>0</v>
          </cell>
          <cell r="F11788">
            <v>890</v>
          </cell>
        </row>
        <row r="11789">
          <cell r="A11789" t="str">
            <v>ST2002-M</v>
          </cell>
          <cell r="B11789" t="str">
            <v>T2002</v>
          </cell>
          <cell r="C11789" t="str">
            <v>ซาติน แขนสั้นขายาว ไพ่ทาโร่ พื้นชมพู ปกเหลือง M (กปก)</v>
          </cell>
          <cell r="E11789">
            <v>0</v>
          </cell>
          <cell r="F11789">
            <v>890</v>
          </cell>
        </row>
        <row r="11790">
          <cell r="A11790" t="str">
            <v>ST2002-XL</v>
          </cell>
          <cell r="B11790" t="str">
            <v>T2002</v>
          </cell>
          <cell r="C11790" t="str">
            <v>ซาติน แขนสั้นขายาว ไพ่ทาโร่ พื้นชมพู ปกเหลือง XL (กปก)</v>
          </cell>
          <cell r="E11790">
            <v>0</v>
          </cell>
          <cell r="F11790">
            <v>890</v>
          </cell>
        </row>
        <row r="11791">
          <cell r="A11791" t="str">
            <v>ST2003-2XL</v>
          </cell>
          <cell r="B11791" t="str">
            <v>T2003</v>
          </cell>
          <cell r="C11791" t="str">
            <v>ซาติน แขนสั้นขายาว sun and moon smile ขอบดำ 2XL (กปก)</v>
          </cell>
          <cell r="E11791">
            <v>0</v>
          </cell>
          <cell r="F11791">
            <v>990</v>
          </cell>
        </row>
        <row r="11792">
          <cell r="A11792" t="str">
            <v>ST2003-3XL</v>
          </cell>
          <cell r="B11792" t="str">
            <v>T2003</v>
          </cell>
          <cell r="C11792" t="str">
            <v>ซาติน แขนสั้นขายาว sun and moon smile ขอบดำ 3XL (กปก)</v>
          </cell>
          <cell r="E11792">
            <v>0</v>
          </cell>
          <cell r="F11792">
            <v>990</v>
          </cell>
        </row>
        <row r="11793">
          <cell r="A11793" t="str">
            <v>ST2003-L</v>
          </cell>
          <cell r="B11793" t="str">
            <v>T2003</v>
          </cell>
          <cell r="C11793" t="str">
            <v>ซาติน แขนสั้นขายาว sun and moon smile ขอบดำ L (กปก)</v>
          </cell>
          <cell r="E11793">
            <v>0</v>
          </cell>
          <cell r="F11793">
            <v>990</v>
          </cell>
        </row>
        <row r="11794">
          <cell r="A11794" t="str">
            <v>ST2003-M</v>
          </cell>
          <cell r="B11794" t="str">
            <v>QT2003</v>
          </cell>
          <cell r="C11794" t="str">
            <v>ซาติน แขนสั้นขายาว sun and moon smile ขอบดำ M (กปก) QC</v>
          </cell>
          <cell r="E11794">
            <v>0</v>
          </cell>
          <cell r="F11794">
            <v>990</v>
          </cell>
        </row>
        <row r="11795">
          <cell r="A11795" t="str">
            <v>ST2003-XL</v>
          </cell>
          <cell r="B11795" t="str">
            <v>T2003</v>
          </cell>
          <cell r="C11795" t="str">
            <v>ซาติน แขนสั้นขายาว sun and moon smile ขอบดำ XL (กปก)</v>
          </cell>
          <cell r="E11795">
            <v>0</v>
          </cell>
          <cell r="F11795">
            <v>990</v>
          </cell>
        </row>
        <row r="11796">
          <cell r="A11796" t="str">
            <v>ST2004-2XL</v>
          </cell>
          <cell r="B11796" t="str">
            <v>T2004</v>
          </cell>
          <cell r="C11796" t="str">
            <v>ซาติน แขนสั้นขายาว Ivory Bohemian 2XL (กปก)</v>
          </cell>
          <cell r="E11796">
            <v>5</v>
          </cell>
          <cell r="F11796">
            <v>990</v>
          </cell>
        </row>
        <row r="11797">
          <cell r="A11797" t="str">
            <v>ST2004-3XL</v>
          </cell>
          <cell r="B11797" t="str">
            <v>T2004</v>
          </cell>
          <cell r="C11797" t="str">
            <v>ซาติน แขนสั้นขายาว Ivory Bohemian 3XL (กปก)</v>
          </cell>
          <cell r="E11797">
            <v>0</v>
          </cell>
          <cell r="F11797">
            <v>990</v>
          </cell>
        </row>
        <row r="11798">
          <cell r="A11798" t="str">
            <v>ST2004-L</v>
          </cell>
          <cell r="B11798" t="str">
            <v>QT2004</v>
          </cell>
          <cell r="C11798" t="str">
            <v>ซาติน แขนสั้นขายาว Ivory Bohemian L (กปก) QC</v>
          </cell>
          <cell r="E11798">
            <v>0</v>
          </cell>
          <cell r="F11798">
            <v>990</v>
          </cell>
        </row>
        <row r="11799">
          <cell r="A11799" t="str">
            <v>ST2004-M</v>
          </cell>
          <cell r="B11799" t="str">
            <v>T2004</v>
          </cell>
          <cell r="C11799" t="str">
            <v>ซาติน แขนสั้นขายาว Ivory Bohemian M (กปก)</v>
          </cell>
          <cell r="E11799">
            <v>0</v>
          </cell>
          <cell r="F11799">
            <v>990</v>
          </cell>
        </row>
        <row r="11800">
          <cell r="A11800" t="str">
            <v>ST2004-XL</v>
          </cell>
          <cell r="B11800" t="str">
            <v>T2004</v>
          </cell>
          <cell r="C11800" t="str">
            <v>ซาติน แขนสั้นขายาว Ivory Bohemian XL (กปก)</v>
          </cell>
          <cell r="E11800">
            <v>0</v>
          </cell>
          <cell r="F11800">
            <v>990</v>
          </cell>
        </row>
        <row r="11801">
          <cell r="A11801" t="str">
            <v>ST2005-2XL</v>
          </cell>
          <cell r="B11801" t="str">
            <v>QT2005</v>
          </cell>
          <cell r="C11801" t="str">
            <v>ซาติน แขนสั้นขายาว Jungle Bestfriend 2XL (กปก) QC</v>
          </cell>
          <cell r="E11801">
            <v>0</v>
          </cell>
          <cell r="F11801">
            <v>990</v>
          </cell>
        </row>
        <row r="11802">
          <cell r="A11802" t="str">
            <v>ST2005-3XL</v>
          </cell>
          <cell r="B11802" t="str">
            <v>QT2005</v>
          </cell>
          <cell r="C11802" t="str">
            <v>ซาติน แขนสั้นขายาว Jungle Bestfriend 3XL (กปก) QC</v>
          </cell>
          <cell r="E11802">
            <v>0</v>
          </cell>
          <cell r="F11802">
            <v>990</v>
          </cell>
        </row>
        <row r="11803">
          <cell r="A11803" t="str">
            <v>ST2005-L</v>
          </cell>
          <cell r="B11803" t="str">
            <v>QT2005</v>
          </cell>
          <cell r="C11803" t="str">
            <v>ซาติน แขนสั้นขายาว Jungle Bestfriend L (กปก) QC</v>
          </cell>
          <cell r="E11803">
            <v>0</v>
          </cell>
          <cell r="F11803">
            <v>990</v>
          </cell>
        </row>
        <row r="11804">
          <cell r="A11804" t="str">
            <v>ST2005-M</v>
          </cell>
          <cell r="B11804" t="str">
            <v>QT2005</v>
          </cell>
          <cell r="C11804" t="str">
            <v>ซาติน แขนสั้นขายาว Jungle Bestfriend M (กปก) QC</v>
          </cell>
          <cell r="E11804">
            <v>0</v>
          </cell>
          <cell r="F11804">
            <v>990</v>
          </cell>
        </row>
        <row r="11805">
          <cell r="A11805" t="str">
            <v>ST2005-XL</v>
          </cell>
          <cell r="B11805" t="str">
            <v>QT2005</v>
          </cell>
          <cell r="C11805" t="str">
            <v>ซาติน แขนสั้นขายาว Jungle Bestfriend XL (กปก) QC</v>
          </cell>
          <cell r="E11805">
            <v>0</v>
          </cell>
          <cell r="F11805">
            <v>990</v>
          </cell>
        </row>
        <row r="11806">
          <cell r="A11806" t="str">
            <v>ST2006-2XL</v>
          </cell>
          <cell r="B11806" t="str">
            <v>T2006</v>
          </cell>
          <cell r="C11806" t="str">
            <v>ซาติน แขนสั้นขายาว ยีราฟ อูฐ นกกระจอกเทศ ปกส้ม 2XL (กปก)</v>
          </cell>
          <cell r="E11806">
            <v>7</v>
          </cell>
          <cell r="F11806">
            <v>890</v>
          </cell>
        </row>
        <row r="11807">
          <cell r="A11807" t="str">
            <v>ST2006-3XL</v>
          </cell>
          <cell r="B11807" t="str">
            <v>T2006</v>
          </cell>
          <cell r="C11807" t="str">
            <v>ซาติน แขนสั้นขายาว ยีราฟ อูฐ นกกระจอกเทศ ปกส้ม 3XL (กปก)</v>
          </cell>
          <cell r="E11807">
            <v>6</v>
          </cell>
          <cell r="F11807">
            <v>890</v>
          </cell>
        </row>
        <row r="11808">
          <cell r="A11808" t="str">
            <v>ST2006-L</v>
          </cell>
          <cell r="B11808" t="str">
            <v>T2006</v>
          </cell>
          <cell r="C11808" t="str">
            <v>ซาติน แขนสั้นขายาว ยีราฟ อูฐ นกกระจอกเทศ ปกส้ม L (กปก)</v>
          </cell>
          <cell r="E11808">
            <v>0</v>
          </cell>
          <cell r="F11808">
            <v>890</v>
          </cell>
        </row>
        <row r="11809">
          <cell r="A11809" t="str">
            <v>ST2006-M</v>
          </cell>
          <cell r="B11809" t="str">
            <v>T2006</v>
          </cell>
          <cell r="C11809" t="str">
            <v>ซาติน แขนสั้นขายาว ยีราฟ อูฐ นกกระจอกเทศ ปกส้ม M (กปก)</v>
          </cell>
          <cell r="E11809">
            <v>0</v>
          </cell>
          <cell r="F11809">
            <v>890</v>
          </cell>
        </row>
        <row r="11810">
          <cell r="A11810" t="str">
            <v>ST2006-XL</v>
          </cell>
          <cell r="B11810" t="str">
            <v>T2006</v>
          </cell>
          <cell r="C11810" t="str">
            <v>ซาติน แขนสั้นขายาว ยีราฟ อูฐ นกกระจอกเทศ ปกส้ม XL (กปก)</v>
          </cell>
          <cell r="E11810">
            <v>6</v>
          </cell>
          <cell r="F11810">
            <v>890</v>
          </cell>
        </row>
        <row r="11811">
          <cell r="A11811" t="str">
            <v>ST2007-2XL</v>
          </cell>
          <cell r="B11811" t="str">
            <v>T2007</v>
          </cell>
          <cell r="C11811" t="str">
            <v>ซาติน แขนสั้นขายาว women flower forest (กปก) 2XL</v>
          </cell>
          <cell r="E11811">
            <v>0</v>
          </cell>
          <cell r="F11811">
            <v>990</v>
          </cell>
        </row>
        <row r="11812">
          <cell r="A11812" t="str">
            <v>ST2007-3XL</v>
          </cell>
          <cell r="B11812" t="str">
            <v>T2007</v>
          </cell>
          <cell r="C11812" t="str">
            <v>ซาติน แขนสั้นขายาว women flower forest (กปก) 3XL</v>
          </cell>
          <cell r="E11812">
            <v>0</v>
          </cell>
          <cell r="F11812">
            <v>990</v>
          </cell>
        </row>
        <row r="11813">
          <cell r="A11813" t="str">
            <v>ST2007-L</v>
          </cell>
          <cell r="B11813" t="str">
            <v>QT2007</v>
          </cell>
          <cell r="C11813" t="str">
            <v>ซาติน แขนสั้นขายาว women flower forest (กปก) L QC</v>
          </cell>
          <cell r="E11813">
            <v>0</v>
          </cell>
          <cell r="F11813">
            <v>990</v>
          </cell>
        </row>
        <row r="11814">
          <cell r="A11814" t="str">
            <v>ST2007-M</v>
          </cell>
          <cell r="B11814" t="str">
            <v>QT2007</v>
          </cell>
          <cell r="C11814" t="str">
            <v>ซาติน แขนสั้นขายาว women flower forest (กปก) M QC</v>
          </cell>
          <cell r="E11814">
            <v>0</v>
          </cell>
          <cell r="F11814">
            <v>990</v>
          </cell>
        </row>
        <row r="11815">
          <cell r="A11815" t="str">
            <v>ST2007-XL</v>
          </cell>
          <cell r="B11815" t="str">
            <v>T2007</v>
          </cell>
          <cell r="C11815" t="str">
            <v>ซาติน แขนสั้นขายาว women flower forest (กปก) XL</v>
          </cell>
          <cell r="E11815">
            <v>0</v>
          </cell>
          <cell r="F11815">
            <v>990</v>
          </cell>
        </row>
        <row r="11816">
          <cell r="A11816" t="str">
            <v>ST2008-2XL</v>
          </cell>
          <cell r="B11816" t="str">
            <v>T2008</v>
          </cell>
          <cell r="C11816" t="str">
            <v>ซาติน แขนสั้นขายาว Portrait Tangerine 2XL  (กปก)</v>
          </cell>
          <cell r="E11816">
            <v>0</v>
          </cell>
          <cell r="F11816">
            <v>890</v>
          </cell>
        </row>
        <row r="11817">
          <cell r="A11817" t="str">
            <v>ST2008-3XL</v>
          </cell>
          <cell r="B11817" t="str">
            <v>T2008</v>
          </cell>
          <cell r="C11817" t="str">
            <v>ซาติน แขนสั้นขายาว Portrait Tangerine 3XL  (กปก)</v>
          </cell>
          <cell r="E11817">
            <v>0</v>
          </cell>
          <cell r="F11817">
            <v>890</v>
          </cell>
        </row>
        <row r="11818">
          <cell r="A11818" t="str">
            <v>ST2008-L</v>
          </cell>
          <cell r="B11818" t="str">
            <v>T2008</v>
          </cell>
          <cell r="C11818" t="str">
            <v>ซาติน แขนสั้นขายาว Portrait Tangerine L (กปก)</v>
          </cell>
          <cell r="E11818">
            <v>0</v>
          </cell>
          <cell r="F11818">
            <v>890</v>
          </cell>
        </row>
        <row r="11819">
          <cell r="A11819" t="str">
            <v>ST2008-M</v>
          </cell>
          <cell r="B11819" t="str">
            <v>T2008</v>
          </cell>
          <cell r="C11819" t="str">
            <v>ซาติน แขนสั้นขายาว Portrait Tangerine M (กปก)</v>
          </cell>
          <cell r="E11819">
            <v>0</v>
          </cell>
          <cell r="F11819">
            <v>890</v>
          </cell>
        </row>
        <row r="11820">
          <cell r="A11820" t="str">
            <v>ST2008-XL</v>
          </cell>
          <cell r="B11820" t="str">
            <v>QT2008</v>
          </cell>
          <cell r="C11820" t="str">
            <v>ซาติน แขนสั้นขายาว Portrait Tangerine XL (กปก) QC</v>
          </cell>
          <cell r="E11820">
            <v>0</v>
          </cell>
          <cell r="F11820">
            <v>890</v>
          </cell>
        </row>
        <row r="11821">
          <cell r="A11821" t="str">
            <v>ST2010-2XL</v>
          </cell>
          <cell r="B11821" t="str">
            <v>T2010</v>
          </cell>
          <cell r="C11821" t="str">
            <v>ซาติน แขนสั้นขายาว Liliana Bloom (กปก) 2XL</v>
          </cell>
          <cell r="E11821">
            <v>8</v>
          </cell>
          <cell r="F11821">
            <v>990</v>
          </cell>
        </row>
        <row r="11822">
          <cell r="A11822" t="str">
            <v>ST2010-3XL</v>
          </cell>
          <cell r="B11822" t="str">
            <v>T2010</v>
          </cell>
          <cell r="C11822" t="str">
            <v>ซาติน แขนสั้นขายาว Liliana Bloom (กปก) 3XL</v>
          </cell>
          <cell r="E11822">
            <v>5</v>
          </cell>
          <cell r="F11822">
            <v>990</v>
          </cell>
        </row>
        <row r="11823">
          <cell r="A11823" t="str">
            <v>ST2010-L</v>
          </cell>
          <cell r="B11823" t="str">
            <v>T2010</v>
          </cell>
          <cell r="C11823" t="str">
            <v>ซาติน แขนสั้นขายาว Liliana Bloom (กปก) L</v>
          </cell>
          <cell r="E11823">
            <v>0</v>
          </cell>
          <cell r="F11823">
            <v>990</v>
          </cell>
        </row>
        <row r="11824">
          <cell r="A11824" t="str">
            <v>ST2010-M</v>
          </cell>
          <cell r="B11824" t="str">
            <v>T2010</v>
          </cell>
          <cell r="C11824" t="str">
            <v>ซาติน แขนสั้นขายาว Liliana Bloom (กปก) M</v>
          </cell>
          <cell r="E11824">
            <v>0</v>
          </cell>
          <cell r="F11824">
            <v>990</v>
          </cell>
        </row>
        <row r="11825">
          <cell r="A11825" t="str">
            <v>ST2010-XL</v>
          </cell>
          <cell r="B11825" t="str">
            <v>T2010</v>
          </cell>
          <cell r="C11825" t="str">
            <v>ซาติน แขนสั้นขายาว Liliana Bloom (กปก) XL</v>
          </cell>
          <cell r="E11825">
            <v>0</v>
          </cell>
          <cell r="F11825">
            <v>990</v>
          </cell>
        </row>
        <row r="11826">
          <cell r="A11826" t="str">
            <v>ST2012-2XL</v>
          </cell>
          <cell r="B11826" t="str">
            <v>T2012</v>
          </cell>
          <cell r="C11826" t="str">
            <v>ซาติน แขนสั้นขายาว Falls Field (กปก) 2XL</v>
          </cell>
          <cell r="E11826">
            <v>0</v>
          </cell>
          <cell r="F11826">
            <v>990</v>
          </cell>
        </row>
        <row r="11827">
          <cell r="A11827" t="str">
            <v>ST2012-3XL</v>
          </cell>
          <cell r="B11827" t="str">
            <v>T2012</v>
          </cell>
          <cell r="C11827" t="str">
            <v>ซาติน แขนสั้นขายาว Falls Field (กปก) 3XL</v>
          </cell>
          <cell r="E11827">
            <v>0</v>
          </cell>
          <cell r="F11827">
            <v>990</v>
          </cell>
        </row>
        <row r="11828">
          <cell r="A11828" t="str">
            <v>ST2012-L</v>
          </cell>
          <cell r="B11828" t="str">
            <v>T2012</v>
          </cell>
          <cell r="C11828" t="str">
            <v>ซาติน แขนสั้นขายาว Falls Field (กปก) L</v>
          </cell>
          <cell r="E11828">
            <v>0</v>
          </cell>
          <cell r="F11828">
            <v>990</v>
          </cell>
        </row>
        <row r="11829">
          <cell r="A11829" t="str">
            <v>ST2012-M</v>
          </cell>
          <cell r="B11829" t="str">
            <v>T2012</v>
          </cell>
          <cell r="C11829" t="str">
            <v>ซาติน แขนสั้นขายาว Falls Field (กปก) M</v>
          </cell>
          <cell r="E11829">
            <v>0</v>
          </cell>
          <cell r="F11829">
            <v>990</v>
          </cell>
        </row>
        <row r="11830">
          <cell r="A11830" t="str">
            <v>ST2012-XL</v>
          </cell>
          <cell r="B11830" t="str">
            <v>T2012</v>
          </cell>
          <cell r="C11830" t="str">
            <v>ซาติน แขนสั้นขายาว Falls Field (กปก) XL</v>
          </cell>
          <cell r="E11830">
            <v>0</v>
          </cell>
          <cell r="F11830">
            <v>990</v>
          </cell>
        </row>
        <row r="11831">
          <cell r="A11831" t="str">
            <v>ST2013-2XL</v>
          </cell>
          <cell r="B11831" t="str">
            <v>QT2013</v>
          </cell>
          <cell r="C11831" t="str">
            <v>ซาติน แขนสั้นขายาว Exotic Fruits (กปก) 2XL QC</v>
          </cell>
          <cell r="E11831">
            <v>0</v>
          </cell>
          <cell r="F11831">
            <v>990</v>
          </cell>
        </row>
        <row r="11832">
          <cell r="A11832" t="str">
            <v>ST2013-3XL</v>
          </cell>
          <cell r="B11832" t="str">
            <v>QT2013</v>
          </cell>
          <cell r="C11832" t="str">
            <v>ซาติน แขนสั้นขายาว Exotic Fruits (กปก) 3XL QC</v>
          </cell>
          <cell r="E11832">
            <v>0</v>
          </cell>
          <cell r="F11832">
            <v>990</v>
          </cell>
        </row>
        <row r="11833">
          <cell r="A11833" t="str">
            <v>ST2013-L</v>
          </cell>
          <cell r="B11833" t="str">
            <v>QT2013</v>
          </cell>
          <cell r="C11833" t="str">
            <v>ซาติน แขนสั้นขายาว Exotic Fruits (กปก) L QC</v>
          </cell>
          <cell r="E11833">
            <v>0</v>
          </cell>
          <cell r="F11833">
            <v>990</v>
          </cell>
        </row>
        <row r="11834">
          <cell r="A11834" t="str">
            <v>ST2013-M</v>
          </cell>
          <cell r="B11834" t="str">
            <v>QT2013</v>
          </cell>
          <cell r="C11834" t="str">
            <v>ซาติน แขนสั้นขายาว Exotic Fruits (กปก) M QC</v>
          </cell>
          <cell r="E11834">
            <v>0</v>
          </cell>
          <cell r="F11834">
            <v>990</v>
          </cell>
        </row>
        <row r="11835">
          <cell r="A11835" t="str">
            <v>ST2013-XL</v>
          </cell>
          <cell r="B11835" t="str">
            <v>QT2013</v>
          </cell>
          <cell r="C11835" t="str">
            <v>ซาติน แขนสั้นขายาว Exotic Fruits (กปก) XL QC</v>
          </cell>
          <cell r="E11835">
            <v>0</v>
          </cell>
          <cell r="F11835">
            <v>990</v>
          </cell>
        </row>
        <row r="11836">
          <cell r="A11836" t="str">
            <v>ST2014-2XL</v>
          </cell>
          <cell r="B11836" t="str">
            <v>T2014</v>
          </cell>
          <cell r="C11836" t="str">
            <v>ซาติน แขนสั้นขายาว Bhutan Peace (กปก) 2XL</v>
          </cell>
          <cell r="E11836">
            <v>2</v>
          </cell>
          <cell r="F11836">
            <v>990</v>
          </cell>
        </row>
        <row r="11837">
          <cell r="A11837" t="str">
            <v>ST2014-3XL</v>
          </cell>
          <cell r="B11837" t="str">
            <v>T2014</v>
          </cell>
          <cell r="C11837" t="str">
            <v>ซาติน แขนสั้นขายาว Bhutan Peace (กปก) 3XL</v>
          </cell>
          <cell r="E11837">
            <v>8</v>
          </cell>
          <cell r="F11837">
            <v>990</v>
          </cell>
        </row>
        <row r="11838">
          <cell r="A11838" t="str">
            <v>ST2014-L</v>
          </cell>
          <cell r="B11838" t="str">
            <v>T2014</v>
          </cell>
          <cell r="C11838" t="str">
            <v>ซาติน แขนสั้นขายาว Bhutan Peace (กปก) L</v>
          </cell>
          <cell r="E11838">
            <v>0</v>
          </cell>
          <cell r="F11838">
            <v>990</v>
          </cell>
        </row>
        <row r="11839">
          <cell r="A11839" t="str">
            <v>ST2014-M</v>
          </cell>
          <cell r="B11839" t="str">
            <v>T2014</v>
          </cell>
          <cell r="C11839" t="str">
            <v>ซาติน แขนสั้นขายาว Bhutan Peace (กปก) M</v>
          </cell>
          <cell r="E11839">
            <v>0</v>
          </cell>
          <cell r="F11839">
            <v>990</v>
          </cell>
        </row>
        <row r="11840">
          <cell r="A11840" t="str">
            <v>ST2014-XL</v>
          </cell>
          <cell r="B11840" t="str">
            <v>T2014</v>
          </cell>
          <cell r="C11840" t="str">
            <v>ซาติน แขนสั้นขายาว Bhutan Peace (กปก) XL</v>
          </cell>
          <cell r="E11840">
            <v>0</v>
          </cell>
          <cell r="F11840">
            <v>990</v>
          </cell>
        </row>
        <row r="11841">
          <cell r="A11841" t="str">
            <v>ST2015-2XL</v>
          </cell>
          <cell r="B11841" t="str">
            <v>T2015</v>
          </cell>
          <cell r="C11841" t="str">
            <v>ซาติน แขนสั้นขายาว zoo tropical ขอบแดง 2XL (กปก)</v>
          </cell>
          <cell r="E11841">
            <v>5</v>
          </cell>
          <cell r="F11841">
            <v>890</v>
          </cell>
        </row>
        <row r="11842">
          <cell r="A11842" t="str">
            <v>ST2015-3XL</v>
          </cell>
          <cell r="B11842" t="str">
            <v>T2015</v>
          </cell>
          <cell r="C11842" t="str">
            <v>ซาติน แขนสั้นขายาว zoo tropical ขอบแดง 3XL (กปก)</v>
          </cell>
          <cell r="E11842">
            <v>0</v>
          </cell>
          <cell r="F11842">
            <v>890</v>
          </cell>
        </row>
        <row r="11843">
          <cell r="A11843" t="str">
            <v>ST2015-L</v>
          </cell>
          <cell r="B11843" t="str">
            <v>T2015</v>
          </cell>
          <cell r="C11843" t="str">
            <v>ซาติน แขนสั้นขายาว zoo tropical ขอบแดง L (กปก)</v>
          </cell>
          <cell r="E11843">
            <v>0</v>
          </cell>
          <cell r="F11843">
            <v>890</v>
          </cell>
        </row>
        <row r="11844">
          <cell r="A11844" t="str">
            <v>ST2015-M</v>
          </cell>
          <cell r="B11844" t="str">
            <v>T2015</v>
          </cell>
          <cell r="C11844" t="str">
            <v>ซาติน แขนสั้นขายาว zoo tropical ขอบแดง M (กปก)</v>
          </cell>
          <cell r="E11844">
            <v>0</v>
          </cell>
          <cell r="F11844">
            <v>890</v>
          </cell>
        </row>
        <row r="11845">
          <cell r="A11845" t="str">
            <v>ST2015-XL</v>
          </cell>
          <cell r="B11845" t="str">
            <v>T2015</v>
          </cell>
          <cell r="C11845" t="str">
            <v>ซาติน แขนสั้นขายาว zoo tropical ขอบแดง XL (กปก)</v>
          </cell>
          <cell r="E11845">
            <v>0</v>
          </cell>
          <cell r="F11845">
            <v>890</v>
          </cell>
        </row>
        <row r="11846">
          <cell r="A11846" t="str">
            <v>ST2016-2XL</v>
          </cell>
          <cell r="B11846" t="str">
            <v>T2016</v>
          </cell>
          <cell r="C11846" t="str">
            <v>ซาติน แขนสั้นขายาว Sunny Kitty (กปก) 2XL</v>
          </cell>
          <cell r="E11846">
            <v>0</v>
          </cell>
          <cell r="F11846">
            <v>990</v>
          </cell>
        </row>
        <row r="11847">
          <cell r="A11847" t="str">
            <v>ST2016-3XL</v>
          </cell>
          <cell r="B11847" t="str">
            <v>T2016</v>
          </cell>
          <cell r="C11847" t="str">
            <v>ซาติน แขนสั้นขายาว Sunny Kitty (กปก) 3XL</v>
          </cell>
          <cell r="E11847">
            <v>0</v>
          </cell>
          <cell r="F11847">
            <v>990</v>
          </cell>
        </row>
        <row r="11848">
          <cell r="A11848" t="str">
            <v>ST2016-L</v>
          </cell>
          <cell r="B11848" t="str">
            <v>T2016</v>
          </cell>
          <cell r="C11848" t="str">
            <v>ซาติน แขนสั้นขายาว Sunny Kitty (กปก) L</v>
          </cell>
          <cell r="E11848">
            <v>0</v>
          </cell>
          <cell r="F11848">
            <v>890</v>
          </cell>
        </row>
        <row r="11849">
          <cell r="A11849" t="str">
            <v>ST2016-M</v>
          </cell>
          <cell r="B11849" t="str">
            <v>T2016</v>
          </cell>
          <cell r="C11849" t="str">
            <v>ซาติน แขนสั้นขายาว Sunny Kitty (กปก) M</v>
          </cell>
          <cell r="E11849">
            <v>0</v>
          </cell>
          <cell r="F11849">
            <v>990</v>
          </cell>
        </row>
        <row r="11850">
          <cell r="A11850" t="str">
            <v>ST2016-XL</v>
          </cell>
          <cell r="B11850" t="str">
            <v>T2016</v>
          </cell>
          <cell r="C11850" t="str">
            <v>ซาติน แขนสั้นขายาว Sunny Kitty (กปก) XL</v>
          </cell>
          <cell r="E11850">
            <v>0</v>
          </cell>
          <cell r="F11850">
            <v>990</v>
          </cell>
        </row>
        <row r="11851">
          <cell r="A11851" t="str">
            <v>ST2017-2XL</v>
          </cell>
          <cell r="B11851" t="str">
            <v>T2017</v>
          </cell>
          <cell r="C11851" t="str">
            <v>ซาติน แขนสั้นขายาว Ginger Kitty 2XL  (กปก)</v>
          </cell>
          <cell r="E11851">
            <v>3</v>
          </cell>
          <cell r="F11851">
            <v>990</v>
          </cell>
        </row>
        <row r="11852">
          <cell r="A11852" t="str">
            <v>ST2017-3XL</v>
          </cell>
          <cell r="B11852" t="str">
            <v>T2017</v>
          </cell>
          <cell r="C11852" t="str">
            <v>ซาติน แขนสั้นขายาว Ginger Kitty 3XL  (กปก)</v>
          </cell>
          <cell r="E11852">
            <v>0</v>
          </cell>
          <cell r="F11852">
            <v>990</v>
          </cell>
        </row>
        <row r="11853">
          <cell r="A11853" t="str">
            <v>ST2017-L</v>
          </cell>
          <cell r="B11853" t="str">
            <v>QT2017</v>
          </cell>
          <cell r="C11853" t="str">
            <v>ซาติน แขนสั้นขายาว Ginger Kitty L (กปก) QC</v>
          </cell>
          <cell r="E11853">
            <v>0</v>
          </cell>
          <cell r="F11853">
            <v>990</v>
          </cell>
        </row>
        <row r="11854">
          <cell r="A11854" t="str">
            <v>ST2017-M</v>
          </cell>
          <cell r="B11854" t="str">
            <v>QT2017</v>
          </cell>
          <cell r="C11854" t="str">
            <v>ซาติน แขนสั้นขายาว Ginger Kitty M (กปก) QC</v>
          </cell>
          <cell r="E11854">
            <v>0</v>
          </cell>
          <cell r="F11854">
            <v>990</v>
          </cell>
        </row>
        <row r="11855">
          <cell r="A11855" t="str">
            <v>ST2017-XL</v>
          </cell>
          <cell r="B11855" t="str">
            <v>T2017</v>
          </cell>
          <cell r="C11855" t="str">
            <v>ซาติน แขนสั้นขายาว Ginger Kitty XL (กปก)</v>
          </cell>
          <cell r="E11855">
            <v>0</v>
          </cell>
          <cell r="F11855">
            <v>990</v>
          </cell>
        </row>
        <row r="11856">
          <cell r="A11856" t="str">
            <v>ST2018-2XL</v>
          </cell>
          <cell r="B11856" t="str">
            <v>T2018</v>
          </cell>
          <cell r="C11856" t="str">
            <v>ซาติน แขนสั้นขายาว Hansel and Gretel (กปก) 2XL</v>
          </cell>
          <cell r="E11856">
            <v>0</v>
          </cell>
          <cell r="F11856">
            <v>990</v>
          </cell>
        </row>
        <row r="11857">
          <cell r="A11857" t="str">
            <v>ST2018-3XL</v>
          </cell>
          <cell r="B11857" t="str">
            <v>T2018</v>
          </cell>
          <cell r="C11857" t="str">
            <v>ซาติน แขนสั้นขายาว Hansel and Gretel (กปก) 3XL</v>
          </cell>
          <cell r="E11857">
            <v>3</v>
          </cell>
          <cell r="F11857">
            <v>990</v>
          </cell>
        </row>
        <row r="11858">
          <cell r="A11858" t="str">
            <v>ST2018-L</v>
          </cell>
          <cell r="B11858" t="str">
            <v>T2018</v>
          </cell>
          <cell r="C11858" t="str">
            <v>ซาติน แขนสั้นขายาว Hansel and Gretel (กปก) L</v>
          </cell>
          <cell r="E11858">
            <v>0</v>
          </cell>
          <cell r="F11858">
            <v>990</v>
          </cell>
        </row>
        <row r="11859">
          <cell r="A11859" t="str">
            <v>ST2018-M</v>
          </cell>
          <cell r="B11859" t="str">
            <v>T2018</v>
          </cell>
          <cell r="C11859" t="str">
            <v>ซาติน แขนสั้นขายาว Hansel and Gretel (กปก) M</v>
          </cell>
          <cell r="E11859">
            <v>0</v>
          </cell>
          <cell r="F11859">
            <v>990</v>
          </cell>
        </row>
        <row r="11860">
          <cell r="A11860" t="str">
            <v>ST2018-XL</v>
          </cell>
          <cell r="B11860" t="str">
            <v>T2018</v>
          </cell>
          <cell r="C11860" t="str">
            <v>ซาติน แขนสั้นขายาว Hansel and Gretel (กปก) XL</v>
          </cell>
          <cell r="E11860">
            <v>0</v>
          </cell>
          <cell r="F11860">
            <v>990</v>
          </cell>
        </row>
        <row r="11861">
          <cell r="A11861" t="str">
            <v>ST2020-2XL</v>
          </cell>
          <cell r="B11861" t="str">
            <v>T2020</v>
          </cell>
          <cell r="C11861" t="str">
            <v>ซาติน แขนสั้นขายาว Bharata Elephant (มีกปก) 2XL</v>
          </cell>
          <cell r="E11861">
            <v>1</v>
          </cell>
          <cell r="F11861">
            <v>990</v>
          </cell>
        </row>
        <row r="11862">
          <cell r="A11862" t="str">
            <v>ST2020-3XL</v>
          </cell>
          <cell r="B11862" t="str">
            <v>T2020</v>
          </cell>
          <cell r="C11862" t="str">
            <v>ซาติน แขนสั้นขายาว Bharata Elephant (มีกปก) 3XL</v>
          </cell>
          <cell r="E11862">
            <v>2</v>
          </cell>
          <cell r="F11862">
            <v>990</v>
          </cell>
        </row>
        <row r="11863">
          <cell r="A11863" t="str">
            <v>ST2020-L</v>
          </cell>
          <cell r="B11863" t="str">
            <v>T2020</v>
          </cell>
          <cell r="C11863" t="str">
            <v>ซาติน แขนสั้นขายาว Bharata Elephant (มีกปก) L</v>
          </cell>
          <cell r="E11863">
            <v>16</v>
          </cell>
          <cell r="F11863">
            <v>990</v>
          </cell>
        </row>
        <row r="11864">
          <cell r="A11864" t="str">
            <v>ST2020-M</v>
          </cell>
          <cell r="B11864" t="str">
            <v>T2020</v>
          </cell>
          <cell r="C11864" t="str">
            <v>ซาติน แขนสั้นขายาว Bharata Elephant (มีกปก) M</v>
          </cell>
          <cell r="E11864">
            <v>13</v>
          </cell>
          <cell r="F11864">
            <v>990</v>
          </cell>
        </row>
        <row r="11865">
          <cell r="A11865" t="str">
            <v>ST2020-XL</v>
          </cell>
          <cell r="B11865" t="str">
            <v>T2020</v>
          </cell>
          <cell r="C11865" t="str">
            <v>ซาติน แขนสั้นขายาว Bharata Elephant (มีกปก) XL</v>
          </cell>
          <cell r="E11865">
            <v>3</v>
          </cell>
          <cell r="F11865">
            <v>990</v>
          </cell>
        </row>
        <row r="11866">
          <cell r="A11866" t="str">
            <v>ST2021-2XL</v>
          </cell>
          <cell r="B11866" t="str">
            <v>T2021</v>
          </cell>
          <cell r="C11866" t="str">
            <v>ซาติน แขนสั้นขายาว Greenery Queen (มีกปก) 2XL</v>
          </cell>
          <cell r="E11866">
            <v>6</v>
          </cell>
          <cell r="F11866">
            <v>990</v>
          </cell>
        </row>
        <row r="11867">
          <cell r="A11867" t="str">
            <v>ST2021-3XL</v>
          </cell>
          <cell r="B11867" t="str">
            <v>T2021</v>
          </cell>
          <cell r="C11867" t="str">
            <v>ซาติน แขนสั้นขายาว Greenery Queen (มีกปก) 3XL</v>
          </cell>
          <cell r="E11867">
            <v>0</v>
          </cell>
          <cell r="F11867">
            <v>990</v>
          </cell>
        </row>
        <row r="11868">
          <cell r="A11868" t="str">
            <v>ST2021-L</v>
          </cell>
          <cell r="B11868" t="str">
            <v>T2021</v>
          </cell>
          <cell r="C11868" t="str">
            <v>ซาติน แขนสั้นขายาว Greenery Queen (มีกปก) L</v>
          </cell>
          <cell r="E11868">
            <v>13</v>
          </cell>
          <cell r="F11868">
            <v>990</v>
          </cell>
        </row>
        <row r="11869">
          <cell r="A11869" t="str">
            <v>ST2021-M</v>
          </cell>
          <cell r="B11869" t="str">
            <v>T2021</v>
          </cell>
          <cell r="C11869" t="str">
            <v>ซาติน แขนสั้นขายาว Greenery Queen (มีกปก) M</v>
          </cell>
          <cell r="E11869">
            <v>1</v>
          </cell>
          <cell r="F11869">
            <v>990</v>
          </cell>
        </row>
        <row r="11870">
          <cell r="A11870" t="str">
            <v>ST2021-XL</v>
          </cell>
          <cell r="B11870" t="str">
            <v>T2021</v>
          </cell>
          <cell r="C11870" t="str">
            <v>ซาติน แขนสั้นขายาว Greenery Queen (มีกปก) XL</v>
          </cell>
          <cell r="E11870">
            <v>4</v>
          </cell>
          <cell r="F11870">
            <v>990</v>
          </cell>
        </row>
        <row r="11871">
          <cell r="A11871" t="str">
            <v>ST2022-2XL</v>
          </cell>
          <cell r="B11871" t="str">
            <v>T2022</v>
          </cell>
          <cell r="C11871" t="str">
            <v>ซาติน แขนสั้นขายาว Crayon Pampas (กปก) 2XL</v>
          </cell>
          <cell r="E11871">
            <v>14</v>
          </cell>
          <cell r="F11871">
            <v>890</v>
          </cell>
        </row>
        <row r="11872">
          <cell r="A11872" t="str">
            <v>ST2022-3XL</v>
          </cell>
          <cell r="B11872" t="str">
            <v>T2022</v>
          </cell>
          <cell r="C11872" t="str">
            <v>ซาติน แขนสั้นขายาว Crayon Pampas (กปก) 3XL</v>
          </cell>
          <cell r="E11872">
            <v>10</v>
          </cell>
          <cell r="F11872">
            <v>890</v>
          </cell>
        </row>
        <row r="11873">
          <cell r="A11873" t="str">
            <v>ST2022-L</v>
          </cell>
          <cell r="B11873" t="str">
            <v>T2022</v>
          </cell>
          <cell r="C11873" t="str">
            <v>ซาติน แขนสั้นขายาว Crayon Pampas (กปก) L</v>
          </cell>
          <cell r="E11873">
            <v>13</v>
          </cell>
          <cell r="F11873">
            <v>890</v>
          </cell>
        </row>
        <row r="11874">
          <cell r="A11874" t="str">
            <v>ST2022-M</v>
          </cell>
          <cell r="B11874" t="str">
            <v>T2022</v>
          </cell>
          <cell r="C11874" t="str">
            <v>ซาติน แขนสั้นขายาว Crayon Pampas (กปก) M</v>
          </cell>
          <cell r="E11874">
            <v>14</v>
          </cell>
          <cell r="F11874">
            <v>890</v>
          </cell>
        </row>
        <row r="11875">
          <cell r="A11875" t="str">
            <v>ST2022-XL</v>
          </cell>
          <cell r="B11875" t="str">
            <v>T2022</v>
          </cell>
          <cell r="C11875" t="str">
            <v>ซาติน แขนสั้นขายาว Crayon Pampas (กปก) XL</v>
          </cell>
          <cell r="E11875">
            <v>13</v>
          </cell>
          <cell r="F11875">
            <v>890</v>
          </cell>
        </row>
        <row r="11876">
          <cell r="A11876" t="str">
            <v>ST2023-2XL</v>
          </cell>
          <cell r="B11876" t="str">
            <v>T2023</v>
          </cell>
          <cell r="C11876" t="str">
            <v>ซาติน แขนสั้นขายาว Ballet Valley (กปก) 2XL</v>
          </cell>
          <cell r="E11876">
            <v>10</v>
          </cell>
          <cell r="F11876">
            <v>990</v>
          </cell>
        </row>
        <row r="11877">
          <cell r="A11877" t="str">
            <v>ST2023-3XL</v>
          </cell>
          <cell r="B11877" t="str">
            <v>T2023</v>
          </cell>
          <cell r="C11877" t="str">
            <v>ซาติน แขนสั้นขายาว Ballet Valley (กปก) 3XL</v>
          </cell>
          <cell r="E11877">
            <v>11</v>
          </cell>
          <cell r="F11877">
            <v>990</v>
          </cell>
        </row>
        <row r="11878">
          <cell r="A11878" t="str">
            <v>ST2023-L</v>
          </cell>
          <cell r="B11878" t="str">
            <v>T2023</v>
          </cell>
          <cell r="C11878" t="str">
            <v>ซาติน แขนสั้นขายาว Ballet Valley (กปก) L</v>
          </cell>
          <cell r="E11878">
            <v>4</v>
          </cell>
          <cell r="F11878">
            <v>990</v>
          </cell>
        </row>
        <row r="11879">
          <cell r="A11879" t="str">
            <v>ST2023-M</v>
          </cell>
          <cell r="B11879" t="str">
            <v>T2023</v>
          </cell>
          <cell r="C11879" t="str">
            <v>ซาติน แขนสั้นขายาว Ballet Valley (กปก) M</v>
          </cell>
          <cell r="E11879">
            <v>8</v>
          </cell>
          <cell r="F11879">
            <v>990</v>
          </cell>
        </row>
        <row r="11880">
          <cell r="A11880" t="str">
            <v>ST2023-XL</v>
          </cell>
          <cell r="B11880" t="str">
            <v>T2023</v>
          </cell>
          <cell r="C11880" t="str">
            <v>ซาติน แขนสั้นขายาว Ballet Valley (กปก) XL</v>
          </cell>
          <cell r="E11880">
            <v>10</v>
          </cell>
          <cell r="F11880">
            <v>990</v>
          </cell>
        </row>
        <row r="11881">
          <cell r="A11881" t="str">
            <v>ST2028-2XL</v>
          </cell>
          <cell r="B11881" t="str">
            <v>T2028</v>
          </cell>
          <cell r="C11881" t="str">
            <v>ซาติน แขนสั้นขายาว Jolly Bear 2XL (กปก)</v>
          </cell>
          <cell r="E11881">
            <v>7</v>
          </cell>
          <cell r="F11881">
            <v>990</v>
          </cell>
        </row>
        <row r="11882">
          <cell r="A11882" t="str">
            <v>ST2028-3XL</v>
          </cell>
          <cell r="B11882" t="str">
            <v>T2028</v>
          </cell>
          <cell r="C11882" t="str">
            <v>ซาติน แขนสั้นขายาว Jolly Bear 3XL (กปก)</v>
          </cell>
          <cell r="E11882">
            <v>6</v>
          </cell>
          <cell r="F11882">
            <v>990</v>
          </cell>
        </row>
        <row r="11883">
          <cell r="A11883" t="str">
            <v>ST2028-L</v>
          </cell>
          <cell r="B11883" t="str">
            <v>T2028</v>
          </cell>
          <cell r="C11883" t="str">
            <v>ซาติน แขนสั้นขายาว Jolly Bear L (กปก)</v>
          </cell>
          <cell r="E11883">
            <v>10</v>
          </cell>
          <cell r="F11883">
            <v>990</v>
          </cell>
        </row>
        <row r="11884">
          <cell r="A11884" t="str">
            <v>ST2028-M</v>
          </cell>
          <cell r="B11884" t="str">
            <v>T2028</v>
          </cell>
          <cell r="C11884" t="str">
            <v>ซาติน แขนสั้นขายาว Jolly Bear M (กปก)</v>
          </cell>
          <cell r="E11884">
            <v>6</v>
          </cell>
          <cell r="F11884">
            <v>990</v>
          </cell>
        </row>
        <row r="11885">
          <cell r="A11885" t="str">
            <v>ST2028-XL</v>
          </cell>
          <cell r="B11885" t="str">
            <v>T2028</v>
          </cell>
          <cell r="C11885" t="str">
            <v>ซาติน แขนสั้นขายาว Jolly Bear XL (กปก)</v>
          </cell>
          <cell r="E11885">
            <v>9</v>
          </cell>
          <cell r="F11885">
            <v>990</v>
          </cell>
        </row>
        <row r="11886">
          <cell r="A11886" t="str">
            <v>ST2033-2XL</v>
          </cell>
          <cell r="B11886" t="str">
            <v>T2033</v>
          </cell>
          <cell r="C11886" t="str">
            <v>ซาติน แขนสั้นขายาว Christmas Journey 2XL (กปก)</v>
          </cell>
          <cell r="E11886">
            <v>1</v>
          </cell>
          <cell r="F11886">
            <v>990</v>
          </cell>
        </row>
        <row r="11887">
          <cell r="A11887" t="str">
            <v>ST2033-3XL</v>
          </cell>
          <cell r="B11887" t="str">
            <v>T2033</v>
          </cell>
          <cell r="C11887" t="str">
            <v>ซาติน แขนสั้นขายาว Christmas Journey 3XL (กปก)</v>
          </cell>
          <cell r="E11887">
            <v>8</v>
          </cell>
          <cell r="F11887">
            <v>990</v>
          </cell>
        </row>
        <row r="11888">
          <cell r="A11888" t="str">
            <v>ST2033-L</v>
          </cell>
          <cell r="B11888" t="str">
            <v>T2033</v>
          </cell>
          <cell r="C11888" t="str">
            <v>ซาติน แขนสั้นขายาว Christmas Journey L (กปก)</v>
          </cell>
          <cell r="E11888">
            <v>6</v>
          </cell>
          <cell r="F11888">
            <v>990</v>
          </cell>
        </row>
        <row r="11889">
          <cell r="A11889" t="str">
            <v>ST2033-M</v>
          </cell>
          <cell r="B11889" t="str">
            <v>T2033</v>
          </cell>
          <cell r="C11889" t="str">
            <v>ซาติน แขนสั้นขายาว Christmas Journey M (กปก)</v>
          </cell>
          <cell r="E11889">
            <v>2</v>
          </cell>
          <cell r="F11889">
            <v>990</v>
          </cell>
        </row>
        <row r="11890">
          <cell r="A11890" t="str">
            <v>ST2033-XL</v>
          </cell>
          <cell r="B11890" t="str">
            <v>T2033</v>
          </cell>
          <cell r="C11890" t="str">
            <v>ซาติน แขนสั้นขายาว Christmas Journey XL (กปก)</v>
          </cell>
          <cell r="E11890">
            <v>1</v>
          </cell>
          <cell r="F11890">
            <v>990</v>
          </cell>
        </row>
        <row r="11891">
          <cell r="A11891" t="str">
            <v>ST3001-2XL</v>
          </cell>
          <cell r="B11891" t="str">
            <v>T3001</v>
          </cell>
          <cell r="C11891" t="str">
            <v>ซาติน แขนสั้นขายาว เสื้อขาว กางเกงพาสเทล ดอกไม้ 2XL  (กปก)</v>
          </cell>
          <cell r="E11891">
            <v>0</v>
          </cell>
          <cell r="F11891">
            <v>890</v>
          </cell>
        </row>
        <row r="11892">
          <cell r="A11892" t="str">
            <v>ST3001-L</v>
          </cell>
          <cell r="B11892" t="str">
            <v>T3001</v>
          </cell>
          <cell r="C11892" t="str">
            <v>ซาติน แขนสั้นขายาว เสื้อขาว กางเกงพาสเทล ดอกไม้ L (กปก)</v>
          </cell>
          <cell r="E11892">
            <v>0</v>
          </cell>
          <cell r="F11892">
            <v>890</v>
          </cell>
        </row>
        <row r="11893">
          <cell r="A11893" t="str">
            <v>ST3001-M</v>
          </cell>
          <cell r="B11893" t="str">
            <v>QT3001</v>
          </cell>
          <cell r="C11893" t="str">
            <v>ซาติน แขนสั้นขายาว เสื้อขาว กางเกงพาสเทล ดอกไม้ M (กปก) QC</v>
          </cell>
          <cell r="E11893">
            <v>0</v>
          </cell>
          <cell r="F11893">
            <v>890</v>
          </cell>
        </row>
        <row r="11894">
          <cell r="A11894" t="str">
            <v>ST3001-XL</v>
          </cell>
          <cell r="B11894" t="str">
            <v>T3001</v>
          </cell>
          <cell r="C11894" t="str">
            <v>ซาติน แขนสั้นขายาว เสื้อขาว กางเกงพาสเทล ดอกไม้ XL (กปก)</v>
          </cell>
          <cell r="E11894">
            <v>0</v>
          </cell>
          <cell r="F11894">
            <v>890</v>
          </cell>
        </row>
        <row r="11895">
          <cell r="A11895" t="str">
            <v>ST3002-2XL</v>
          </cell>
          <cell r="B11895" t="str">
            <v>QT3002</v>
          </cell>
          <cell r="C11895" t="str">
            <v>ซาติน แขนสั้นขายาว เสื้อขาว กางเกงพาสเทล ฟ้า 2XL  (กปก) QC</v>
          </cell>
          <cell r="E11895">
            <v>0</v>
          </cell>
          <cell r="F11895">
            <v>890</v>
          </cell>
        </row>
        <row r="11896">
          <cell r="A11896" t="str">
            <v>ST3002-L</v>
          </cell>
          <cell r="B11896" t="str">
            <v>T3002</v>
          </cell>
          <cell r="C11896" t="str">
            <v>ซาติน แขนสั้นขายาว เสื้อขาว กางเกงพาสเทล ฟ้า L (กปก)</v>
          </cell>
          <cell r="E11896">
            <v>0</v>
          </cell>
          <cell r="F11896">
            <v>890</v>
          </cell>
        </row>
        <row r="11897">
          <cell r="A11897" t="str">
            <v>ST3002-M</v>
          </cell>
          <cell r="B11897" t="str">
            <v>T3002</v>
          </cell>
          <cell r="C11897" t="str">
            <v>ซาติน แขนสั้นขายาว เสื้อขาว กางเกงพาสเทล ฟ้า M (กปก)</v>
          </cell>
          <cell r="E11897">
            <v>0</v>
          </cell>
          <cell r="F11897">
            <v>890</v>
          </cell>
        </row>
        <row r="11898">
          <cell r="A11898" t="str">
            <v>ST3002-XL</v>
          </cell>
          <cell r="B11898" t="str">
            <v>T3002</v>
          </cell>
          <cell r="C11898" t="str">
            <v>ซาติน แขนสั้นขายาว เสื้อขาว กางเกงพาสเทล ฟ้า XL (กปก)</v>
          </cell>
          <cell r="E11898">
            <v>0</v>
          </cell>
          <cell r="F11898">
            <v>890</v>
          </cell>
        </row>
        <row r="11899">
          <cell r="A11899" t="str">
            <v>ST3003-2XL</v>
          </cell>
          <cell r="B11899" t="str">
            <v>T3003</v>
          </cell>
          <cell r="C11899" t="str">
            <v>ซาติน แขนสั้นขายาว เสื้อขาว กางเกงพาสเทล ชมพู 2XL  (กปก)</v>
          </cell>
          <cell r="E11899">
            <v>0</v>
          </cell>
          <cell r="F11899">
            <v>890</v>
          </cell>
        </row>
        <row r="11900">
          <cell r="A11900" t="str">
            <v>ST3003-L</v>
          </cell>
          <cell r="B11900" t="str">
            <v>T3003</v>
          </cell>
          <cell r="C11900" t="str">
            <v>ซาติน แขนสั้นขายาว เสื้อขาว กางเกงพาสเทล ชมพู L (กปก)</v>
          </cell>
          <cell r="E11900">
            <v>0</v>
          </cell>
          <cell r="F11900">
            <v>890</v>
          </cell>
        </row>
        <row r="11901">
          <cell r="A11901" t="str">
            <v>ST3003-M</v>
          </cell>
          <cell r="B11901" t="str">
            <v>QT3003</v>
          </cell>
          <cell r="C11901" t="str">
            <v>ซาติน แขนสั้นขายาว เสื้อขาว กางเกงพาสเทล ชมพู M (กปก) QC</v>
          </cell>
          <cell r="E11901">
            <v>0</v>
          </cell>
          <cell r="F11901">
            <v>890</v>
          </cell>
        </row>
        <row r="11902">
          <cell r="A11902" t="str">
            <v>ST3003-XL</v>
          </cell>
          <cell r="B11902" t="str">
            <v>T3003</v>
          </cell>
          <cell r="C11902" t="str">
            <v>ซาติน แขนสั้นขายาว เสื้อขาว กางเกงพาสเทล ชมพู XL (กปก)</v>
          </cell>
          <cell r="E11902">
            <v>0</v>
          </cell>
          <cell r="F11902">
            <v>890</v>
          </cell>
        </row>
        <row r="11903">
          <cell r="A11903" t="str">
            <v>ST3004-2XL</v>
          </cell>
          <cell r="B11903" t="str">
            <v>T3004</v>
          </cell>
          <cell r="C11903" t="str">
            <v>ซาติน แขนสั้นขายาว BALLEY BEAR PINK HEART 2XL (กปก)</v>
          </cell>
          <cell r="E11903">
            <v>0</v>
          </cell>
          <cell r="F11903">
            <v>890</v>
          </cell>
        </row>
        <row r="11904">
          <cell r="A11904" t="str">
            <v>ST3004-L</v>
          </cell>
          <cell r="B11904" t="str">
            <v>T3004</v>
          </cell>
          <cell r="C11904" t="str">
            <v>ซาติน แขนสั้นขายาว BALLEY BEAR PINK HEART L (กปก)</v>
          </cell>
          <cell r="E11904">
            <v>0</v>
          </cell>
          <cell r="F11904">
            <v>890</v>
          </cell>
        </row>
        <row r="11905">
          <cell r="A11905" t="str">
            <v>ST3004-M</v>
          </cell>
          <cell r="B11905" t="str">
            <v>T3004</v>
          </cell>
          <cell r="C11905" t="str">
            <v>ซาติน แขนสั้นขายาว BALLEY BEAR PINK HEART M (กปก)</v>
          </cell>
          <cell r="E11905">
            <v>0</v>
          </cell>
          <cell r="F11905">
            <v>890</v>
          </cell>
        </row>
        <row r="11906">
          <cell r="A11906" t="str">
            <v>ST3004-XL</v>
          </cell>
          <cell r="B11906" t="str">
            <v>T3004</v>
          </cell>
          <cell r="C11906" t="str">
            <v>ซาติน แขนสั้นขายาว BALLEY BEAR PINK HEART XL (กปก)</v>
          </cell>
          <cell r="E11906">
            <v>0</v>
          </cell>
          <cell r="F11906">
            <v>890</v>
          </cell>
        </row>
        <row r="11907">
          <cell r="A11907" t="str">
            <v>ST3005-2XL</v>
          </cell>
          <cell r="B11907" t="str">
            <v>QT3005</v>
          </cell>
          <cell r="C11907" t="str">
            <v>ซาติน แขนสั้นขายาว พาสเทล7สี 2XL (กปก) QC</v>
          </cell>
          <cell r="E11907">
            <v>0</v>
          </cell>
          <cell r="F11907">
            <v>890</v>
          </cell>
        </row>
        <row r="11908">
          <cell r="A11908" t="str">
            <v>ST3005-L</v>
          </cell>
          <cell r="B11908" t="str">
            <v>QT3005</v>
          </cell>
          <cell r="C11908" t="str">
            <v>ซาติน แขนสั้นขายาว พาสเทล7สี L (กปก) QC</v>
          </cell>
          <cell r="E11908">
            <v>0</v>
          </cell>
          <cell r="F11908">
            <v>890</v>
          </cell>
        </row>
        <row r="11909">
          <cell r="A11909" t="str">
            <v>ST3005-M</v>
          </cell>
          <cell r="B11909" t="str">
            <v>T3005</v>
          </cell>
          <cell r="C11909" t="str">
            <v>ซาติน แขนสั้นขายาว พาสเทล7สี M (กปก)</v>
          </cell>
          <cell r="E11909">
            <v>0</v>
          </cell>
          <cell r="F11909">
            <v>890</v>
          </cell>
        </row>
        <row r="11910">
          <cell r="A11910" t="str">
            <v>ST3005-XL</v>
          </cell>
          <cell r="B11910" t="str">
            <v>T3005</v>
          </cell>
          <cell r="C11910" t="str">
            <v>ซาติน แขนสั้นขายาว พาสเทล7สี XL (กปก)</v>
          </cell>
          <cell r="E11910">
            <v>0</v>
          </cell>
          <cell r="F11910">
            <v>890</v>
          </cell>
        </row>
        <row r="11911">
          <cell r="A11911" t="str">
            <v>ST3006-2XL</v>
          </cell>
          <cell r="B11911" t="str">
            <v>QT3006</v>
          </cell>
          <cell r="C11911" t="str">
            <v>ซาติน แขนสั้นขายาว ม้าลาย พื้นขาวขอบดำ 2XL  (กปก) QC</v>
          </cell>
          <cell r="E11911">
            <v>0</v>
          </cell>
          <cell r="F11911">
            <v>890</v>
          </cell>
        </row>
        <row r="11912">
          <cell r="A11912" t="str">
            <v>ST3006-L</v>
          </cell>
          <cell r="B11912" t="str">
            <v>T3006</v>
          </cell>
          <cell r="C11912" t="str">
            <v>ซาติน แขนสั้นขายาว ม้าลาย พื้นขาวขอบดำ L (กปก)</v>
          </cell>
          <cell r="E11912">
            <v>0</v>
          </cell>
          <cell r="F11912">
            <v>890</v>
          </cell>
        </row>
        <row r="11913">
          <cell r="A11913" t="str">
            <v>ST3006-M</v>
          </cell>
          <cell r="B11913" t="str">
            <v>QT3006</v>
          </cell>
          <cell r="C11913" t="str">
            <v>ซาติน แขนสั้นขายาว ม้าลาย พื้นขาวขอบดำ M (กปก) QC</v>
          </cell>
          <cell r="E11913">
            <v>0</v>
          </cell>
          <cell r="F11913">
            <v>890</v>
          </cell>
        </row>
        <row r="11914">
          <cell r="A11914" t="str">
            <v>ST3006-XL</v>
          </cell>
          <cell r="B11914" t="str">
            <v>T3006</v>
          </cell>
          <cell r="C11914" t="str">
            <v>ซาติน แขนสั้นขายาว ม้าลาย พื้นขาวขอบดำ XL (กปก)</v>
          </cell>
          <cell r="E11914">
            <v>0</v>
          </cell>
          <cell r="F11914">
            <v>890</v>
          </cell>
        </row>
        <row r="11915">
          <cell r="A11915" t="str">
            <v>ST3007-2XL</v>
          </cell>
          <cell r="B11915" t="str">
            <v>T3007</v>
          </cell>
          <cell r="C11915" t="str">
            <v>ซาติน แขนสั้นขายาว ม้าลาย พื้นดำขอบขาว 2XL  (กปก)</v>
          </cell>
          <cell r="E11915">
            <v>0</v>
          </cell>
          <cell r="F11915">
            <v>890</v>
          </cell>
        </row>
        <row r="11916">
          <cell r="A11916" t="str">
            <v>ST3007-L</v>
          </cell>
          <cell r="B11916" t="str">
            <v>T3007</v>
          </cell>
          <cell r="C11916" t="str">
            <v>ซาติน แขนสั้นขายาว ม้าลาย พื้นดำขอบขาว L (กปก)</v>
          </cell>
          <cell r="E11916">
            <v>0</v>
          </cell>
          <cell r="F11916">
            <v>890</v>
          </cell>
        </row>
        <row r="11917">
          <cell r="A11917" t="str">
            <v>ST3007-M</v>
          </cell>
          <cell r="B11917" t="str">
            <v>T3007</v>
          </cell>
          <cell r="C11917" t="str">
            <v>ซาติน แขนสั้นขายาว ม้าลาย พื้นดำขอบขาว M (กปก)</v>
          </cell>
          <cell r="E11917">
            <v>0</v>
          </cell>
          <cell r="F11917">
            <v>890</v>
          </cell>
        </row>
        <row r="11918">
          <cell r="A11918" t="str">
            <v>ST3007-XL</v>
          </cell>
          <cell r="B11918" t="str">
            <v>T3007</v>
          </cell>
          <cell r="C11918" t="str">
            <v>ซาติน แขนสั้นขายาว ม้าลาย พื้นดำขอบขาว XL (กปก)</v>
          </cell>
          <cell r="E11918">
            <v>0</v>
          </cell>
          <cell r="F11918">
            <v>890</v>
          </cell>
        </row>
        <row r="11919">
          <cell r="A11919" t="str">
            <v>ST3008-2XL</v>
          </cell>
          <cell r="B11919" t="str">
            <v>T3008</v>
          </cell>
          <cell r="C11919" t="str">
            <v>ซาติน แขนสั้นขายาว สีไม้ doodle พื้นเขียว 2XL (กปก)</v>
          </cell>
          <cell r="E11919">
            <v>0</v>
          </cell>
          <cell r="F11919">
            <v>890</v>
          </cell>
        </row>
        <row r="11920">
          <cell r="A11920" t="str">
            <v>ST3008-L</v>
          </cell>
          <cell r="B11920" t="str">
            <v>QT3008</v>
          </cell>
          <cell r="C11920" t="str">
            <v>ซาติน แขนสั้นขายาว สีไม้ doodle พื้นเขียว L (กปก) QC</v>
          </cell>
          <cell r="E11920">
            <v>0</v>
          </cell>
          <cell r="F11920">
            <v>890</v>
          </cell>
        </row>
        <row r="11921">
          <cell r="A11921" t="str">
            <v>ST3008-M</v>
          </cell>
          <cell r="B11921" t="str">
            <v>T3008</v>
          </cell>
          <cell r="C11921" t="str">
            <v>ซาติน แขนสั้นขายาว สีไม้ doodle พื้นเขียว M (กปก)</v>
          </cell>
          <cell r="E11921">
            <v>0</v>
          </cell>
          <cell r="F11921">
            <v>890</v>
          </cell>
        </row>
        <row r="11922">
          <cell r="A11922" t="str">
            <v>ST3008-XL</v>
          </cell>
          <cell r="B11922" t="str">
            <v>T3008</v>
          </cell>
          <cell r="C11922" t="str">
            <v>ซาติน แขนสั้นขายาว สีไม้ doodle พื้นเขียว XL (กปก)</v>
          </cell>
          <cell r="E11922">
            <v>0</v>
          </cell>
          <cell r="F11922">
            <v>890</v>
          </cell>
        </row>
        <row r="11923">
          <cell r="A11923" t="str">
            <v>ST3009-2XL</v>
          </cell>
          <cell r="B11923" t="str">
            <v>T3009</v>
          </cell>
          <cell r="C11923" t="str">
            <v>ซาติน แขนสั้นขายาว สีไม้ doodle พื้นชมพู 2XL (กปก)</v>
          </cell>
          <cell r="E11923">
            <v>0</v>
          </cell>
          <cell r="F11923">
            <v>890</v>
          </cell>
        </row>
        <row r="11924">
          <cell r="A11924" t="str">
            <v>ST3009-L</v>
          </cell>
          <cell r="B11924" t="str">
            <v>QT3009</v>
          </cell>
          <cell r="C11924" t="str">
            <v>ซาติน แขนสั้นขายาว สีไม้ doodle พื้นชมพู L (กปก) QC</v>
          </cell>
          <cell r="E11924">
            <v>0</v>
          </cell>
          <cell r="F11924">
            <v>890</v>
          </cell>
        </row>
        <row r="11925">
          <cell r="A11925" t="str">
            <v>ST3009-M</v>
          </cell>
          <cell r="B11925" t="str">
            <v>QT3009</v>
          </cell>
          <cell r="C11925" t="str">
            <v>ซาติน แขนสั้นขายาว สีไม้ doodle พื้นชมพู M (กปก) QC</v>
          </cell>
          <cell r="E11925">
            <v>0</v>
          </cell>
          <cell r="F11925">
            <v>890</v>
          </cell>
        </row>
        <row r="11926">
          <cell r="A11926" t="str">
            <v>ST3009-XL</v>
          </cell>
          <cell r="B11926" t="str">
            <v>QT3009</v>
          </cell>
          <cell r="C11926" t="str">
            <v>ซาติน แขนสั้นขายาว สีไม้ doodle พื้นชมพู XL (กปก) QC</v>
          </cell>
          <cell r="E11926">
            <v>0</v>
          </cell>
          <cell r="F11926">
            <v>890</v>
          </cell>
        </row>
        <row r="11927">
          <cell r="A11927" t="str">
            <v>ST3010-2XL</v>
          </cell>
          <cell r="B11927" t="str">
            <v>T3010</v>
          </cell>
          <cell r="C11927" t="str">
            <v>ซาติน แขนสั้นขายาว แมววิเชียรมาศ เหลืองปกดำ 2XL (กปก)</v>
          </cell>
          <cell r="E11927">
            <v>0</v>
          </cell>
          <cell r="F11927">
            <v>990</v>
          </cell>
        </row>
        <row r="11928">
          <cell r="A11928" t="str">
            <v>ST3010-L</v>
          </cell>
          <cell r="B11928" t="str">
            <v>T3010</v>
          </cell>
          <cell r="C11928" t="str">
            <v>ซาติน แขนสั้นขายาว แมววิเชียรมาศ เหลืองปกดำ L (กปก)</v>
          </cell>
          <cell r="E11928">
            <v>0</v>
          </cell>
          <cell r="F11928">
            <v>990</v>
          </cell>
        </row>
        <row r="11929">
          <cell r="A11929" t="str">
            <v>ST3010-M</v>
          </cell>
          <cell r="B11929" t="str">
            <v>QT3010</v>
          </cell>
          <cell r="C11929" t="str">
            <v>ซาติน แขนสั้นขายาว แมววิเชียรมาศ เหลืองปกดำ M (กปก) QC</v>
          </cell>
          <cell r="E11929">
            <v>0</v>
          </cell>
          <cell r="F11929">
            <v>990</v>
          </cell>
        </row>
        <row r="11930">
          <cell r="A11930" t="str">
            <v>ST3010-XL</v>
          </cell>
          <cell r="B11930" t="str">
            <v>T3010</v>
          </cell>
          <cell r="C11930" t="str">
            <v>ซาติน แขนสั้นขายาว แมววิเชียรมาศ เหลืองปกดำ XL (กปก)</v>
          </cell>
          <cell r="E11930">
            <v>0</v>
          </cell>
          <cell r="F11930">
            <v>890</v>
          </cell>
        </row>
        <row r="11931">
          <cell r="A11931" t="str">
            <v>ST3011-2XL</v>
          </cell>
          <cell r="B11931" t="str">
            <v>T3011</v>
          </cell>
          <cell r="C11931" t="str">
            <v>ซาติน แขนสั้นขายาว รวมสุนัขเขียว พาสเทล muslin pet 2XL (กปก)</v>
          </cell>
          <cell r="E11931">
            <v>1</v>
          </cell>
          <cell r="F11931">
            <v>990</v>
          </cell>
        </row>
        <row r="11932">
          <cell r="A11932" t="str">
            <v>ST3011-L</v>
          </cell>
          <cell r="B11932" t="str">
            <v>T3011</v>
          </cell>
          <cell r="C11932" t="str">
            <v>ซาติน แขนสั้นขายาว รวมสุนัขเขียว พาสเทล muslin pet L (กปก)</v>
          </cell>
          <cell r="E11932">
            <v>0</v>
          </cell>
          <cell r="F11932">
            <v>990</v>
          </cell>
        </row>
        <row r="11933">
          <cell r="A11933" t="str">
            <v>ST3011-M</v>
          </cell>
          <cell r="B11933" t="str">
            <v>T3011</v>
          </cell>
          <cell r="C11933" t="str">
            <v>ซาติน แขนสั้นขายาว รวมสุนัขเขียว พาสเทล muslin pet M (กปก)</v>
          </cell>
          <cell r="E11933">
            <v>0</v>
          </cell>
          <cell r="F11933">
            <v>990</v>
          </cell>
        </row>
        <row r="11934">
          <cell r="A11934" t="str">
            <v>ST3011-XL</v>
          </cell>
          <cell r="B11934" t="str">
            <v>T3011</v>
          </cell>
          <cell r="C11934" t="str">
            <v>ซาติน แขนสั้นขายาว รวมสุนัขเขียว พาสเทล muslin pet XL (กปก)</v>
          </cell>
          <cell r="E11934">
            <v>0</v>
          </cell>
          <cell r="F11934">
            <v>990</v>
          </cell>
        </row>
        <row r="11935">
          <cell r="A11935" t="str">
            <v>ST3012-2XL</v>
          </cell>
          <cell r="B11935" t="str">
            <v>T3012</v>
          </cell>
          <cell r="C11935" t="str">
            <v>ซาติน แขนสั้นขายาว รวมสุนัขเขียว ลายทาง ฟ้าขาว muslin pet 2XL (กปก)</v>
          </cell>
          <cell r="E11935">
            <v>0</v>
          </cell>
          <cell r="F11935">
            <v>990</v>
          </cell>
        </row>
        <row r="11936">
          <cell r="A11936" t="str">
            <v>ST3012-L</v>
          </cell>
          <cell r="B11936" t="str">
            <v>T3012</v>
          </cell>
          <cell r="C11936" t="str">
            <v>ซาติน แขนสั้นขายาว รวมสุนัขเขียว ลายทาง ฟ้าขาว muslin pet L (กปก)</v>
          </cell>
          <cell r="E11936">
            <v>0</v>
          </cell>
          <cell r="F11936">
            <v>990</v>
          </cell>
        </row>
        <row r="11937">
          <cell r="A11937" t="str">
            <v>ST3012-M</v>
          </cell>
          <cell r="B11937" t="str">
            <v>QT3012</v>
          </cell>
          <cell r="C11937" t="str">
            <v>ซาติน แขนสั้นขายาว รวมสุนัขเขียว ลายทาง ฟ้าขาว muslin pet M (กปก) QC</v>
          </cell>
          <cell r="E11937">
            <v>0</v>
          </cell>
          <cell r="F11937">
            <v>990</v>
          </cell>
        </row>
        <row r="11938">
          <cell r="A11938" t="str">
            <v>ST3012-XL</v>
          </cell>
          <cell r="B11938" t="str">
            <v>T3012</v>
          </cell>
          <cell r="C11938" t="str">
            <v>ซาติน แขนสั้นขายาว รวมสุนัขเขียว ลายทาง ฟ้าขาว muslin pet XL (กปก)</v>
          </cell>
          <cell r="E11938">
            <v>0</v>
          </cell>
          <cell r="F11938">
            <v>990</v>
          </cell>
        </row>
        <row r="11939">
          <cell r="A11939" t="str">
            <v>ST3013-2XL</v>
          </cell>
          <cell r="B11939" t="str">
            <v>T3013</v>
          </cell>
          <cell r="C11939" t="str">
            <v>ซาติน แขนสั้นขายาว เสือผูกโบว์ พื้นชมพู 2XL  (กปก)</v>
          </cell>
          <cell r="E11939">
            <v>1</v>
          </cell>
          <cell r="F11939">
            <v>990</v>
          </cell>
        </row>
        <row r="11940">
          <cell r="A11940" t="str">
            <v>ST3013-L</v>
          </cell>
          <cell r="B11940" t="str">
            <v>T3013</v>
          </cell>
          <cell r="C11940" t="str">
            <v>ซาติน แขนสั้นขายาว เสือผูกโบว์ พื้นชมพู L (กปก)</v>
          </cell>
          <cell r="E11940">
            <v>0</v>
          </cell>
          <cell r="F11940">
            <v>990</v>
          </cell>
        </row>
        <row r="11941">
          <cell r="A11941" t="str">
            <v>ST3013-M</v>
          </cell>
          <cell r="B11941" t="str">
            <v>T3013</v>
          </cell>
          <cell r="C11941" t="str">
            <v>ซาติน แขนสั้นขายาว เสือผูกโบว์ พื้นชมพู M (กปก)</v>
          </cell>
          <cell r="E11941">
            <v>0</v>
          </cell>
          <cell r="F11941">
            <v>990</v>
          </cell>
        </row>
        <row r="11942">
          <cell r="A11942" t="str">
            <v>ST3013-XL</v>
          </cell>
          <cell r="B11942" t="str">
            <v>T3013</v>
          </cell>
          <cell r="C11942" t="str">
            <v>ซาติน แขนสั้นขายาว เสือผูกโบว์ พื้นชมพู XL (กปก)</v>
          </cell>
          <cell r="E11942">
            <v>0</v>
          </cell>
          <cell r="F11942">
            <v>990</v>
          </cell>
        </row>
        <row r="11943">
          <cell r="A11943" t="str">
            <v>ST3014-2XL</v>
          </cell>
          <cell r="B11943" t="str">
            <v>T3014</v>
          </cell>
          <cell r="C11943" t="str">
            <v>ซาติน แขนสั้นขายาว แมวตาราง ดอกไม้ พาสเทล 2XL  (กปก)</v>
          </cell>
          <cell r="E11943">
            <v>0</v>
          </cell>
          <cell r="F11943">
            <v>990</v>
          </cell>
        </row>
        <row r="11944">
          <cell r="A11944" t="str">
            <v>ST3014-L</v>
          </cell>
          <cell r="B11944" t="str">
            <v>QT3014</v>
          </cell>
          <cell r="C11944" t="str">
            <v>ซาติน แขนสั้นขายาว แมวตาราง ดอกไม้ พาสเทล muslin pet L (กปก) QC</v>
          </cell>
          <cell r="E11944">
            <v>0</v>
          </cell>
          <cell r="F11944">
            <v>990</v>
          </cell>
        </row>
        <row r="11945">
          <cell r="A11945" t="str">
            <v>ST3014-M</v>
          </cell>
          <cell r="B11945" t="str">
            <v>T3014</v>
          </cell>
          <cell r="C11945" t="str">
            <v>ซาติน แขนสั้นขายาว แมวตาราง ดอกไม้ พาสเทล M (กปก)</v>
          </cell>
          <cell r="E11945">
            <v>0</v>
          </cell>
          <cell r="F11945">
            <v>990</v>
          </cell>
        </row>
        <row r="11946">
          <cell r="A11946" t="str">
            <v>ST3014-XL</v>
          </cell>
          <cell r="B11946" t="str">
            <v>T3014</v>
          </cell>
          <cell r="C11946" t="str">
            <v>ซาติน แขนสั้นขายาว แมวตาราง ดอกไม้ พาสเทล muslin pet XL (กปก)</v>
          </cell>
          <cell r="E11946">
            <v>0</v>
          </cell>
          <cell r="F11946">
            <v>990</v>
          </cell>
        </row>
        <row r="11947">
          <cell r="A11947" t="str">
            <v>ST3015-2XL</v>
          </cell>
          <cell r="B11947" t="str">
            <v>T3015</v>
          </cell>
          <cell r="C11947" t="str">
            <v>ซาติน แขนสั้นขายาว Grooming Dog พื้นเขียวอ่อน muslin pet 2XL (กปก)</v>
          </cell>
          <cell r="E11947">
            <v>0</v>
          </cell>
          <cell r="F11947">
            <v>990</v>
          </cell>
        </row>
        <row r="11948">
          <cell r="A11948" t="str">
            <v>ST3015-L</v>
          </cell>
          <cell r="B11948" t="str">
            <v>T3015</v>
          </cell>
          <cell r="C11948" t="str">
            <v>ซาติน แขนสั้นขายาว Grooming Dog พื้นเขียวอ่อน muslin pet L (กปก)</v>
          </cell>
          <cell r="E11948">
            <v>0</v>
          </cell>
          <cell r="F11948">
            <v>990</v>
          </cell>
        </row>
        <row r="11949">
          <cell r="A11949" t="str">
            <v>ST3015-M</v>
          </cell>
          <cell r="B11949" t="str">
            <v>T3015</v>
          </cell>
          <cell r="C11949" t="str">
            <v>ซาติน แขนสั้นขายาว Grooming Dog พื้นเขียวอ่อน muslin pet M (กปก)</v>
          </cell>
          <cell r="E11949">
            <v>0</v>
          </cell>
          <cell r="F11949">
            <v>990</v>
          </cell>
        </row>
        <row r="11950">
          <cell r="A11950" t="str">
            <v>ST3015-XL</v>
          </cell>
          <cell r="B11950" t="str">
            <v>T3015</v>
          </cell>
          <cell r="C11950" t="str">
            <v>ซาติน แขนสั้นขายาว Grooming Dog พื้นเขียวอ่อน muslin pet XL (กปก)</v>
          </cell>
          <cell r="E11950">
            <v>0</v>
          </cell>
          <cell r="F11950">
            <v>990</v>
          </cell>
        </row>
        <row r="11951">
          <cell r="A11951" t="str">
            <v>ST3016-2XL</v>
          </cell>
          <cell r="B11951" t="str">
            <v>T3016</v>
          </cell>
          <cell r="C11951" t="str">
            <v>ซาติน แขนสั้นขายาว แมวจุดผูกโบว์ ลายทาง ฟ้าขาว 2XL  (กปก)</v>
          </cell>
          <cell r="E11951">
            <v>1</v>
          </cell>
          <cell r="F11951">
            <v>890</v>
          </cell>
        </row>
        <row r="11952">
          <cell r="A11952" t="str">
            <v>ST3016-L</v>
          </cell>
          <cell r="B11952" t="str">
            <v>T3016</v>
          </cell>
          <cell r="C11952" t="str">
            <v>ซาติน แขนสั้นขายาว แมวจุดผูกโบว์ ลายทาง ฟ้าขาว L (กปก)</v>
          </cell>
          <cell r="E11952">
            <v>0</v>
          </cell>
          <cell r="F11952">
            <v>890</v>
          </cell>
        </row>
        <row r="11953">
          <cell r="A11953" t="str">
            <v>ST3016-M</v>
          </cell>
          <cell r="B11953" t="str">
            <v>T3016</v>
          </cell>
          <cell r="C11953" t="str">
            <v>ซาติน แขนสั้นขายาว แมวจุดผูกโบว์ ลายทาง ฟ้าขาว M (กปก)</v>
          </cell>
          <cell r="E11953">
            <v>0</v>
          </cell>
          <cell r="F11953">
            <v>890</v>
          </cell>
        </row>
        <row r="11954">
          <cell r="A11954" t="str">
            <v>ST3016-XL</v>
          </cell>
          <cell r="B11954" t="str">
            <v>T3016</v>
          </cell>
          <cell r="C11954" t="str">
            <v>ซาติน แขนสั้นขายาว แมวจุดผูกโบว์ ลายทาง ฟ้าขาว XL (กปก)</v>
          </cell>
          <cell r="E11954">
            <v>0</v>
          </cell>
          <cell r="F11954">
            <v>890</v>
          </cell>
        </row>
        <row r="11955">
          <cell r="A11955" t="str">
            <v>ST3017-2XL</v>
          </cell>
          <cell r="B11955" t="str">
            <v>T3017</v>
          </cell>
          <cell r="C11955" t="str">
            <v>ซาติน แขนสั้นขายาว teddy bear ลายทาง ม่วงชมพู 2XL  (กปก)</v>
          </cell>
          <cell r="E11955">
            <v>0</v>
          </cell>
          <cell r="F11955">
            <v>890</v>
          </cell>
        </row>
        <row r="11956">
          <cell r="A11956" t="str">
            <v>ST3017-L</v>
          </cell>
          <cell r="B11956" t="str">
            <v>T3017</v>
          </cell>
          <cell r="C11956" t="str">
            <v>ซาติน แขนสั้นขายาว teddy bear ลายทาง ม่วงชมพู L (กปก)</v>
          </cell>
          <cell r="E11956">
            <v>0</v>
          </cell>
          <cell r="F11956">
            <v>890</v>
          </cell>
        </row>
        <row r="11957">
          <cell r="A11957" t="str">
            <v>ST3017-M</v>
          </cell>
          <cell r="B11957" t="str">
            <v>T3017</v>
          </cell>
          <cell r="C11957" t="str">
            <v>ซาติน แขนสั้นขายาว teddy bear ลายทาง ม่วงชมพู M (กปก)</v>
          </cell>
          <cell r="E11957">
            <v>0</v>
          </cell>
          <cell r="F11957">
            <v>890</v>
          </cell>
        </row>
        <row r="11958">
          <cell r="A11958" t="str">
            <v>ST3017-XL</v>
          </cell>
          <cell r="B11958" t="str">
            <v>T3017</v>
          </cell>
          <cell r="C11958" t="str">
            <v>ซาติน แขนสั้นขายาว teddy bear ลายทาง ม่วงชมพู XL (กปก)</v>
          </cell>
          <cell r="E11958">
            <v>0</v>
          </cell>
          <cell r="F11958">
            <v>890</v>
          </cell>
        </row>
        <row r="11959">
          <cell r="A11959" t="str">
            <v>ST3018-2XL</v>
          </cell>
          <cell r="B11959" t="str">
            <v>T3018</v>
          </cell>
          <cell r="C11959" t="str">
            <v>ซาติน แขนสั้นขายาว cat lover พื้นดำ ขอบชมพู 2XL  (กปก)</v>
          </cell>
          <cell r="E11959">
            <v>1</v>
          </cell>
          <cell r="F11959">
            <v>890</v>
          </cell>
        </row>
        <row r="11960">
          <cell r="A11960" t="str">
            <v>ST3018-L</v>
          </cell>
          <cell r="B11960" t="str">
            <v>T3018</v>
          </cell>
          <cell r="C11960" t="str">
            <v>ซาติน แขนสั้นขายาว cat lover พื้นดำ ขอบชมพู L (กปก)</v>
          </cell>
          <cell r="E11960">
            <v>0</v>
          </cell>
          <cell r="F11960">
            <v>890</v>
          </cell>
        </row>
        <row r="11961">
          <cell r="A11961" t="str">
            <v>ST3018-M</v>
          </cell>
          <cell r="B11961" t="str">
            <v>T3018</v>
          </cell>
          <cell r="C11961" t="str">
            <v>ซาติน แขนสั้นขายาว cat lover พื้นดำ ขอบชมพู M (กปก)</v>
          </cell>
          <cell r="E11961">
            <v>0</v>
          </cell>
          <cell r="F11961">
            <v>890</v>
          </cell>
        </row>
        <row r="11962">
          <cell r="A11962" t="str">
            <v>ST3018-XL</v>
          </cell>
          <cell r="B11962" t="str">
            <v>T3018</v>
          </cell>
          <cell r="C11962" t="str">
            <v>ซาติน แขนสั้นขายาว cat lover พื้นดำ ขอบชมพู XL (กปก)</v>
          </cell>
          <cell r="E11962">
            <v>0</v>
          </cell>
          <cell r="F11962">
            <v>890</v>
          </cell>
        </row>
        <row r="11963">
          <cell r="A11963" t="str">
            <v>ST3019-2XL</v>
          </cell>
          <cell r="B11963" t="str">
            <v>T3019</v>
          </cell>
          <cell r="C11963" t="str">
            <v>ซาติน แขนสั้นขายาว Jingle Mingle 2XL  (กปก)</v>
          </cell>
          <cell r="E11963">
            <v>0</v>
          </cell>
          <cell r="F11963">
            <v>890</v>
          </cell>
        </row>
        <row r="11964">
          <cell r="A11964" t="str">
            <v>ST3019-L</v>
          </cell>
          <cell r="B11964" t="str">
            <v>T3019</v>
          </cell>
          <cell r="C11964" t="str">
            <v>ซาติน แขนสั้นขายาว Jingle Mingle L (กปก)</v>
          </cell>
          <cell r="E11964">
            <v>0</v>
          </cell>
          <cell r="F11964">
            <v>890</v>
          </cell>
        </row>
        <row r="11965">
          <cell r="A11965" t="str">
            <v>ST3019-M</v>
          </cell>
          <cell r="B11965" t="str">
            <v>T3019</v>
          </cell>
          <cell r="C11965" t="str">
            <v>ซาติน แขนสั้นขายาว Jingle Mingle M (กปก)</v>
          </cell>
          <cell r="E11965">
            <v>0</v>
          </cell>
          <cell r="F11965">
            <v>890</v>
          </cell>
        </row>
        <row r="11966">
          <cell r="A11966" t="str">
            <v>ST3019-XL</v>
          </cell>
          <cell r="B11966" t="str">
            <v>QT3019</v>
          </cell>
          <cell r="C11966" t="str">
            <v>ซาติน แขนสั้นขายาว Jingle Mingle XL (กปก) QC</v>
          </cell>
          <cell r="E11966">
            <v>0</v>
          </cell>
          <cell r="F11966">
            <v>890</v>
          </cell>
        </row>
        <row r="11967">
          <cell r="A11967" t="str">
            <v>ST3020-2XL</v>
          </cell>
          <cell r="B11967" t="str">
            <v>T3020</v>
          </cell>
          <cell r="C11967" t="str">
            <v>ซาติน แขนสั้นขายาว Spooky Pumpkin 2XL (กปก)</v>
          </cell>
          <cell r="E11967">
            <v>0</v>
          </cell>
          <cell r="F11967">
            <v>890</v>
          </cell>
        </row>
        <row r="11968">
          <cell r="A11968" t="str">
            <v>ST3020-L</v>
          </cell>
          <cell r="B11968" t="str">
            <v>QT3020</v>
          </cell>
          <cell r="C11968" t="str">
            <v>ซาติน  แขนสั้นขายาว Spooky Pumpkin L (กปก) QC</v>
          </cell>
          <cell r="E11968">
            <v>0</v>
          </cell>
          <cell r="F11968">
            <v>890</v>
          </cell>
        </row>
        <row r="11969">
          <cell r="A11969" t="str">
            <v>ST3020-M</v>
          </cell>
          <cell r="B11969" t="str">
            <v>T3020</v>
          </cell>
          <cell r="C11969" t="str">
            <v>ซาติน  แขนสั้นขายาว Spooky Pumpkin M (กปก)</v>
          </cell>
          <cell r="E11969">
            <v>0</v>
          </cell>
          <cell r="F11969">
            <v>890</v>
          </cell>
        </row>
        <row r="11970">
          <cell r="A11970" t="str">
            <v>ST3020-XL</v>
          </cell>
          <cell r="B11970" t="str">
            <v>T3020</v>
          </cell>
          <cell r="C11970" t="str">
            <v>ซาติน แขนสั้นขายาว Spooky Pumpkin XL (กปก)</v>
          </cell>
          <cell r="E11970">
            <v>0</v>
          </cell>
          <cell r="F11970">
            <v>890</v>
          </cell>
        </row>
        <row r="11971">
          <cell r="A11971" t="str">
            <v>ST3021-2XL</v>
          </cell>
          <cell r="B11971" t="str">
            <v>T3021</v>
          </cell>
          <cell r="C11971" t="str">
            <v>ซาติน แขนสั้นขายาว โดนัท พื้นม่วง ขอบขาว 2XL  (กปก)</v>
          </cell>
          <cell r="E11971">
            <v>0</v>
          </cell>
          <cell r="F11971">
            <v>890</v>
          </cell>
        </row>
        <row r="11972">
          <cell r="A11972" t="str">
            <v>ST3021-L</v>
          </cell>
          <cell r="B11972" t="str">
            <v>T3021</v>
          </cell>
          <cell r="C11972" t="str">
            <v>ซาติน แขนสั้นขายาว โดนัท พื้นม่วง ขอบขาว L (กปก)</v>
          </cell>
          <cell r="E11972">
            <v>0</v>
          </cell>
          <cell r="F11972">
            <v>890</v>
          </cell>
        </row>
        <row r="11973">
          <cell r="A11973" t="str">
            <v>ST3021-M</v>
          </cell>
          <cell r="B11973" t="str">
            <v>T3021</v>
          </cell>
          <cell r="C11973" t="str">
            <v>ซาติน แขนสั้นขายาว โดนัท พื้นม่วง ขอบขาว M (กปก)</v>
          </cell>
          <cell r="E11973">
            <v>0</v>
          </cell>
          <cell r="F11973">
            <v>890</v>
          </cell>
        </row>
        <row r="11974">
          <cell r="A11974" t="str">
            <v>ST3021-XL</v>
          </cell>
          <cell r="B11974" t="str">
            <v>T3021</v>
          </cell>
          <cell r="C11974" t="str">
            <v>ซาติน แขนสั้นขายาว โดนัท พื้นม่วง ขอบขาว XL (กปก)</v>
          </cell>
          <cell r="E11974">
            <v>1</v>
          </cell>
          <cell r="F11974">
            <v>890</v>
          </cell>
        </row>
        <row r="11975">
          <cell r="A11975" t="str">
            <v>ST3022-2XL</v>
          </cell>
          <cell r="B11975" t="str">
            <v>T3022</v>
          </cell>
          <cell r="C11975" t="str">
            <v>ซาติน แขนสั้นขายาว shiba พื้นดำ muslin pet 2XL  (กปก)</v>
          </cell>
          <cell r="E11975">
            <v>0</v>
          </cell>
          <cell r="F11975">
            <v>990</v>
          </cell>
        </row>
        <row r="11976">
          <cell r="A11976" t="str">
            <v>ST3022-L</v>
          </cell>
          <cell r="B11976" t="str">
            <v>T3022</v>
          </cell>
          <cell r="C11976" t="str">
            <v>ซาติน แขนสั้นขายาว shiba พื้นดำ muslin pet L (กปก)</v>
          </cell>
          <cell r="E11976">
            <v>0</v>
          </cell>
          <cell r="F11976">
            <v>990</v>
          </cell>
        </row>
        <row r="11977">
          <cell r="A11977" t="str">
            <v>ST3022-M</v>
          </cell>
          <cell r="B11977" t="str">
            <v>T3022</v>
          </cell>
          <cell r="C11977" t="str">
            <v>ซาติน แขนสั้นขายาว shiba พื้นดำ muslin pet M (กปก)</v>
          </cell>
          <cell r="E11977">
            <v>0</v>
          </cell>
          <cell r="F11977">
            <v>990</v>
          </cell>
        </row>
        <row r="11978">
          <cell r="A11978" t="str">
            <v>ST3022-XL</v>
          </cell>
          <cell r="B11978" t="str">
            <v>T3022</v>
          </cell>
          <cell r="C11978" t="str">
            <v>ซาติน แขนสั้นขายาว shiba พื้นดำ muslin pet XL (กปก)</v>
          </cell>
          <cell r="E11978">
            <v>0</v>
          </cell>
          <cell r="F11978">
            <v>990</v>
          </cell>
        </row>
        <row r="11979">
          <cell r="A11979" t="str">
            <v>ST3023-2XL</v>
          </cell>
          <cell r="B11979" t="str">
            <v>T3023</v>
          </cell>
          <cell r="C11979" t="str">
            <v>ซาติน แขนสั้นขายาว monogram ff ส้มอิฐ (กปก) 2XL</v>
          </cell>
          <cell r="E11979">
            <v>2</v>
          </cell>
          <cell r="F11979">
            <v>890</v>
          </cell>
        </row>
        <row r="11980">
          <cell r="A11980" t="str">
            <v>ST3023-L</v>
          </cell>
          <cell r="B11980" t="str">
            <v>T3023</v>
          </cell>
          <cell r="C11980" t="str">
            <v>ซาติน แขนสั้นขายาว monogram ff ส้มอิฐ (กปก) L</v>
          </cell>
          <cell r="E11980">
            <v>0</v>
          </cell>
          <cell r="F11980">
            <v>890</v>
          </cell>
        </row>
        <row r="11981">
          <cell r="A11981" t="str">
            <v>ST3023-M</v>
          </cell>
          <cell r="B11981" t="str">
            <v>T3023</v>
          </cell>
          <cell r="C11981" t="str">
            <v>ซาติน แขนสั้นขายาว monogram ff ส้มอิฐ (กปก) M</v>
          </cell>
          <cell r="E11981">
            <v>0</v>
          </cell>
          <cell r="F11981">
            <v>890</v>
          </cell>
        </row>
        <row r="11982">
          <cell r="A11982" t="str">
            <v>ST3023-XL</v>
          </cell>
          <cell r="B11982" t="str">
            <v>T3023</v>
          </cell>
          <cell r="C11982" t="str">
            <v>ซาติน แขนสั้นขายาว monogram ff ส้มอิฐ (กปก) XL</v>
          </cell>
          <cell r="E11982">
            <v>0</v>
          </cell>
          <cell r="F11982">
            <v>890</v>
          </cell>
        </row>
        <row r="11983">
          <cell r="A11983" t="str">
            <v>ST3025-2XL</v>
          </cell>
          <cell r="B11983" t="str">
            <v>T3025</v>
          </cell>
          <cell r="C11983" t="str">
            <v>ซาติน แขนสั้นขายาว Geology Vibe (กปก) 2XL</v>
          </cell>
          <cell r="E11983">
            <v>0</v>
          </cell>
          <cell r="F11983">
            <v>890</v>
          </cell>
        </row>
        <row r="11984">
          <cell r="A11984" t="str">
            <v>ST3025-L</v>
          </cell>
          <cell r="B11984" t="str">
            <v>QT3025</v>
          </cell>
          <cell r="C11984" t="str">
            <v>ซาติน แขนสั้นขายาว Geology Vibe (กปก) L QC</v>
          </cell>
          <cell r="E11984">
            <v>0</v>
          </cell>
          <cell r="F11984">
            <v>890</v>
          </cell>
        </row>
        <row r="11985">
          <cell r="A11985" t="str">
            <v>ST3025-M</v>
          </cell>
          <cell r="B11985" t="str">
            <v>T3025</v>
          </cell>
          <cell r="C11985" t="str">
            <v>ซาติน แขนสั้นขายาว Geology Vibe (กปก) M</v>
          </cell>
          <cell r="E11985">
            <v>0</v>
          </cell>
          <cell r="F11985">
            <v>890</v>
          </cell>
        </row>
        <row r="11986">
          <cell r="A11986" t="str">
            <v>ST3025-XL</v>
          </cell>
          <cell r="B11986" t="str">
            <v>T3025</v>
          </cell>
          <cell r="C11986" t="str">
            <v>ซาติน แขนสั้นขายาว Geology Vibe (กปก) XL</v>
          </cell>
          <cell r="E11986">
            <v>0</v>
          </cell>
          <cell r="F11986">
            <v>890</v>
          </cell>
        </row>
        <row r="11987">
          <cell r="A11987" t="str">
            <v>ST3026-2XL</v>
          </cell>
          <cell r="B11987" t="str">
            <v>T3026</v>
          </cell>
          <cell r="C11987" t="str">
            <v>ซาติน แขนสั้นขายาว Marble Joy (กปก) 2XL</v>
          </cell>
          <cell r="E11987">
            <v>2</v>
          </cell>
          <cell r="F11987">
            <v>890</v>
          </cell>
        </row>
        <row r="11988">
          <cell r="A11988" t="str">
            <v>ST3026-L</v>
          </cell>
          <cell r="B11988" t="str">
            <v>T3026</v>
          </cell>
          <cell r="C11988" t="str">
            <v>ซาติน แขนสั้นขายาว Marble Joy (กปก) L</v>
          </cell>
          <cell r="E11988">
            <v>0</v>
          </cell>
          <cell r="F11988">
            <v>890</v>
          </cell>
        </row>
        <row r="11989">
          <cell r="A11989" t="str">
            <v>ST3026-M</v>
          </cell>
          <cell r="B11989" t="str">
            <v>T3026</v>
          </cell>
          <cell r="C11989" t="str">
            <v>ซาติน แขนสั้นขายาว Marble Joy (กปก) M</v>
          </cell>
          <cell r="E11989">
            <v>0</v>
          </cell>
          <cell r="F11989">
            <v>890</v>
          </cell>
        </row>
        <row r="11990">
          <cell r="A11990" t="str">
            <v>ST3026-XL</v>
          </cell>
          <cell r="B11990" t="str">
            <v>QT3026</v>
          </cell>
          <cell r="C11990" t="str">
            <v>ซาติน แขนสั้นขายาว Marble Joy (กปก) XL QC</v>
          </cell>
          <cell r="E11990">
            <v>0</v>
          </cell>
          <cell r="F11990">
            <v>890</v>
          </cell>
        </row>
        <row r="11991">
          <cell r="A11991" t="str">
            <v>ST3027-2XL</v>
          </cell>
          <cell r="B11991" t="str">
            <v>QT3027</v>
          </cell>
          <cell r="C11991" t="str">
            <v>ซาติน แขนสั้นขายาว Marble Magenta (กปก) 2XL QC</v>
          </cell>
          <cell r="E11991">
            <v>0</v>
          </cell>
          <cell r="F11991">
            <v>890</v>
          </cell>
        </row>
        <row r="11992">
          <cell r="A11992" t="str">
            <v>ST3027-L</v>
          </cell>
          <cell r="B11992" t="str">
            <v>QT3027</v>
          </cell>
          <cell r="C11992" t="str">
            <v>ซาติน แขนสั้นขายาว Marble Magenta (กปก) L QC</v>
          </cell>
          <cell r="E11992">
            <v>0</v>
          </cell>
          <cell r="F11992">
            <v>890</v>
          </cell>
        </row>
        <row r="11993">
          <cell r="A11993" t="str">
            <v>ST3027-M</v>
          </cell>
          <cell r="B11993" t="str">
            <v>QT3027</v>
          </cell>
          <cell r="C11993" t="str">
            <v>ซาติน แขนสั้นขายาว Marble Magenta (กปก) M QC</v>
          </cell>
          <cell r="E11993">
            <v>0</v>
          </cell>
          <cell r="F11993">
            <v>890</v>
          </cell>
        </row>
        <row r="11994">
          <cell r="A11994" t="str">
            <v>ST3027-XL</v>
          </cell>
          <cell r="B11994" t="str">
            <v>QT3027</v>
          </cell>
          <cell r="C11994" t="str">
            <v>ซาติน แขนสั้นขายาว Marbel Magenta (กปก) XL QC</v>
          </cell>
          <cell r="E11994">
            <v>0</v>
          </cell>
          <cell r="F11994">
            <v>890</v>
          </cell>
        </row>
        <row r="11995">
          <cell r="A11995" t="str">
            <v>ST3029-2XL</v>
          </cell>
          <cell r="B11995" t="str">
            <v>T3029</v>
          </cell>
          <cell r="C11995" t="str">
            <v>ซาติน แขนสั้นขายาว Marble Olive (กปก) 2XL</v>
          </cell>
          <cell r="E11995">
            <v>0</v>
          </cell>
          <cell r="F11995">
            <v>890</v>
          </cell>
        </row>
        <row r="11996">
          <cell r="A11996" t="str">
            <v>ST3029-L</v>
          </cell>
          <cell r="B11996" t="str">
            <v>QT3029</v>
          </cell>
          <cell r="C11996" t="str">
            <v>ซาติน แขนสั้นขายาว Marble Olive (กปก) L QC</v>
          </cell>
          <cell r="E11996">
            <v>0</v>
          </cell>
          <cell r="F11996">
            <v>890</v>
          </cell>
        </row>
        <row r="11997">
          <cell r="A11997" t="str">
            <v>ST3029-M</v>
          </cell>
          <cell r="B11997" t="str">
            <v>T3029</v>
          </cell>
          <cell r="C11997" t="str">
            <v>ซาติน แขนสั้นขายาว Marble Olive (กปก) M</v>
          </cell>
          <cell r="E11997">
            <v>0</v>
          </cell>
          <cell r="F11997">
            <v>0</v>
          </cell>
        </row>
        <row r="11998">
          <cell r="A11998" t="str">
            <v>ST3029-XL</v>
          </cell>
          <cell r="B11998" t="str">
            <v>T3029</v>
          </cell>
          <cell r="C11998" t="str">
            <v>ซาติน แขนสั้นขายาว Marble Olive (กปก) XL</v>
          </cell>
          <cell r="E11998">
            <v>0</v>
          </cell>
          <cell r="F11998">
            <v>890</v>
          </cell>
        </row>
        <row r="11999">
          <cell r="A11999" t="str">
            <v>ST3030-2XL</v>
          </cell>
          <cell r="B11999" t="str">
            <v>QT3030</v>
          </cell>
          <cell r="C11999" t="str">
            <v>ซาติน แขนสั้นขายาว Navy Doodle (กปก) 2XL QC</v>
          </cell>
          <cell r="E11999">
            <v>0</v>
          </cell>
          <cell r="F11999">
            <v>890</v>
          </cell>
        </row>
        <row r="12000">
          <cell r="A12000" t="str">
            <v>ST3030-L</v>
          </cell>
          <cell r="B12000" t="str">
            <v>T3030</v>
          </cell>
          <cell r="C12000" t="str">
            <v>ซาติน แขนสั้นขายาว Navy Doodle (กปก) L</v>
          </cell>
          <cell r="E12000">
            <v>0</v>
          </cell>
          <cell r="F12000">
            <v>890</v>
          </cell>
        </row>
        <row r="12001">
          <cell r="A12001" t="str">
            <v>ST3030-M</v>
          </cell>
          <cell r="B12001" t="str">
            <v>T3030</v>
          </cell>
          <cell r="C12001" t="str">
            <v>ซาติน แขนสั้นขายาว Navy Doodle (กปก) M</v>
          </cell>
          <cell r="E12001">
            <v>0</v>
          </cell>
          <cell r="F12001">
            <v>890</v>
          </cell>
        </row>
        <row r="12002">
          <cell r="A12002" t="str">
            <v>ST3030-XL</v>
          </cell>
          <cell r="B12002" t="str">
            <v>QT3030</v>
          </cell>
          <cell r="C12002" t="str">
            <v>ซาติน แขนสั้นขายาว Navy Doodle (กปก) XL QC</v>
          </cell>
          <cell r="E12002">
            <v>0</v>
          </cell>
          <cell r="F12002">
            <v>890</v>
          </cell>
        </row>
        <row r="12003">
          <cell r="A12003" t="str">
            <v>ST3031-2XL</v>
          </cell>
          <cell r="B12003" t="str">
            <v>T3031</v>
          </cell>
          <cell r="C12003" t="str">
            <v>ซาติน แขนสั้นขายาว Very PeriBlue (กปก) 2XL</v>
          </cell>
          <cell r="E12003">
            <v>4</v>
          </cell>
          <cell r="F12003">
            <v>890</v>
          </cell>
        </row>
        <row r="12004">
          <cell r="A12004" t="str">
            <v>ST3031-L</v>
          </cell>
          <cell r="B12004" t="str">
            <v>T3031</v>
          </cell>
          <cell r="C12004" t="str">
            <v>ซาติน แขนสั้นขายาว Very PeriBlue (กปก) L</v>
          </cell>
          <cell r="E12004">
            <v>5</v>
          </cell>
          <cell r="F12004">
            <v>890</v>
          </cell>
        </row>
        <row r="12005">
          <cell r="A12005" t="str">
            <v>ST3031-M</v>
          </cell>
          <cell r="B12005" t="str">
            <v>T3031</v>
          </cell>
          <cell r="C12005" t="str">
            <v>ซาติน แขนสั้นขายาว Very PeriBlue (กปก) M</v>
          </cell>
          <cell r="E12005">
            <v>0</v>
          </cell>
          <cell r="F12005">
            <v>890</v>
          </cell>
        </row>
        <row r="12006">
          <cell r="A12006" t="str">
            <v>ST3031-XL</v>
          </cell>
          <cell r="B12006" t="str">
            <v>T3031</v>
          </cell>
          <cell r="C12006" t="str">
            <v>ซาติน แขนสั้นขายาว Very PeriBlue (กปก) XL</v>
          </cell>
          <cell r="E12006">
            <v>4</v>
          </cell>
          <cell r="F12006">
            <v>890</v>
          </cell>
        </row>
        <row r="12007">
          <cell r="A12007" t="str">
            <v>ST3033-2XL</v>
          </cell>
          <cell r="B12007" t="str">
            <v>T3033</v>
          </cell>
          <cell r="C12007" t="str">
            <v>ซาติน แขนสั้นขายาว Hazelnut Bisque (กปก) 2XL</v>
          </cell>
          <cell r="E12007">
            <v>4</v>
          </cell>
          <cell r="F12007">
            <v>890</v>
          </cell>
        </row>
        <row r="12008">
          <cell r="A12008" t="str">
            <v>ST3033-L</v>
          </cell>
          <cell r="B12008" t="str">
            <v>T3033</v>
          </cell>
          <cell r="C12008" t="str">
            <v>ซาติน แขนสั้นขายาว Hazelnut Bisque (กปก) L</v>
          </cell>
          <cell r="E12008">
            <v>0</v>
          </cell>
          <cell r="F12008">
            <v>890</v>
          </cell>
        </row>
        <row r="12009">
          <cell r="A12009" t="str">
            <v>ST3033-M</v>
          </cell>
          <cell r="B12009" t="str">
            <v>T3033</v>
          </cell>
          <cell r="C12009" t="str">
            <v>ซาติน แขนสั้นขายาว Hazelnut Bisque (กปก) M</v>
          </cell>
          <cell r="E12009">
            <v>0</v>
          </cell>
          <cell r="F12009">
            <v>890</v>
          </cell>
        </row>
        <row r="12010">
          <cell r="A12010" t="str">
            <v>ST3033-XL</v>
          </cell>
          <cell r="B12010" t="str">
            <v>T3033</v>
          </cell>
          <cell r="C12010" t="str">
            <v>ซาติน แขนสั้นขายาว Hazelnut Bisque (กปก) XL</v>
          </cell>
          <cell r="E12010">
            <v>0</v>
          </cell>
          <cell r="F12010">
            <v>890</v>
          </cell>
        </row>
        <row r="12011">
          <cell r="A12011" t="str">
            <v>ST3034-2XL</v>
          </cell>
          <cell r="B12011" t="str">
            <v>T3034</v>
          </cell>
          <cell r="C12011" t="str">
            <v>ซาติน แขนสั้นขายาว Monogrey ff 2XL (กปก)</v>
          </cell>
          <cell r="E12011">
            <v>0</v>
          </cell>
          <cell r="F12011">
            <v>890</v>
          </cell>
        </row>
        <row r="12012">
          <cell r="A12012" t="str">
            <v>ST3034-L</v>
          </cell>
          <cell r="B12012" t="str">
            <v>T3034</v>
          </cell>
          <cell r="C12012" t="str">
            <v>ซาติน แขนสั้นขายาว Monogrey ff L (กปก)</v>
          </cell>
          <cell r="E12012">
            <v>1</v>
          </cell>
          <cell r="F12012">
            <v>890</v>
          </cell>
        </row>
        <row r="12013">
          <cell r="A12013" t="str">
            <v>ST3034-M</v>
          </cell>
          <cell r="B12013" t="str">
            <v>T3034</v>
          </cell>
          <cell r="C12013" t="str">
            <v>ซาติน แขนสั้นขายาว Monogrey ff M (กปก)</v>
          </cell>
          <cell r="E12013">
            <v>1</v>
          </cell>
          <cell r="F12013">
            <v>890</v>
          </cell>
        </row>
        <row r="12014">
          <cell r="A12014" t="str">
            <v>ST3034-XL</v>
          </cell>
          <cell r="B12014" t="str">
            <v>T3034</v>
          </cell>
          <cell r="C12014" t="str">
            <v>ซาติน แขนสั้นขายาว Monogrey ff XL (กปก)</v>
          </cell>
          <cell r="E12014">
            <v>6</v>
          </cell>
          <cell r="F12014">
            <v>890</v>
          </cell>
        </row>
        <row r="12015">
          <cell r="A12015" t="str">
            <v>ST3036-2XL</v>
          </cell>
          <cell r="B12015" t="str">
            <v>T3036</v>
          </cell>
          <cell r="C12015" t="str">
            <v>ซาติน แขนสั้นขายาว Golden Peacock (กปก) 2XL</v>
          </cell>
          <cell r="E12015">
            <v>8</v>
          </cell>
          <cell r="F12015">
            <v>890</v>
          </cell>
        </row>
        <row r="12016">
          <cell r="A12016" t="str">
            <v>ST3036-L</v>
          </cell>
          <cell r="B12016" t="str">
            <v>T3036</v>
          </cell>
          <cell r="C12016" t="str">
            <v>ซาติน แขนสั้นขายาว Golden Peacock (กปก) L</v>
          </cell>
          <cell r="E12016">
            <v>1</v>
          </cell>
          <cell r="F12016">
            <v>890</v>
          </cell>
        </row>
        <row r="12017">
          <cell r="A12017" t="str">
            <v>ST3036-M</v>
          </cell>
          <cell r="B12017" t="str">
            <v>T3036</v>
          </cell>
          <cell r="C12017" t="str">
            <v>ซาติน แขนสั้นขายาว Golden Peacock (กปก) M</v>
          </cell>
          <cell r="E12017">
            <v>0</v>
          </cell>
          <cell r="F12017">
            <v>890</v>
          </cell>
        </row>
        <row r="12018">
          <cell r="A12018" t="str">
            <v>ST3036-XL</v>
          </cell>
          <cell r="B12018" t="str">
            <v>T3036</v>
          </cell>
          <cell r="C12018" t="str">
            <v>ซาติน แขนสั้นขายาว Golden Peacock (กปก) XL</v>
          </cell>
          <cell r="E12018">
            <v>4</v>
          </cell>
          <cell r="F12018">
            <v>890</v>
          </cell>
        </row>
        <row r="12019">
          <cell r="A12019" t="str">
            <v>ST3037-2XL</v>
          </cell>
          <cell r="B12019" t="str">
            <v>T3037</v>
          </cell>
          <cell r="C12019" t="str">
            <v>ซาติน แขนสั้นขายาว Diplo Bermuda 2XL</v>
          </cell>
          <cell r="E12019">
            <v>7</v>
          </cell>
          <cell r="F12019">
            <v>890</v>
          </cell>
        </row>
        <row r="12020">
          <cell r="A12020" t="str">
            <v>ST3037-L</v>
          </cell>
          <cell r="B12020" t="str">
            <v>T3037</v>
          </cell>
          <cell r="C12020" t="str">
            <v>ซาติน แขนสั้นขายาว Diplo Bermuda L</v>
          </cell>
          <cell r="E12020">
            <v>9</v>
          </cell>
          <cell r="F12020">
            <v>890</v>
          </cell>
        </row>
        <row r="12021">
          <cell r="A12021" t="str">
            <v>ST3037-M</v>
          </cell>
          <cell r="B12021" t="str">
            <v>T3037</v>
          </cell>
          <cell r="C12021" t="str">
            <v>ซาติน แขนสั้นขายาว Diplo Bermuda M</v>
          </cell>
          <cell r="E12021">
            <v>2</v>
          </cell>
          <cell r="F12021">
            <v>890</v>
          </cell>
        </row>
        <row r="12022">
          <cell r="A12022" t="str">
            <v>ST3037-XL</v>
          </cell>
          <cell r="B12022" t="str">
            <v>T3037</v>
          </cell>
          <cell r="C12022" t="str">
            <v>ซาติน แขนสั้นขายาว Diplo Bermuda XL</v>
          </cell>
          <cell r="E12022">
            <v>3</v>
          </cell>
          <cell r="F12022">
            <v>890</v>
          </cell>
        </row>
        <row r="12023">
          <cell r="A12023" t="str">
            <v>ST3038-2XL</v>
          </cell>
          <cell r="B12023" t="str">
            <v>T3038</v>
          </cell>
          <cell r="C12023" t="str">
            <v>ซาติน แขนสั้นขายาว Beauty Antique (มีกปก) 2XL</v>
          </cell>
          <cell r="E12023">
            <v>1</v>
          </cell>
          <cell r="F12023">
            <v>890</v>
          </cell>
        </row>
        <row r="12024">
          <cell r="A12024" t="str">
            <v>ST3038-L</v>
          </cell>
          <cell r="B12024" t="str">
            <v>T3038</v>
          </cell>
          <cell r="C12024" t="str">
            <v>ซาติน แขนสั้นขายาว Beauty Antique (มีกปก) L</v>
          </cell>
          <cell r="E12024">
            <v>11</v>
          </cell>
          <cell r="F12024">
            <v>890</v>
          </cell>
        </row>
        <row r="12025">
          <cell r="A12025" t="str">
            <v>ST3038-M</v>
          </cell>
          <cell r="B12025" t="str">
            <v>T3038</v>
          </cell>
          <cell r="C12025" t="str">
            <v>ซาติน แขนสั้นขายาว Beauty Antique (มีกปก) M</v>
          </cell>
          <cell r="E12025">
            <v>3</v>
          </cell>
          <cell r="F12025">
            <v>890</v>
          </cell>
        </row>
        <row r="12026">
          <cell r="A12026" t="str">
            <v>ST3038-XL</v>
          </cell>
          <cell r="B12026" t="str">
            <v>T3038</v>
          </cell>
          <cell r="C12026" t="str">
            <v>ซาติน แขนสั้นขายาว Beauty Antique (มีกปก) XL</v>
          </cell>
          <cell r="E12026">
            <v>3</v>
          </cell>
          <cell r="F12026">
            <v>890</v>
          </cell>
        </row>
        <row r="12027">
          <cell r="A12027" t="str">
            <v>ST3039-2XL</v>
          </cell>
          <cell r="B12027" t="str">
            <v>T3039</v>
          </cell>
          <cell r="C12027" t="str">
            <v>ซาติน แขนสั้นขายาว Flaming Lily (กปก) 2XL</v>
          </cell>
          <cell r="E12027">
            <v>0</v>
          </cell>
          <cell r="F12027">
            <v>890</v>
          </cell>
        </row>
        <row r="12028">
          <cell r="A12028" t="str">
            <v>ST3039-L</v>
          </cell>
          <cell r="B12028" t="str">
            <v>T3039</v>
          </cell>
          <cell r="C12028" t="str">
            <v>ซาติน แขนสั้นขายาว Flaming Lily (กปก) L</v>
          </cell>
          <cell r="E12028">
            <v>0</v>
          </cell>
          <cell r="F12028">
            <v>890</v>
          </cell>
        </row>
        <row r="12029">
          <cell r="A12029" t="str">
            <v>ST3039-M</v>
          </cell>
          <cell r="B12029" t="str">
            <v>T3039</v>
          </cell>
          <cell r="C12029" t="str">
            <v>ซาติน แขนสั้นขายาว Flaming Lily (กปก) M</v>
          </cell>
          <cell r="E12029">
            <v>12</v>
          </cell>
          <cell r="F12029">
            <v>890</v>
          </cell>
        </row>
        <row r="12030">
          <cell r="A12030" t="str">
            <v>ST3039-XL</v>
          </cell>
          <cell r="B12030" t="str">
            <v>T3039</v>
          </cell>
          <cell r="C12030" t="str">
            <v>ซาติน แขนสั้นขายาว Flaming Lily (กปก) XL</v>
          </cell>
          <cell r="E12030">
            <v>0</v>
          </cell>
          <cell r="F12030">
            <v>890</v>
          </cell>
        </row>
        <row r="12031">
          <cell r="A12031" t="str">
            <v>ST3040-2XL</v>
          </cell>
          <cell r="B12031" t="str">
            <v>T3040</v>
          </cell>
          <cell r="C12031" t="str">
            <v>ซาติน แขนสั้นขายาว Early Grey Roses (กปก) 2XL</v>
          </cell>
          <cell r="E12031">
            <v>0</v>
          </cell>
          <cell r="F12031">
            <v>890</v>
          </cell>
        </row>
        <row r="12032">
          <cell r="A12032" t="str">
            <v>ST3040-L</v>
          </cell>
          <cell r="B12032" t="str">
            <v>T3040</v>
          </cell>
          <cell r="C12032" t="str">
            <v>ซาติน แขนสั้นขายาว Early Grey Roses (กปก) L</v>
          </cell>
          <cell r="E12032">
            <v>0</v>
          </cell>
          <cell r="F12032">
            <v>890</v>
          </cell>
        </row>
        <row r="12033">
          <cell r="A12033" t="str">
            <v>ST3040-M</v>
          </cell>
          <cell r="B12033" t="str">
            <v>T3040</v>
          </cell>
          <cell r="C12033" t="str">
            <v>ซาติน แขนสั้นขายาว Early Grey Roses (กปก) M</v>
          </cell>
          <cell r="E12033">
            <v>0</v>
          </cell>
          <cell r="F12033">
            <v>890</v>
          </cell>
        </row>
        <row r="12034">
          <cell r="A12034" t="str">
            <v>ST3040-XL</v>
          </cell>
          <cell r="B12034" t="str">
            <v>T3040</v>
          </cell>
          <cell r="C12034" t="str">
            <v>ซาติน แขนสั้นขายาว Early Grey Roses (กปก) XL</v>
          </cell>
          <cell r="E12034">
            <v>0</v>
          </cell>
          <cell r="F12034">
            <v>890</v>
          </cell>
        </row>
        <row r="12035">
          <cell r="A12035" t="str">
            <v>ST3041-2XL</v>
          </cell>
          <cell r="B12035" t="str">
            <v>T3041</v>
          </cell>
          <cell r="C12035" t="str">
            <v>ซาติน แขนสั้นขายาว Primitive World (มีกปก) 2XL</v>
          </cell>
          <cell r="E12035">
            <v>0</v>
          </cell>
          <cell r="F12035">
            <v>890</v>
          </cell>
        </row>
        <row r="12036">
          <cell r="A12036" t="str">
            <v>ST3041-L</v>
          </cell>
          <cell r="B12036" t="str">
            <v>T3041</v>
          </cell>
          <cell r="C12036" t="str">
            <v>ซาติน แขนสั้นขายาว Primitive World (มีกปก) L</v>
          </cell>
          <cell r="E12036">
            <v>0</v>
          </cell>
          <cell r="F12036">
            <v>890</v>
          </cell>
        </row>
        <row r="12037">
          <cell r="A12037" t="str">
            <v>ST3041-M</v>
          </cell>
          <cell r="B12037" t="str">
            <v>T3041</v>
          </cell>
          <cell r="C12037" t="str">
            <v>ซาติน แขนสั้นขายาว Primitive World (มีกปก) M</v>
          </cell>
          <cell r="E12037">
            <v>0</v>
          </cell>
          <cell r="F12037">
            <v>890</v>
          </cell>
        </row>
        <row r="12038">
          <cell r="A12038" t="str">
            <v>ST3041-XL</v>
          </cell>
          <cell r="B12038" t="str">
            <v>T3041</v>
          </cell>
          <cell r="C12038" t="str">
            <v>ซาติน แขนสั้นขายาว Primitive World (มีกปก) XL</v>
          </cell>
          <cell r="E12038">
            <v>2</v>
          </cell>
          <cell r="F12038">
            <v>890</v>
          </cell>
        </row>
        <row r="12039">
          <cell r="A12039" t="str">
            <v>ST3042-2XL</v>
          </cell>
          <cell r="B12039" t="str">
            <v>T3042</v>
          </cell>
          <cell r="C12039" t="str">
            <v>ซาติน แขนสั้นขายาว Artnimal 2XL</v>
          </cell>
          <cell r="E12039">
            <v>11</v>
          </cell>
          <cell r="F12039">
            <v>890</v>
          </cell>
        </row>
        <row r="12040">
          <cell r="A12040" t="str">
            <v>ST3042-L</v>
          </cell>
          <cell r="B12040" t="str">
            <v>T3042</v>
          </cell>
          <cell r="C12040" t="str">
            <v>ซาติน แขนสั้นขายาว Artnimal L</v>
          </cell>
          <cell r="E12040">
            <v>7</v>
          </cell>
          <cell r="F12040">
            <v>890</v>
          </cell>
        </row>
        <row r="12041">
          <cell r="A12041" t="str">
            <v>ST3042-M</v>
          </cell>
          <cell r="B12041" t="str">
            <v>T3042</v>
          </cell>
          <cell r="C12041" t="str">
            <v>ซาติน แขนสั้นขายาว Artnimal M</v>
          </cell>
          <cell r="E12041">
            <v>3</v>
          </cell>
          <cell r="F12041">
            <v>890</v>
          </cell>
        </row>
        <row r="12042">
          <cell r="A12042" t="str">
            <v>ST3042-XL</v>
          </cell>
          <cell r="B12042" t="str">
            <v>T3042</v>
          </cell>
          <cell r="C12042" t="str">
            <v>ซาติน แขนสั้นขายาว Artnimal XL</v>
          </cell>
          <cell r="E12042">
            <v>11</v>
          </cell>
          <cell r="F12042">
            <v>890</v>
          </cell>
        </row>
        <row r="12043">
          <cell r="A12043" t="str">
            <v>ST3043-2XL</v>
          </cell>
          <cell r="B12043" t="str">
            <v>T3043</v>
          </cell>
          <cell r="C12043" t="str">
            <v>ซาติน แขนสั้นขายาว Istanblue City 2XL (กปก)</v>
          </cell>
          <cell r="E12043">
            <v>0</v>
          </cell>
          <cell r="F12043">
            <v>890</v>
          </cell>
        </row>
        <row r="12044">
          <cell r="A12044" t="str">
            <v>ST3043-L</v>
          </cell>
          <cell r="B12044" t="str">
            <v>T3043</v>
          </cell>
          <cell r="C12044" t="str">
            <v>ซาติน แขนสั้นขายาว Istanblue City L (กปก)</v>
          </cell>
          <cell r="E12044">
            <v>0</v>
          </cell>
          <cell r="F12044">
            <v>890</v>
          </cell>
        </row>
        <row r="12045">
          <cell r="A12045" t="str">
            <v>ST3043-M</v>
          </cell>
          <cell r="B12045" t="str">
            <v>T3043</v>
          </cell>
          <cell r="C12045" t="str">
            <v>ซาติน แขนสั้นขายาว Istanblue City M (กปก)</v>
          </cell>
          <cell r="E12045">
            <v>0</v>
          </cell>
          <cell r="F12045">
            <v>890</v>
          </cell>
        </row>
        <row r="12046">
          <cell r="A12046" t="str">
            <v>ST3043-XL</v>
          </cell>
          <cell r="B12046" t="str">
            <v>T3043</v>
          </cell>
          <cell r="C12046" t="str">
            <v>ซาติน แขนสั้นขายาว Istanblue City XL (กปก)</v>
          </cell>
          <cell r="E12046">
            <v>0</v>
          </cell>
          <cell r="F12046">
            <v>890</v>
          </cell>
        </row>
        <row r="12047">
          <cell r="A12047" t="str">
            <v>ST4000-2XL</v>
          </cell>
          <cell r="B12047" t="str">
            <v>T4000</v>
          </cell>
          <cell r="C12047" t="str">
            <v>ซาติน แขนสั้นขายาว Muslin dark brown 2XL (กปก)</v>
          </cell>
          <cell r="E12047">
            <v>3</v>
          </cell>
          <cell r="F12047">
            <v>890</v>
          </cell>
        </row>
        <row r="12048">
          <cell r="A12048" t="str">
            <v>ST4000-L</v>
          </cell>
          <cell r="B12048" t="str">
            <v>T4000</v>
          </cell>
          <cell r="C12048" t="str">
            <v>ซาติน แขนสั้นขายาว Muslin dark brown L (กปก)</v>
          </cell>
          <cell r="E12048">
            <v>0</v>
          </cell>
          <cell r="F12048">
            <v>890</v>
          </cell>
        </row>
        <row r="12049">
          <cell r="A12049" t="str">
            <v>ST4000-M</v>
          </cell>
          <cell r="B12049" t="str">
            <v>T4000</v>
          </cell>
          <cell r="C12049" t="str">
            <v>ซาติน แขนสั้นขายาว Muslin dark brown M (กปก)</v>
          </cell>
          <cell r="E12049">
            <v>0</v>
          </cell>
          <cell r="F12049">
            <v>890</v>
          </cell>
        </row>
        <row r="12050">
          <cell r="A12050" t="str">
            <v>ST4000-XL</v>
          </cell>
          <cell r="B12050" t="str">
            <v>T4000</v>
          </cell>
          <cell r="C12050" t="str">
            <v>ซาติน แขนสั้นขายาว Muslin dark brown XL (กปก)</v>
          </cell>
          <cell r="E12050">
            <v>2</v>
          </cell>
          <cell r="F12050">
            <v>890</v>
          </cell>
        </row>
        <row r="12051">
          <cell r="A12051" t="str">
            <v>ST4001-2XL</v>
          </cell>
          <cell r="B12051" t="str">
            <v>T4001</v>
          </cell>
          <cell r="C12051" t="str">
            <v>ซาติน แขนสั้นขายาว Muslin green mermaid 2XL (กปก)</v>
          </cell>
          <cell r="E12051">
            <v>10</v>
          </cell>
          <cell r="F12051">
            <v>890</v>
          </cell>
        </row>
        <row r="12052">
          <cell r="A12052" t="str">
            <v>ST4001-L</v>
          </cell>
          <cell r="B12052" t="str">
            <v>T4001</v>
          </cell>
          <cell r="C12052" t="str">
            <v>ซาติน แขนสั้นขายาว Muslin green mermaid L (กปก)</v>
          </cell>
          <cell r="E12052">
            <v>0</v>
          </cell>
          <cell r="F12052">
            <v>890</v>
          </cell>
        </row>
        <row r="12053">
          <cell r="A12053" t="str">
            <v>ST4001-M</v>
          </cell>
          <cell r="B12053" t="str">
            <v>T4001</v>
          </cell>
          <cell r="C12053" t="str">
            <v>ซาติน แขนสั้นขายาว Muslin green mermaid M (กปก)</v>
          </cell>
          <cell r="E12053">
            <v>0</v>
          </cell>
          <cell r="F12053">
            <v>890</v>
          </cell>
        </row>
        <row r="12054">
          <cell r="A12054" t="str">
            <v>ST4001-XL</v>
          </cell>
          <cell r="B12054" t="str">
            <v>T4001</v>
          </cell>
          <cell r="C12054" t="str">
            <v>ซาติน แขนสั้นขายาว Muslin green mermaid XL (กปก)</v>
          </cell>
          <cell r="E12054">
            <v>6</v>
          </cell>
          <cell r="F12054">
            <v>890</v>
          </cell>
        </row>
        <row r="12055">
          <cell r="A12055" t="str">
            <v>ST4002-2XL</v>
          </cell>
          <cell r="B12055" t="str">
            <v>T4002</v>
          </cell>
          <cell r="C12055" t="str">
            <v>ซาติน แขนสั้นขายาว Muslin vanila 2XL (กปก)</v>
          </cell>
          <cell r="E12055">
            <v>0</v>
          </cell>
          <cell r="F12055">
            <v>890</v>
          </cell>
        </row>
        <row r="12056">
          <cell r="A12056" t="str">
            <v>ST4002-L</v>
          </cell>
          <cell r="B12056" t="str">
            <v>T4002</v>
          </cell>
          <cell r="C12056" t="str">
            <v>ซาติน แขนสั้นขายาว Muslin vanila L (กปก)</v>
          </cell>
          <cell r="E12056">
            <v>0</v>
          </cell>
          <cell r="F12056">
            <v>890</v>
          </cell>
        </row>
        <row r="12057">
          <cell r="A12057" t="str">
            <v>ST4002-M</v>
          </cell>
          <cell r="B12057" t="str">
            <v>T4002</v>
          </cell>
          <cell r="C12057" t="str">
            <v>ซาติน แขนสั้นขายาว Muslin vanila M (กปก)</v>
          </cell>
          <cell r="E12057">
            <v>0</v>
          </cell>
          <cell r="F12057">
            <v>890</v>
          </cell>
        </row>
        <row r="12058">
          <cell r="A12058" t="str">
            <v>ST4002-XL</v>
          </cell>
          <cell r="B12058" t="str">
            <v>T4002</v>
          </cell>
          <cell r="C12058" t="str">
            <v>ซาติน แขนสั้นขายาว Muslin vanila XL (กปก)</v>
          </cell>
          <cell r="E12058">
            <v>0</v>
          </cell>
          <cell r="F12058">
            <v>890</v>
          </cell>
        </row>
        <row r="12059">
          <cell r="A12059" t="str">
            <v>ST4003-2XL</v>
          </cell>
          <cell r="B12059" t="str">
            <v>T4003</v>
          </cell>
          <cell r="C12059" t="str">
            <v>ซาติน แขนสั้นขายาว Muslin wine 2XL (กปก)</v>
          </cell>
          <cell r="E12059">
            <v>0</v>
          </cell>
          <cell r="F12059">
            <v>890</v>
          </cell>
        </row>
        <row r="12060">
          <cell r="A12060" t="str">
            <v>ST4003-L</v>
          </cell>
          <cell r="B12060" t="str">
            <v>T4003</v>
          </cell>
          <cell r="C12060" t="str">
            <v>ซาติน แขนสั้นขายาว Muslin wine L (กปก)</v>
          </cell>
          <cell r="E12060">
            <v>0</v>
          </cell>
          <cell r="F12060">
            <v>890</v>
          </cell>
        </row>
        <row r="12061">
          <cell r="A12061" t="str">
            <v>ST4003-M</v>
          </cell>
          <cell r="B12061" t="str">
            <v>T4003</v>
          </cell>
          <cell r="C12061" t="str">
            <v>ซาติน แขนสั้นขายาว Muslin wine M (กปก)</v>
          </cell>
          <cell r="E12061">
            <v>0</v>
          </cell>
          <cell r="F12061">
            <v>890</v>
          </cell>
        </row>
        <row r="12062">
          <cell r="A12062" t="str">
            <v>ST4003-XL</v>
          </cell>
          <cell r="B12062" t="str">
            <v>T4003</v>
          </cell>
          <cell r="C12062" t="str">
            <v>ซาติน แขนสั้นขายาว Muslin wine XL (กปก)</v>
          </cell>
          <cell r="E12062">
            <v>1</v>
          </cell>
          <cell r="F12062">
            <v>890</v>
          </cell>
        </row>
        <row r="12063">
          <cell r="A12063" t="str">
            <v>ST4004-2XL</v>
          </cell>
          <cell r="B12063" t="str">
            <v>T4004</v>
          </cell>
          <cell r="C12063" t="str">
            <v>ซาติน แขนสั้นขายาว Muslin ม่วงเปลือกมังคุด 2XL (กปก)</v>
          </cell>
          <cell r="E12063">
            <v>10</v>
          </cell>
          <cell r="F12063">
            <v>890</v>
          </cell>
        </row>
        <row r="12064">
          <cell r="A12064" t="str">
            <v>ST4004-L</v>
          </cell>
          <cell r="B12064" t="str">
            <v>T4004</v>
          </cell>
          <cell r="C12064" t="str">
            <v>ซาติน แขนสั้นขายาว Muslin ม่วงเปลือกมังคุด L (กปก)</v>
          </cell>
          <cell r="E12064">
            <v>0</v>
          </cell>
          <cell r="F12064">
            <v>890</v>
          </cell>
        </row>
        <row r="12065">
          <cell r="A12065" t="str">
            <v>ST4004-M</v>
          </cell>
          <cell r="B12065" t="str">
            <v>T4004</v>
          </cell>
          <cell r="C12065" t="str">
            <v>ซาติน แขนสั้นขายาว Muslin ม่วงเปลือกมังคุด M (กปก)</v>
          </cell>
          <cell r="E12065">
            <v>0</v>
          </cell>
          <cell r="F12065">
            <v>890</v>
          </cell>
        </row>
        <row r="12066">
          <cell r="A12066" t="str">
            <v>ST4004-XL</v>
          </cell>
          <cell r="B12066" t="str">
            <v>T4004</v>
          </cell>
          <cell r="C12066" t="str">
            <v>ซาติน แขนสั้นขายาว Muslin ม่วงเปลือกมังคุด XL (กปก)</v>
          </cell>
          <cell r="E12066">
            <v>5</v>
          </cell>
          <cell r="F12066">
            <v>890</v>
          </cell>
        </row>
        <row r="12067">
          <cell r="A12067" t="str">
            <v>ST4005-2XL</v>
          </cell>
          <cell r="B12067" t="str">
            <v>T4005</v>
          </cell>
          <cell r="C12067" t="str">
            <v>ซาติน แขนสั้นขายาว Muslin ม่วงอ่อน 2XL (กปก)</v>
          </cell>
          <cell r="E12067">
            <v>9</v>
          </cell>
          <cell r="F12067">
            <v>890</v>
          </cell>
        </row>
        <row r="12068">
          <cell r="A12068" t="str">
            <v>ST4005-L</v>
          </cell>
          <cell r="B12068" t="str">
            <v>T4005</v>
          </cell>
          <cell r="C12068" t="str">
            <v>ซาติน แขนสั้นขายาว Muslin ม่วงอ่อน  L (กปก)</v>
          </cell>
          <cell r="E12068">
            <v>0</v>
          </cell>
          <cell r="F12068">
            <v>890</v>
          </cell>
        </row>
        <row r="12069">
          <cell r="A12069" t="str">
            <v>ST4005-M</v>
          </cell>
          <cell r="B12069" t="str">
            <v>T4005</v>
          </cell>
          <cell r="C12069" t="str">
            <v>ซาติน แขนสั้นขายาว Muslin ม่วงอ่อน  M (กปก)</v>
          </cell>
          <cell r="E12069">
            <v>0</v>
          </cell>
          <cell r="F12069">
            <v>890</v>
          </cell>
        </row>
        <row r="12070">
          <cell r="A12070" t="str">
            <v>ST4005-XL</v>
          </cell>
          <cell r="B12070" t="str">
            <v>T4005</v>
          </cell>
          <cell r="C12070" t="str">
            <v>ซาติน แขนสั้นขายาว Muslin ม่วงอ่อน XL (กปก)</v>
          </cell>
          <cell r="E12070">
            <v>4</v>
          </cell>
          <cell r="F12070">
            <v>890</v>
          </cell>
        </row>
        <row r="12071">
          <cell r="A12071" t="str">
            <v>ST4006-2XL</v>
          </cell>
          <cell r="B12071" t="str">
            <v>T4006</v>
          </cell>
          <cell r="C12071" t="str">
            <v>ซาติน แขนสั้นขายาว Muslin pinky 2XL (กปก)</v>
          </cell>
          <cell r="E12071">
            <v>11</v>
          </cell>
          <cell r="F12071">
            <v>890</v>
          </cell>
        </row>
        <row r="12072">
          <cell r="A12072" t="str">
            <v>ST4006-L</v>
          </cell>
          <cell r="B12072" t="str">
            <v>T4006</v>
          </cell>
          <cell r="C12072" t="str">
            <v>ซาติน แขนสั้นขายาว Muslin pinky L (กปก)</v>
          </cell>
          <cell r="E12072">
            <v>0</v>
          </cell>
          <cell r="F12072">
            <v>890</v>
          </cell>
        </row>
        <row r="12073">
          <cell r="A12073" t="str">
            <v>ST4006-M</v>
          </cell>
          <cell r="B12073" t="str">
            <v>T4006</v>
          </cell>
          <cell r="C12073" t="str">
            <v>ซาติน แขนสั้นขายาว Muslin pinky M (กปก)</v>
          </cell>
          <cell r="E12073">
            <v>0</v>
          </cell>
          <cell r="F12073">
            <v>890</v>
          </cell>
        </row>
        <row r="12074">
          <cell r="A12074" t="str">
            <v>ST4006-XL</v>
          </cell>
          <cell r="B12074" t="str">
            <v>T4006</v>
          </cell>
          <cell r="C12074" t="str">
            <v>ซาติน แขนสั้นขายาว Muslin pinky XL (กปก)</v>
          </cell>
          <cell r="E12074">
            <v>2</v>
          </cell>
          <cell r="F12074">
            <v>890</v>
          </cell>
        </row>
        <row r="12075">
          <cell r="A12075" t="str">
            <v>SU0001-L</v>
          </cell>
          <cell r="B12075" t="str">
            <v>U1</v>
          </cell>
          <cell r="C12075" t="str">
            <v>ซาติน แขนยาวขาสั้น สีเทียน ขอบเขียว L</v>
          </cell>
          <cell r="E12075">
            <v>0</v>
          </cell>
          <cell r="F12075">
            <v>590</v>
          </cell>
        </row>
        <row r="12076">
          <cell r="A12076" t="str">
            <v>SU0001-M</v>
          </cell>
          <cell r="B12076" t="str">
            <v>U1</v>
          </cell>
          <cell r="C12076" t="str">
            <v>ซาติน แขนยาวขาสั้น สีเทียน ขอบเขียว M</v>
          </cell>
          <cell r="E12076">
            <v>0</v>
          </cell>
          <cell r="F12076">
            <v>890</v>
          </cell>
        </row>
        <row r="12077">
          <cell r="A12077" t="str">
            <v>SU0001-XL</v>
          </cell>
          <cell r="B12077" t="str">
            <v>U1</v>
          </cell>
          <cell r="C12077" t="str">
            <v>ซาติน แขนยาวขาสั้น สีเทียน ขอบเขียว XL</v>
          </cell>
          <cell r="E12077">
            <v>0</v>
          </cell>
          <cell r="F12077">
            <v>890</v>
          </cell>
        </row>
        <row r="12078">
          <cell r="A12078" t="str">
            <v>SU0002-L</v>
          </cell>
          <cell r="B12078" t="str">
            <v>U2</v>
          </cell>
          <cell r="C12078" t="str">
            <v>ซาติน แขนยาวขาสั้น Blue Leaf L</v>
          </cell>
          <cell r="E12078">
            <v>0</v>
          </cell>
          <cell r="F12078">
            <v>890</v>
          </cell>
        </row>
        <row r="12079">
          <cell r="A12079" t="str">
            <v>SU0002-M</v>
          </cell>
          <cell r="B12079" t="str">
            <v>U2</v>
          </cell>
          <cell r="C12079" t="str">
            <v>ซาติน แขนยาวขาสั้น Blue Leaf M</v>
          </cell>
          <cell r="E12079">
            <v>0</v>
          </cell>
          <cell r="F12079">
            <v>890</v>
          </cell>
        </row>
        <row r="12080">
          <cell r="A12080" t="str">
            <v>SU0002-XL</v>
          </cell>
          <cell r="B12080" t="str">
            <v>U2</v>
          </cell>
          <cell r="C12080" t="str">
            <v>ซาติน แขนยาวขาสั้น Blue Leaf XL</v>
          </cell>
          <cell r="E12080">
            <v>0</v>
          </cell>
          <cell r="F12080">
            <v>890</v>
          </cell>
        </row>
        <row r="12081">
          <cell r="A12081" t="str">
            <v>SU0035-L</v>
          </cell>
          <cell r="B12081" t="str">
            <v>U35</v>
          </cell>
          <cell r="C12081" t="str">
            <v>ซาติน แขนยาวนขาสั้น ฟรุตตี้ L</v>
          </cell>
          <cell r="E12081">
            <v>0</v>
          </cell>
          <cell r="F12081">
            <v>890</v>
          </cell>
        </row>
        <row r="12082">
          <cell r="A12082" t="str">
            <v>SU0061-L</v>
          </cell>
          <cell r="B12082" t="str">
            <v>U61</v>
          </cell>
          <cell r="C12082" t="str">
            <v>ซาติน แขนยาวขาสั้น ชมพู ส้ม L</v>
          </cell>
          <cell r="E12082">
            <v>0</v>
          </cell>
          <cell r="F12082">
            <v>890</v>
          </cell>
        </row>
        <row r="12083">
          <cell r="A12083" t="str">
            <v>SU0061-M</v>
          </cell>
          <cell r="B12083" t="str">
            <v>U61</v>
          </cell>
          <cell r="C12083" t="str">
            <v>ซาติน แขนยาวขาสั้น ชมพู ส้ม M</v>
          </cell>
          <cell r="E12083">
            <v>0</v>
          </cell>
          <cell r="F12083">
            <v>890</v>
          </cell>
        </row>
        <row r="12084">
          <cell r="A12084" t="str">
            <v>SU0127-L</v>
          </cell>
          <cell r="B12084" t="str">
            <v>U127</v>
          </cell>
          <cell r="C12084" t="str">
            <v>ซาติน แขนยาวขาสั้น สิงโต พื้นดำ L</v>
          </cell>
          <cell r="E12084">
            <v>0</v>
          </cell>
          <cell r="F12084">
            <v>890</v>
          </cell>
        </row>
        <row r="12085">
          <cell r="A12085" t="str">
            <v>SU0127-M</v>
          </cell>
          <cell r="B12085" t="str">
            <v>U127</v>
          </cell>
          <cell r="C12085" t="str">
            <v>ซาติน แขนยาวขาสั้น สิงโต พื้นดำ M</v>
          </cell>
          <cell r="E12085">
            <v>0</v>
          </cell>
          <cell r="F12085">
            <v>890</v>
          </cell>
        </row>
        <row r="12086">
          <cell r="A12086" t="str">
            <v>SU0128-L</v>
          </cell>
          <cell r="B12086" t="str">
            <v>U128</v>
          </cell>
          <cell r="C12086" t="str">
            <v>ซาติน แขนยาวขาสั้น ผีเสื้อดอกไม้ เขียว L</v>
          </cell>
          <cell r="E12086">
            <v>0</v>
          </cell>
          <cell r="F12086">
            <v>890</v>
          </cell>
        </row>
        <row r="12087">
          <cell r="A12087" t="str">
            <v>SU0128-M</v>
          </cell>
          <cell r="B12087" t="str">
            <v>U128</v>
          </cell>
          <cell r="C12087" t="str">
            <v>ซาติน แขนยาวขาสั้น ผีเสื้อดอกไม้ เขียว M</v>
          </cell>
          <cell r="E12087">
            <v>0</v>
          </cell>
          <cell r="F12087">
            <v>890</v>
          </cell>
        </row>
        <row r="12088">
          <cell r="A12088" t="str">
            <v>SU0216-M</v>
          </cell>
          <cell r="B12088" t="str">
            <v>U216</v>
          </cell>
          <cell r="C12088" t="str">
            <v>ซาคิน แขนยาวขาสั้น สัปปะรดแตงโม พื้นกรม M</v>
          </cell>
          <cell r="E12088">
            <v>0</v>
          </cell>
          <cell r="F12088">
            <v>890</v>
          </cell>
        </row>
        <row r="12089">
          <cell r="A12089" t="str">
            <v>SU0216-S</v>
          </cell>
          <cell r="B12089" t="str">
            <v>U216</v>
          </cell>
          <cell r="C12089" t="str">
            <v>ซาคิน แขนยาวขาสั้น สัปปะรดแตงโม พื้นกรม S</v>
          </cell>
          <cell r="E12089">
            <v>0</v>
          </cell>
          <cell r="F12089">
            <v>890</v>
          </cell>
        </row>
        <row r="12090">
          <cell r="A12090" t="str">
            <v>SU0246-L</v>
          </cell>
          <cell r="B12090" t="str">
            <v>JU246</v>
          </cell>
          <cell r="C12090" t="str">
            <v>ซาติน แขนยาวขาสั้น เสือ ชมพู L (กปก) ตัวโชว์</v>
          </cell>
          <cell r="E12090">
            <v>0</v>
          </cell>
          <cell r="F12090">
            <v>890</v>
          </cell>
        </row>
        <row r="12091">
          <cell r="A12091" t="str">
            <v>SU0246-M</v>
          </cell>
          <cell r="B12091" t="str">
            <v>JU246</v>
          </cell>
          <cell r="C12091" t="str">
            <v>ซาติน แขนยาวขาสั้น เสือ ชมพู M (กปก) ตัวโชว์</v>
          </cell>
          <cell r="E12091">
            <v>0</v>
          </cell>
          <cell r="F12091">
            <v>890</v>
          </cell>
        </row>
        <row r="12092">
          <cell r="A12092" t="str">
            <v>SU0246-XL</v>
          </cell>
          <cell r="B12092" t="str">
            <v>JU246</v>
          </cell>
          <cell r="C12092" t="str">
            <v>ซาติน แขนยาวขาสั้น เสือ ชมพู XL (กปก) ตัวโชว์</v>
          </cell>
          <cell r="E12092">
            <v>0</v>
          </cell>
          <cell r="F12092">
            <v>890</v>
          </cell>
        </row>
        <row r="12093">
          <cell r="A12093" t="str">
            <v>SU0255-L</v>
          </cell>
          <cell r="B12093" t="str">
            <v>U255</v>
          </cell>
          <cell r="C12093" t="str">
            <v>ซาติน แขนยาวขาสั้น ซากูระขาว พื้นเขียว L</v>
          </cell>
          <cell r="E12093">
            <v>0</v>
          </cell>
          <cell r="F12093">
            <v>890</v>
          </cell>
        </row>
        <row r="12094">
          <cell r="A12094" t="str">
            <v>SU0255-M</v>
          </cell>
          <cell r="B12094" t="str">
            <v>U255</v>
          </cell>
          <cell r="C12094" t="str">
            <v>ซาติน แขนยาวขาสั้น ซากูระขาว พื้นเขียว M</v>
          </cell>
          <cell r="E12094">
            <v>0</v>
          </cell>
          <cell r="F12094">
            <v>890</v>
          </cell>
        </row>
        <row r="12095">
          <cell r="A12095" t="str">
            <v>SU0272-L</v>
          </cell>
          <cell r="B12095" t="str">
            <v>U272</v>
          </cell>
          <cell r="C12095" t="str">
            <v>ซาติน แขนยาวขาสั้น อลิส ชุดแดง พื้นชมพู L</v>
          </cell>
          <cell r="E12095">
            <v>0</v>
          </cell>
          <cell r="F12095">
            <v>890</v>
          </cell>
        </row>
        <row r="12096">
          <cell r="A12096" t="str">
            <v>SU0272-M</v>
          </cell>
          <cell r="B12096" t="str">
            <v>U272</v>
          </cell>
          <cell r="C12096" t="str">
            <v>ซาติน แขนยาวขาสั้น อลิส ชุดแดง พื้นชมพู M</v>
          </cell>
          <cell r="E12096">
            <v>0</v>
          </cell>
          <cell r="F12096">
            <v>890</v>
          </cell>
        </row>
        <row r="12097">
          <cell r="A12097" t="str">
            <v>SU0273-L</v>
          </cell>
          <cell r="B12097" t="str">
            <v>U273</v>
          </cell>
          <cell r="C12097" t="str">
            <v>ซาติน แขนยาวขาสั้น ผู้สาวคนงาม กับผู้บ่าวกินแมว L</v>
          </cell>
          <cell r="E12097">
            <v>0</v>
          </cell>
          <cell r="F12097">
            <v>890</v>
          </cell>
        </row>
        <row r="12098">
          <cell r="A12098" t="str">
            <v>SU0273-M</v>
          </cell>
          <cell r="B12098" t="str">
            <v>U273</v>
          </cell>
          <cell r="C12098" t="str">
            <v>ซาติน แขนยาวขาสั้น ผู้สาวคนงาม กับผู้บ่าวกินแมว M</v>
          </cell>
          <cell r="E12098">
            <v>0</v>
          </cell>
          <cell r="F12098">
            <v>890</v>
          </cell>
        </row>
        <row r="12099">
          <cell r="A12099" t="str">
            <v>SU0298-L</v>
          </cell>
          <cell r="B12099" t="str">
            <v>U298</v>
          </cell>
          <cell r="C12099" t="str">
            <v>ซาติน แขนยาวขาสั้น teddy bear พื้นน้ำตาล L</v>
          </cell>
          <cell r="E12099">
            <v>0</v>
          </cell>
          <cell r="F12099">
            <v>890</v>
          </cell>
        </row>
        <row r="12100">
          <cell r="A12100" t="str">
            <v>SU0298-M</v>
          </cell>
          <cell r="B12100" t="str">
            <v>U298</v>
          </cell>
          <cell r="C12100" t="str">
            <v>ซาติน แขนยาวขาสั้น teddy bear พื้นน้ำตาล M</v>
          </cell>
          <cell r="E12100">
            <v>0</v>
          </cell>
          <cell r="F12100">
            <v>890</v>
          </cell>
        </row>
        <row r="12101">
          <cell r="A12101" t="str">
            <v>SU0298-XL</v>
          </cell>
          <cell r="B12101" t="str">
            <v>U298</v>
          </cell>
          <cell r="C12101" t="str">
            <v>ซาติน แขนยาวขาสั้น teddy bear พื้นน้ำตาล XL</v>
          </cell>
          <cell r="E12101">
            <v>0</v>
          </cell>
          <cell r="F12101">
            <v>890</v>
          </cell>
        </row>
        <row r="12102">
          <cell r="A12102" t="str">
            <v>SU0300-M</v>
          </cell>
          <cell r="B12102" t="str">
            <v>U300</v>
          </cell>
          <cell r="C12102" t="str">
            <v>ซาติน แขนยาวขาสั้น บอนไซ พื้นครีม M</v>
          </cell>
          <cell r="E12102">
            <v>0</v>
          </cell>
          <cell r="F12102">
            <v>890</v>
          </cell>
        </row>
        <row r="12103">
          <cell r="A12103" t="str">
            <v>SU0301-L</v>
          </cell>
          <cell r="B12103" t="str">
            <v>U301</v>
          </cell>
          <cell r="C12103" t="str">
            <v>ซาติน แขนยาวขาสั้น ผู้หญิง ผู้ชาย พื้นชมพู L</v>
          </cell>
          <cell r="E12103">
            <v>0</v>
          </cell>
          <cell r="F12103">
            <v>890</v>
          </cell>
        </row>
        <row r="12104">
          <cell r="A12104" t="str">
            <v>SU0301-M</v>
          </cell>
          <cell r="B12104" t="str">
            <v>U301</v>
          </cell>
          <cell r="C12104" t="str">
            <v>ซาติน แขนยาวขาสั้น ผู้หญิง ผู้ชาย พื้นชมพู M</v>
          </cell>
          <cell r="E12104">
            <v>0</v>
          </cell>
          <cell r="F12104">
            <v>890</v>
          </cell>
        </row>
        <row r="12105">
          <cell r="A12105" t="str">
            <v>SU0306-L</v>
          </cell>
          <cell r="B12105" t="str">
            <v>U306</v>
          </cell>
          <cell r="C12105" t="str">
            <v>ซาติน แขนยาวขาสั้น พื้นชมพูนู๊ด L</v>
          </cell>
          <cell r="E12105">
            <v>0</v>
          </cell>
          <cell r="F12105">
            <v>890</v>
          </cell>
        </row>
        <row r="12106">
          <cell r="A12106" t="str">
            <v>SU0306-M</v>
          </cell>
          <cell r="B12106" t="str">
            <v>U306</v>
          </cell>
          <cell r="C12106" t="str">
            <v>ซาติน แขนยาวขาสั้น พื้นชมพูนู๊ด M</v>
          </cell>
          <cell r="E12106">
            <v>0</v>
          </cell>
          <cell r="F12106">
            <v>890</v>
          </cell>
        </row>
        <row r="12107">
          <cell r="A12107" t="str">
            <v>SU0306-XL</v>
          </cell>
          <cell r="B12107" t="str">
            <v>U306</v>
          </cell>
          <cell r="C12107" t="str">
            <v>ซาติน แขนยาวขาสั้น พื้นชมพูนู๊ด XL</v>
          </cell>
          <cell r="E12107">
            <v>0</v>
          </cell>
          <cell r="F12107">
            <v>890</v>
          </cell>
        </row>
        <row r="12108">
          <cell r="A12108" t="str">
            <v>SU0307-L</v>
          </cell>
          <cell r="B12108" t="str">
            <v>U307</v>
          </cell>
          <cell r="C12108" t="str">
            <v>ซาติน แขนยาวขาสั้น พื้นกรม L (กปก)</v>
          </cell>
          <cell r="E12108">
            <v>0</v>
          </cell>
          <cell r="F12108">
            <v>890</v>
          </cell>
        </row>
        <row r="12109">
          <cell r="A12109" t="str">
            <v>SU0307-M</v>
          </cell>
          <cell r="B12109" t="str">
            <v>U307</v>
          </cell>
          <cell r="C12109" t="str">
            <v>ซาติน แขนยาวขาสั้น พื้นกรม M</v>
          </cell>
          <cell r="E12109">
            <v>0</v>
          </cell>
          <cell r="F12109">
            <v>890</v>
          </cell>
        </row>
        <row r="12110">
          <cell r="A12110" t="str">
            <v>SU0307-XL</v>
          </cell>
          <cell r="B12110" t="str">
            <v>U307</v>
          </cell>
          <cell r="C12110" t="str">
            <v>ซาติน แขนยาวขาสั้น พื้นกรม XL</v>
          </cell>
          <cell r="E12110">
            <v>0</v>
          </cell>
          <cell r="F12110">
            <v>890</v>
          </cell>
        </row>
        <row r="12111">
          <cell r="A12111" t="str">
            <v>SU0320-L</v>
          </cell>
          <cell r="B12111" t="str">
            <v>JU320</v>
          </cell>
          <cell r="C12111" t="str">
            <v>ซาติน แขนยาวขาสั้น ลายมะพร้าว สีพาสเทล L</v>
          </cell>
          <cell r="E12111">
            <v>0</v>
          </cell>
          <cell r="F12111">
            <v>890</v>
          </cell>
        </row>
        <row r="12112">
          <cell r="A12112" t="str">
            <v>SU0320-M</v>
          </cell>
          <cell r="B12112" t="str">
            <v>JU320</v>
          </cell>
          <cell r="C12112" t="str">
            <v>ซาติน แขนยาวขาสั้น ลายมะพร้าว สีพาสเทล M ตัวโชว์</v>
          </cell>
          <cell r="E12112">
            <v>0</v>
          </cell>
          <cell r="F12112">
            <v>890</v>
          </cell>
        </row>
        <row r="12113">
          <cell r="A12113" t="str">
            <v>SU0323-L</v>
          </cell>
          <cell r="B12113" t="str">
            <v>U323</v>
          </cell>
          <cell r="C12113" t="str">
            <v>ซาติน แขนยาวขาสั้น ดอกเล็ก โบว์ดำ พื้นขาว L</v>
          </cell>
          <cell r="E12113">
            <v>0</v>
          </cell>
          <cell r="F12113">
            <v>890</v>
          </cell>
        </row>
        <row r="12114">
          <cell r="A12114" t="str">
            <v>SU0323-M</v>
          </cell>
          <cell r="B12114" t="str">
            <v>U323</v>
          </cell>
          <cell r="C12114" t="str">
            <v>ซาติน แขนยาวขาสั้น ดอกเล็ก โบว์ดำ พื้นขาว M</v>
          </cell>
          <cell r="E12114">
            <v>0</v>
          </cell>
          <cell r="F12114">
            <v>890</v>
          </cell>
        </row>
        <row r="12115">
          <cell r="A12115" t="str">
            <v>SU0323-XL</v>
          </cell>
          <cell r="B12115" t="str">
            <v>U323</v>
          </cell>
          <cell r="C12115" t="str">
            <v>ซาติน แขนยาวขาสั้น ดอกเล็ก โบว์ดำ พื้นขาว XL</v>
          </cell>
          <cell r="E12115">
            <v>0</v>
          </cell>
          <cell r="F12115">
            <v>890</v>
          </cell>
        </row>
        <row r="12116">
          <cell r="A12116" t="str">
            <v>SU0330-L</v>
          </cell>
          <cell r="B12116" t="str">
            <v>U330</v>
          </cell>
          <cell r="C12116" t="str">
            <v>ซาติน แขนยาวขาสั้น ปีกัสโซ่ L</v>
          </cell>
          <cell r="E12116">
            <v>0</v>
          </cell>
          <cell r="F12116">
            <v>890</v>
          </cell>
        </row>
        <row r="12117">
          <cell r="A12117" t="str">
            <v>SU0330-M</v>
          </cell>
          <cell r="B12117" t="str">
            <v>JU330</v>
          </cell>
          <cell r="C12117" t="str">
            <v>ซาติน แขนยาวขาสั้น ปีกัสโซ่ M ตัวโชว์</v>
          </cell>
          <cell r="E12117">
            <v>0</v>
          </cell>
          <cell r="F12117">
            <v>890</v>
          </cell>
        </row>
        <row r="12118">
          <cell r="A12118" t="str">
            <v>SU0347-L</v>
          </cell>
          <cell r="B12118" t="str">
            <v>U347</v>
          </cell>
          <cell r="C12118" t="str">
            <v>ซาติน แขนยาวขาสั้น Coral Sea L</v>
          </cell>
          <cell r="E12118">
            <v>0</v>
          </cell>
          <cell r="F12118">
            <v>890</v>
          </cell>
        </row>
        <row r="12119">
          <cell r="A12119" t="str">
            <v>SU0347-M</v>
          </cell>
          <cell r="B12119" t="str">
            <v>U347</v>
          </cell>
          <cell r="C12119" t="str">
            <v>ซาติน แขนยาวขาสั้น Coral Sea M</v>
          </cell>
          <cell r="E12119">
            <v>0</v>
          </cell>
          <cell r="F12119">
            <v>890</v>
          </cell>
        </row>
        <row r="12120">
          <cell r="A12120" t="str">
            <v>SU0347-XL</v>
          </cell>
          <cell r="B12120" t="str">
            <v>U347</v>
          </cell>
          <cell r="C12120" t="str">
            <v>ซาติน แขนยาวขาสั้น Coral Sea XL</v>
          </cell>
          <cell r="E12120">
            <v>0</v>
          </cell>
          <cell r="F12120">
            <v>890</v>
          </cell>
        </row>
        <row r="12121">
          <cell r="A12121" t="str">
            <v>SU0358-L</v>
          </cell>
          <cell r="B12121" t="str">
            <v>U358</v>
          </cell>
          <cell r="C12121" t="str">
            <v>ซาติน แขนยาวขาสั้น ลายทางม่วงครีม L</v>
          </cell>
          <cell r="E12121">
            <v>0</v>
          </cell>
          <cell r="F12121">
            <v>890</v>
          </cell>
        </row>
        <row r="12122">
          <cell r="A12122" t="str">
            <v>SU0358-M</v>
          </cell>
          <cell r="B12122" t="str">
            <v>U358</v>
          </cell>
          <cell r="C12122" t="str">
            <v>ซาติน แขนยาวขาสั้น ลายทางม่วงครีม M</v>
          </cell>
          <cell r="E12122">
            <v>0</v>
          </cell>
          <cell r="F12122">
            <v>890</v>
          </cell>
        </row>
        <row r="12123">
          <cell r="A12123" t="str">
            <v>SU0358-XL</v>
          </cell>
          <cell r="B12123" t="str">
            <v>U358</v>
          </cell>
          <cell r="C12123" t="str">
            <v>ซาติน แขนยาวขาสั้น ลายทางม่วงครีม XL</v>
          </cell>
          <cell r="E12123">
            <v>0</v>
          </cell>
          <cell r="F12123">
            <v>890</v>
          </cell>
        </row>
        <row r="12124">
          <cell r="A12124" t="str">
            <v>SU0360-2XL</v>
          </cell>
          <cell r="B12124" t="str">
            <v>U360</v>
          </cell>
          <cell r="C12124" t="str">
            <v>ซาติน แขนสั้นขาสั้น Comic book 2XL</v>
          </cell>
          <cell r="E12124">
            <v>0</v>
          </cell>
          <cell r="F12124">
            <v>890</v>
          </cell>
        </row>
        <row r="12125">
          <cell r="A12125" t="str">
            <v>SU0360-3XL</v>
          </cell>
          <cell r="B12125" t="str">
            <v>U360</v>
          </cell>
          <cell r="C12125" t="str">
            <v>ซาติน แขนสั้นขาสั้น Comic book 3XL</v>
          </cell>
          <cell r="E12125">
            <v>0</v>
          </cell>
          <cell r="F12125">
            <v>890</v>
          </cell>
        </row>
        <row r="12126">
          <cell r="A12126" t="str">
            <v>SU0360-L</v>
          </cell>
          <cell r="B12126" t="str">
            <v>U360</v>
          </cell>
          <cell r="C12126" t="str">
            <v>ซาติน แขนยาวขาสั้น Comic book L</v>
          </cell>
          <cell r="E12126">
            <v>0</v>
          </cell>
          <cell r="F12126">
            <v>890</v>
          </cell>
        </row>
        <row r="12127">
          <cell r="A12127" t="str">
            <v>SU0360-M</v>
          </cell>
          <cell r="B12127" t="str">
            <v>U360</v>
          </cell>
          <cell r="C12127" t="str">
            <v>ซาติน แขนยาวขาสั้น Comic book M</v>
          </cell>
          <cell r="E12127">
            <v>0</v>
          </cell>
          <cell r="F12127">
            <v>890</v>
          </cell>
        </row>
        <row r="12128">
          <cell r="A12128" t="str">
            <v>SU0360-XL</v>
          </cell>
          <cell r="B12128" t="str">
            <v>U360</v>
          </cell>
          <cell r="C12128" t="str">
            <v>ซาติน แขนยาวขาสั้น Comic book XL</v>
          </cell>
          <cell r="E12128">
            <v>0</v>
          </cell>
          <cell r="F12128">
            <v>890</v>
          </cell>
        </row>
        <row r="12129">
          <cell r="A12129" t="str">
            <v>SU0369-L</v>
          </cell>
          <cell r="B12129" t="str">
            <v>U369</v>
          </cell>
          <cell r="C12129" t="str">
            <v>ซาติน แขนยาวนขาสั้น กุหลาบ ขอบชมพู พื้นขาว L</v>
          </cell>
          <cell r="E12129">
            <v>0</v>
          </cell>
          <cell r="F12129">
            <v>890</v>
          </cell>
        </row>
        <row r="12130">
          <cell r="A12130" t="str">
            <v>SU0369-M</v>
          </cell>
          <cell r="B12130" t="str">
            <v>U369</v>
          </cell>
          <cell r="C12130" t="str">
            <v>ซาติน แขนยาวนขาสั้น กุหลาบ ขอบชมพู พื้นขาว M</v>
          </cell>
          <cell r="E12130">
            <v>0</v>
          </cell>
          <cell r="F12130">
            <v>890</v>
          </cell>
        </row>
        <row r="12131">
          <cell r="A12131" t="str">
            <v>SU0370-L</v>
          </cell>
          <cell r="B12131" t="str">
            <v>U370</v>
          </cell>
          <cell r="C12131" t="str">
            <v>ซาติน แขนยาวขาสั้น พื้นเทา ขอบขาว L</v>
          </cell>
          <cell r="E12131">
            <v>0</v>
          </cell>
          <cell r="F12131">
            <v>890</v>
          </cell>
        </row>
        <row r="12132">
          <cell r="A12132" t="str">
            <v>SU0370-M</v>
          </cell>
          <cell r="B12132" t="str">
            <v>U370</v>
          </cell>
          <cell r="C12132" t="str">
            <v>ซาติน แขนยาวขาสั้น พื้นเทา ขอบขาว M</v>
          </cell>
          <cell r="E12132">
            <v>0</v>
          </cell>
          <cell r="F12132">
            <v>890</v>
          </cell>
        </row>
        <row r="12133">
          <cell r="A12133" t="str">
            <v>SU0722-L</v>
          </cell>
          <cell r="B12133" t="str">
            <v>JU722</v>
          </cell>
          <cell r="C12133" t="str">
            <v>ซาติน แขนยาวขาสั้น พื้นครีม ขอบดำ L</v>
          </cell>
          <cell r="E12133">
            <v>0</v>
          </cell>
          <cell r="F12133">
            <v>890</v>
          </cell>
        </row>
        <row r="12134">
          <cell r="A12134" t="str">
            <v>SU0722-M</v>
          </cell>
          <cell r="B12134" t="str">
            <v>JU722</v>
          </cell>
          <cell r="C12134" t="str">
            <v>ซาติน แขนยาวขาสั้น พื้นครีม ขอบดำ M ตัวโชว์</v>
          </cell>
          <cell r="E12134">
            <v>0</v>
          </cell>
          <cell r="F12134">
            <v>890</v>
          </cell>
        </row>
        <row r="12135">
          <cell r="A12135" t="str">
            <v>SU1001-L</v>
          </cell>
          <cell r="B12135" t="str">
            <v>U1001</v>
          </cell>
          <cell r="C12135" t="str">
            <v>ซาติน แขนยาวขาสั้น บัวชมพู พื้นม่วง L (กปก)</v>
          </cell>
          <cell r="E12135">
            <v>0</v>
          </cell>
          <cell r="F12135">
            <v>890</v>
          </cell>
        </row>
        <row r="12136">
          <cell r="A12136" t="str">
            <v>SU1001-M</v>
          </cell>
          <cell r="B12136" t="str">
            <v>U1001</v>
          </cell>
          <cell r="C12136" t="str">
            <v>ซาติน แขนยาวขาสั้น บัวชมพู พื้นม่วง M (กปก)</v>
          </cell>
          <cell r="E12136">
            <v>0</v>
          </cell>
          <cell r="F12136">
            <v>590</v>
          </cell>
        </row>
        <row r="12137">
          <cell r="A12137" t="str">
            <v>SU1001-XL</v>
          </cell>
          <cell r="B12137" t="str">
            <v>U1001</v>
          </cell>
          <cell r="C12137" t="str">
            <v>ซาติน แขนยาวขาสั้น บัวชมพู พื้นม่วง XL (กปก)</v>
          </cell>
          <cell r="E12137">
            <v>0</v>
          </cell>
          <cell r="F12137">
            <v>890</v>
          </cell>
        </row>
        <row r="12138">
          <cell r="A12138" t="str">
            <v>SU1091-2XL</v>
          </cell>
          <cell r="B12138" t="str">
            <v>U1091</v>
          </cell>
          <cell r="C12138" t="str">
            <v>ซาติน แขนยาวขาสั้น ทูโทน แดงชมพู 2XL (กปก)</v>
          </cell>
          <cell r="E12138">
            <v>0</v>
          </cell>
          <cell r="F12138">
            <v>890</v>
          </cell>
        </row>
        <row r="12139">
          <cell r="A12139" t="str">
            <v>SU1091-L</v>
          </cell>
          <cell r="B12139" t="str">
            <v>QU1091</v>
          </cell>
          <cell r="C12139" t="str">
            <v>ซาติน แขนยาวขาสั้น ทูโทน แดงชมพู L (กปก) QC</v>
          </cell>
          <cell r="E12139">
            <v>0</v>
          </cell>
          <cell r="F12139">
            <v>890</v>
          </cell>
        </row>
        <row r="12140">
          <cell r="A12140" t="str">
            <v>SU1091-M</v>
          </cell>
          <cell r="B12140" t="str">
            <v>QU1091</v>
          </cell>
          <cell r="C12140" t="str">
            <v>ซาติน แขนยาวขาสั้น ทูโทน แดงชมพู M (กปก) QC</v>
          </cell>
          <cell r="E12140">
            <v>0</v>
          </cell>
          <cell r="F12140">
            <v>890</v>
          </cell>
        </row>
        <row r="12141">
          <cell r="A12141" t="str">
            <v>SU1091-XL</v>
          </cell>
          <cell r="B12141" t="str">
            <v>QU1091</v>
          </cell>
          <cell r="C12141" t="str">
            <v>ซาติน แขนยาวขาสั้น ทูโทน แดงชมพู XL (กปก) QC</v>
          </cell>
          <cell r="E12141">
            <v>0</v>
          </cell>
          <cell r="F12141">
            <v>890</v>
          </cell>
        </row>
        <row r="12142">
          <cell r="A12142" t="str">
            <v>SU1092-2XL</v>
          </cell>
          <cell r="B12142" t="str">
            <v>U1092</v>
          </cell>
          <cell r="C12142" t="str">
            <v>ซาติน แขนยาวขาสั้น ทูโทน น้ำเงินเขียว 2XL (กปก)</v>
          </cell>
          <cell r="E12142">
            <v>0</v>
          </cell>
          <cell r="F12142">
            <v>890</v>
          </cell>
        </row>
        <row r="12143">
          <cell r="A12143" t="str">
            <v>SU1092-L</v>
          </cell>
          <cell r="B12143" t="str">
            <v>U1092</v>
          </cell>
          <cell r="C12143" t="str">
            <v>ซาติน แขนยาวขาสั้น ทูโทน น้ำเงินเขียว L (กปก)</v>
          </cell>
          <cell r="E12143">
            <v>0</v>
          </cell>
          <cell r="F12143">
            <v>890</v>
          </cell>
        </row>
        <row r="12144">
          <cell r="A12144" t="str">
            <v>SU1092-M</v>
          </cell>
          <cell r="B12144" t="str">
            <v>U1092</v>
          </cell>
          <cell r="C12144" t="str">
            <v>ซาติน แขนยาวขาสั้น ทูโทน น้ำเงินเขียว M (กปก)</v>
          </cell>
          <cell r="E12144">
            <v>0</v>
          </cell>
          <cell r="F12144">
            <v>890</v>
          </cell>
        </row>
        <row r="12145">
          <cell r="A12145" t="str">
            <v>SU1092-XL</v>
          </cell>
          <cell r="B12145" t="str">
            <v>U1092</v>
          </cell>
          <cell r="C12145" t="str">
            <v>ซาติน แขนยาวขาสั้น Teal Petals XL (กปก)</v>
          </cell>
          <cell r="E12145">
            <v>0</v>
          </cell>
          <cell r="F12145">
            <v>890</v>
          </cell>
        </row>
        <row r="12146">
          <cell r="A12146" t="str">
            <v>SU1093-2XL</v>
          </cell>
          <cell r="B12146" t="str">
            <v>QU1093</v>
          </cell>
          <cell r="C12146" t="str">
            <v>ซาติน แขนยาวขาสั้น พาสเทลชมพู ส้มเหลือง 2XL (กปก) QC</v>
          </cell>
          <cell r="E12146">
            <v>0</v>
          </cell>
          <cell r="F12146">
            <v>890</v>
          </cell>
        </row>
        <row r="12147">
          <cell r="A12147" t="str">
            <v>SU1093-L</v>
          </cell>
          <cell r="B12147" t="str">
            <v>QU1093</v>
          </cell>
          <cell r="C12147" t="str">
            <v>ซาติน แขนยาวขาสั้น พาสเทลชมพู ส้มเหลือง L (กปก) QC</v>
          </cell>
          <cell r="E12147">
            <v>0</v>
          </cell>
          <cell r="F12147">
            <v>890</v>
          </cell>
        </row>
        <row r="12148">
          <cell r="A12148" t="str">
            <v>SU1093-M</v>
          </cell>
          <cell r="B12148" t="str">
            <v>U1093</v>
          </cell>
          <cell r="C12148" t="str">
            <v>ซาติน แขนยาวขาสั้น พาสเทลชมพู ส้มเหลือง M (กปก)</v>
          </cell>
          <cell r="E12148">
            <v>0</v>
          </cell>
          <cell r="F12148">
            <v>890</v>
          </cell>
        </row>
        <row r="12149">
          <cell r="A12149" t="str">
            <v>SU1093-XL</v>
          </cell>
          <cell r="B12149" t="str">
            <v>QU1093</v>
          </cell>
          <cell r="C12149" t="str">
            <v>ซาติน แขนยาวขาสั้น พาสเทลชมพู ส้มเหลือง XL (กปก) QC</v>
          </cell>
          <cell r="E12149">
            <v>0</v>
          </cell>
          <cell r="F12149">
            <v>890</v>
          </cell>
        </row>
        <row r="12150">
          <cell r="A12150" t="str">
            <v>SU1094-2XL</v>
          </cell>
          <cell r="B12150" t="str">
            <v>QU1094</v>
          </cell>
          <cell r="C12150" t="str">
            <v>ซาติน แขนยาวขาสั้น ทูโทน เขียวชมพู 2XL (กปก) QC</v>
          </cell>
          <cell r="E12150">
            <v>0</v>
          </cell>
          <cell r="F12150">
            <v>890</v>
          </cell>
        </row>
        <row r="12151">
          <cell r="A12151" t="str">
            <v>SU1094-L</v>
          </cell>
          <cell r="B12151" t="str">
            <v>U1094</v>
          </cell>
          <cell r="C12151" t="str">
            <v>ซาติน แขนยาวขาสั้น ทูโทน เขียวชมพู L (กปก)</v>
          </cell>
          <cell r="E12151">
            <v>0</v>
          </cell>
          <cell r="F12151">
            <v>890</v>
          </cell>
        </row>
        <row r="12152">
          <cell r="A12152" t="str">
            <v>SU1094-M</v>
          </cell>
          <cell r="B12152" t="str">
            <v>U1094</v>
          </cell>
          <cell r="C12152" t="str">
            <v>ซาติน แขนยาวขาสั้น ทูโทน เขียวชมพู M (กปก)</v>
          </cell>
          <cell r="E12152">
            <v>0</v>
          </cell>
          <cell r="F12152">
            <v>890</v>
          </cell>
        </row>
        <row r="12153">
          <cell r="A12153" t="str">
            <v>SU1094-XL</v>
          </cell>
          <cell r="B12153" t="str">
            <v>QU1094</v>
          </cell>
          <cell r="C12153" t="str">
            <v>ซาติน แขนยาวขาสั้น ทูโทน เขียวชมพู XL (กปก) QC</v>
          </cell>
          <cell r="E12153">
            <v>0</v>
          </cell>
          <cell r="F12153">
            <v>890</v>
          </cell>
        </row>
        <row r="12154">
          <cell r="A12154" t="str">
            <v>SU1098-2XL</v>
          </cell>
          <cell r="B12154" t="str">
            <v>U1098</v>
          </cell>
          <cell r="C12154" t="str">
            <v>ซาติน แขนยาวขาสั้น Swan Jade 2XL</v>
          </cell>
          <cell r="E12154">
            <v>0</v>
          </cell>
          <cell r="F12154">
            <v>890</v>
          </cell>
        </row>
        <row r="12155">
          <cell r="A12155" t="str">
            <v>SU1098-L</v>
          </cell>
          <cell r="B12155" t="str">
            <v>U1098</v>
          </cell>
          <cell r="C12155" t="str">
            <v>ซาติน แขนยาวขาสั้น นกหงส์หยก พื้นดำ ปกเขียว L</v>
          </cell>
          <cell r="E12155">
            <v>0</v>
          </cell>
          <cell r="F12155">
            <v>890</v>
          </cell>
        </row>
        <row r="12156">
          <cell r="A12156" t="str">
            <v>SU1098-M</v>
          </cell>
          <cell r="B12156" t="str">
            <v>U1098</v>
          </cell>
          <cell r="C12156" t="str">
            <v>ซาติน แขนยาวขาสั้น นกหงส์หยก พื้นดำ ปกเขียว M</v>
          </cell>
          <cell r="E12156">
            <v>0</v>
          </cell>
          <cell r="F12156">
            <v>890</v>
          </cell>
        </row>
        <row r="12157">
          <cell r="A12157" t="str">
            <v>SU1098-XL</v>
          </cell>
          <cell r="B12157" t="str">
            <v>U1098</v>
          </cell>
          <cell r="C12157" t="str">
            <v>ซาติน แขนยาวขาสั้น นกหงส์หยก พื้นดำ ปกเขียว XL</v>
          </cell>
          <cell r="E12157">
            <v>0</v>
          </cell>
          <cell r="F12157">
            <v>890</v>
          </cell>
        </row>
        <row r="12158">
          <cell r="A12158" t="str">
            <v>SU1127-2XL</v>
          </cell>
          <cell r="B12158" t="str">
            <v>U1127</v>
          </cell>
          <cell r="C12158" t="str">
            <v>ซาติน แขนยาวขาสั้น สีรุ้ง พาสเทล 2XL (กปก)</v>
          </cell>
          <cell r="E12158">
            <v>0</v>
          </cell>
          <cell r="F12158">
            <v>890</v>
          </cell>
        </row>
        <row r="12159">
          <cell r="A12159" t="str">
            <v>SU1127-L</v>
          </cell>
          <cell r="B12159" t="str">
            <v>U1127</v>
          </cell>
          <cell r="C12159" t="str">
            <v>ซาติน แขนยาวขาสั้น สีรุ้ง พาสเทล L (กปก)</v>
          </cell>
          <cell r="E12159">
            <v>0</v>
          </cell>
          <cell r="F12159">
            <v>890</v>
          </cell>
        </row>
        <row r="12160">
          <cell r="A12160" t="str">
            <v>SU1127-M</v>
          </cell>
          <cell r="B12160" t="str">
            <v>U1127</v>
          </cell>
          <cell r="C12160" t="str">
            <v>ซาติน แขนยาวขาสั้น สีรุ้ง พาสเทล M (กปก)</v>
          </cell>
          <cell r="E12160">
            <v>0</v>
          </cell>
          <cell r="F12160">
            <v>890</v>
          </cell>
        </row>
        <row r="12161">
          <cell r="A12161" t="str">
            <v>SU1127-XL</v>
          </cell>
          <cell r="B12161" t="str">
            <v>QU1127</v>
          </cell>
          <cell r="C12161" t="str">
            <v>ซาติน แขนยาวขาสั้น Fern Bubblegum XL (กปก) QC</v>
          </cell>
          <cell r="E12161">
            <v>0</v>
          </cell>
          <cell r="F12161">
            <v>890</v>
          </cell>
        </row>
        <row r="12162">
          <cell r="A12162" t="str">
            <v>SU1128-2XL</v>
          </cell>
          <cell r="B12162" t="str">
            <v>U1128</v>
          </cell>
          <cell r="C12162" t="str">
            <v>ซาติน แขนยาวขาสั้น ลายอาร์ท สีน้ำ 2XL (กปก)</v>
          </cell>
          <cell r="E12162">
            <v>0</v>
          </cell>
          <cell r="F12162">
            <v>890</v>
          </cell>
        </row>
        <row r="12163">
          <cell r="A12163" t="str">
            <v>SU1128-L</v>
          </cell>
          <cell r="B12163" t="str">
            <v>U1128</v>
          </cell>
          <cell r="C12163" t="str">
            <v>ซาติน แขนยาวขาสั้น ลายอาร์ท สีน้ำ L (กปก)</v>
          </cell>
          <cell r="E12163">
            <v>0</v>
          </cell>
          <cell r="F12163">
            <v>890</v>
          </cell>
        </row>
        <row r="12164">
          <cell r="A12164" t="str">
            <v>SU1128-M</v>
          </cell>
          <cell r="B12164" t="str">
            <v>U1128</v>
          </cell>
          <cell r="C12164" t="str">
            <v>ซาติน แขนยาวขาสั้น ลายอาร์ท สีน้ำ M (กปก)</v>
          </cell>
          <cell r="E12164">
            <v>0</v>
          </cell>
          <cell r="F12164">
            <v>890</v>
          </cell>
        </row>
        <row r="12165">
          <cell r="A12165" t="str">
            <v>SU1128-XL</v>
          </cell>
          <cell r="B12165" t="str">
            <v>U1128</v>
          </cell>
          <cell r="C12165" t="str">
            <v>ซาติน แขนยาวขาสั้น ลายอาร์ท สีน้ำ XL (กปก)</v>
          </cell>
          <cell r="E12165">
            <v>0</v>
          </cell>
          <cell r="F12165">
            <v>890</v>
          </cell>
        </row>
        <row r="12166">
          <cell r="A12166" t="str">
            <v>SU1137-2XL</v>
          </cell>
          <cell r="B12166" t="str">
            <v>U1137</v>
          </cell>
          <cell r="C12166" t="str">
            <v>ซาติน แขนยาวขาสั้น Fern Fuchsia 2XL  (กปก)</v>
          </cell>
          <cell r="E12166">
            <v>0</v>
          </cell>
          <cell r="F12166">
            <v>890</v>
          </cell>
        </row>
        <row r="12167">
          <cell r="A12167" t="str">
            <v>SU1137-L</v>
          </cell>
          <cell r="B12167" t="str">
            <v>U1137</v>
          </cell>
          <cell r="C12167" t="str">
            <v>ซาติน แขนยาวขาสั้น สีรุ้งม่วงชมพู L (กปก)</v>
          </cell>
          <cell r="E12167">
            <v>0</v>
          </cell>
          <cell r="F12167">
            <v>890</v>
          </cell>
        </row>
        <row r="12168">
          <cell r="A12168" t="str">
            <v>SU1137-M</v>
          </cell>
          <cell r="B12168" t="str">
            <v>U1137</v>
          </cell>
          <cell r="C12168" t="str">
            <v>ซาติน แขนยาวขาสั้น สีรุ้งม่วงชมพู M (กปก)</v>
          </cell>
          <cell r="E12168">
            <v>0</v>
          </cell>
          <cell r="F12168">
            <v>890</v>
          </cell>
        </row>
        <row r="12169">
          <cell r="A12169" t="str">
            <v>SU1137-XL</v>
          </cell>
          <cell r="B12169" t="str">
            <v>U1137</v>
          </cell>
          <cell r="C12169" t="str">
            <v>ซาติน แขนยาวขาสั้น Fern Fuchsia XL (กปก)</v>
          </cell>
          <cell r="E12169">
            <v>0</v>
          </cell>
          <cell r="F12169">
            <v>890</v>
          </cell>
        </row>
        <row r="12170">
          <cell r="A12170" t="str">
            <v>SU1138-2XL</v>
          </cell>
          <cell r="B12170" t="str">
            <v>U1138</v>
          </cell>
          <cell r="C12170" t="str">
            <v>ซาติน แขนยาวขาสั้น กราฟฟิกฟาโร เขียวแดง 2XL  (กปก)</v>
          </cell>
          <cell r="E12170">
            <v>0</v>
          </cell>
          <cell r="F12170">
            <v>890</v>
          </cell>
        </row>
        <row r="12171">
          <cell r="A12171" t="str">
            <v>SU1138-L</v>
          </cell>
          <cell r="B12171" t="str">
            <v>U1138</v>
          </cell>
          <cell r="C12171" t="str">
            <v>ซาติน แขนยาวขาสั้น กราฟฟิกฟาโร เขียวแดง L (กปก)</v>
          </cell>
          <cell r="E12171">
            <v>0</v>
          </cell>
          <cell r="F12171">
            <v>890</v>
          </cell>
        </row>
        <row r="12172">
          <cell r="A12172" t="str">
            <v>SU1138-M</v>
          </cell>
          <cell r="B12172" t="str">
            <v>U1138</v>
          </cell>
          <cell r="C12172" t="str">
            <v>ซาติน แขนยาวขาสั้น กราฟฟิกฟาโร เขียวแดง M (กปก)</v>
          </cell>
          <cell r="E12172">
            <v>0</v>
          </cell>
          <cell r="F12172">
            <v>890</v>
          </cell>
        </row>
        <row r="12173">
          <cell r="A12173" t="str">
            <v>SU1138-XL</v>
          </cell>
          <cell r="B12173" t="str">
            <v>U1138</v>
          </cell>
          <cell r="C12173" t="str">
            <v>ซาติน แขนยาวขาสั้น กราฟฟิกฟาโร เขียวแดง XL (กปก)</v>
          </cell>
          <cell r="E12173">
            <v>0</v>
          </cell>
          <cell r="F12173">
            <v>890</v>
          </cell>
        </row>
        <row r="12174">
          <cell r="A12174" t="str">
            <v>SV0035-2XL</v>
          </cell>
          <cell r="B12174" t="str">
            <v>JV35</v>
          </cell>
          <cell r="C12174" t="str">
            <v>ซาติน แขนสั้นขายาว ฟรุตตี้ 2XL (กปก) ตัวโชว์</v>
          </cell>
          <cell r="E12174">
            <v>0</v>
          </cell>
          <cell r="F12174">
            <v>890</v>
          </cell>
        </row>
        <row r="12175">
          <cell r="A12175" t="str">
            <v>SV0035-L</v>
          </cell>
          <cell r="B12175" t="str">
            <v>JV35</v>
          </cell>
          <cell r="C12175" t="str">
            <v>ซาติน แขนสั้นขายาว ฟรุตตี้ L (กปก) ตัวโชว์</v>
          </cell>
          <cell r="E12175">
            <v>0</v>
          </cell>
          <cell r="F12175">
            <v>890</v>
          </cell>
        </row>
        <row r="12176">
          <cell r="A12176" t="str">
            <v>SV0035-M</v>
          </cell>
          <cell r="B12176" t="str">
            <v>JV35</v>
          </cell>
          <cell r="C12176" t="str">
            <v>ซาติน แขนสั้นขายาว ฟรุตตี้ M (กปก) ตัวโชว์</v>
          </cell>
          <cell r="E12176">
            <v>0</v>
          </cell>
          <cell r="F12176">
            <v>890</v>
          </cell>
        </row>
        <row r="12177">
          <cell r="A12177" t="str">
            <v>SV0035-XL</v>
          </cell>
          <cell r="B12177" t="str">
            <v>JV35</v>
          </cell>
          <cell r="C12177" t="str">
            <v>ซาติน แขนสั้นขายาว ฟรุตตี้ XL (กปก) ตัวโชว์</v>
          </cell>
          <cell r="E12177">
            <v>0</v>
          </cell>
          <cell r="F12177">
            <v>890</v>
          </cell>
        </row>
        <row r="12178">
          <cell r="A12178" t="str">
            <v>SV0128-2XL</v>
          </cell>
          <cell r="B12178" t="str">
            <v>V128</v>
          </cell>
          <cell r="C12178" t="str">
            <v>ซาติน แขนสั้นขายาว ผีเสื้อดอกไม้ เขียว Oversize 2XL (กปก)</v>
          </cell>
          <cell r="E12178">
            <v>0</v>
          </cell>
          <cell r="F12178">
            <v>890</v>
          </cell>
        </row>
        <row r="12179">
          <cell r="A12179" t="str">
            <v>SV0128-L</v>
          </cell>
          <cell r="B12179" t="str">
            <v>V128</v>
          </cell>
          <cell r="C12179" t="str">
            <v>ซาติน แขนสั้นขายาว ผีเสื้อดอกไม้ เขียว Oversize L (กปก)</v>
          </cell>
          <cell r="E12179">
            <v>0</v>
          </cell>
          <cell r="F12179">
            <v>890</v>
          </cell>
        </row>
        <row r="12180">
          <cell r="A12180" t="str">
            <v>SV0128-M</v>
          </cell>
          <cell r="B12180" t="str">
            <v>V128</v>
          </cell>
          <cell r="C12180" t="str">
            <v>ซาติน แขนสั้นขายาว ผีเสื้อดอกไม้ เขียว Oversize M (กปก)</v>
          </cell>
          <cell r="E12180">
            <v>0</v>
          </cell>
          <cell r="F12180">
            <v>890</v>
          </cell>
        </row>
        <row r="12181">
          <cell r="A12181" t="str">
            <v>SV0128-XL</v>
          </cell>
          <cell r="B12181" t="str">
            <v>V128</v>
          </cell>
          <cell r="C12181" t="str">
            <v>ซาติน แขนสั้นขายาว ผีเสื้อดอกไม้ เขียว Oversize XL (กปก)</v>
          </cell>
          <cell r="E12181">
            <v>0</v>
          </cell>
          <cell r="F12181">
            <v>890</v>
          </cell>
        </row>
        <row r="12182">
          <cell r="A12182" t="str">
            <v>SV0320-2XL</v>
          </cell>
          <cell r="B12182" t="str">
            <v>V320</v>
          </cell>
          <cell r="C12182" t="str">
            <v>ซาติน แขนสั้นขายาว ลายมะพร้าว สีพาสเทล  Oversize 2XL</v>
          </cell>
          <cell r="E12182">
            <v>0</v>
          </cell>
          <cell r="F12182">
            <v>890</v>
          </cell>
        </row>
        <row r="12183">
          <cell r="A12183" t="str">
            <v>SV0320-L</v>
          </cell>
          <cell r="B12183" t="str">
            <v>V320</v>
          </cell>
          <cell r="C12183" t="str">
            <v>ซาติน แขนสั้นขายาว ลายมะพร้าว สีพาสเทล  Oversize L</v>
          </cell>
          <cell r="E12183">
            <v>0</v>
          </cell>
          <cell r="F12183">
            <v>890</v>
          </cell>
        </row>
        <row r="12184">
          <cell r="A12184" t="str">
            <v>SV0320-M</v>
          </cell>
          <cell r="B12184" t="str">
            <v>V320</v>
          </cell>
          <cell r="C12184" t="str">
            <v>ซาติน แขนสั้นขายาว ลายมะพร้าว สีพาสเทล  Oversize M</v>
          </cell>
          <cell r="E12184">
            <v>0</v>
          </cell>
          <cell r="F12184">
            <v>890</v>
          </cell>
        </row>
        <row r="12185">
          <cell r="A12185" t="str">
            <v>SV0320-XL</v>
          </cell>
          <cell r="B12185" t="str">
            <v>V320</v>
          </cell>
          <cell r="C12185" t="str">
            <v>ซาติน แขนสั้นขายาว ลายมะพร้าว สีพาสเทล  Oversize XL</v>
          </cell>
          <cell r="E12185">
            <v>0</v>
          </cell>
          <cell r="F12185">
            <v>890</v>
          </cell>
        </row>
        <row r="12186">
          <cell r="A12186" t="str">
            <v>SV0330-2XL</v>
          </cell>
          <cell r="B12186" t="str">
            <v>V330</v>
          </cell>
          <cell r="C12186" t="str">
            <v>ซาติน แขนสั้นขายาว ปีกัสโซ่ OVERSIZE 2XL</v>
          </cell>
          <cell r="E12186">
            <v>3</v>
          </cell>
          <cell r="F12186">
            <v>890</v>
          </cell>
        </row>
        <row r="12187">
          <cell r="A12187" t="str">
            <v>SV0330-3XL</v>
          </cell>
          <cell r="B12187" t="str">
            <v>V330</v>
          </cell>
          <cell r="C12187" t="str">
            <v>ซาติน แขนสั้นขายาว ปีกัสโซ่ OVERSIZE 3XL</v>
          </cell>
          <cell r="E12187">
            <v>17</v>
          </cell>
          <cell r="F12187">
            <v>890</v>
          </cell>
        </row>
        <row r="12188">
          <cell r="A12188" t="str">
            <v>SV0330-L</v>
          </cell>
          <cell r="B12188" t="str">
            <v>V330</v>
          </cell>
          <cell r="C12188" t="str">
            <v>ซาติน แขนสั้นขายาว ปีกัสโซ่ OVERSIZE L</v>
          </cell>
          <cell r="E12188">
            <v>54</v>
          </cell>
          <cell r="F12188">
            <v>890</v>
          </cell>
        </row>
        <row r="12189">
          <cell r="A12189" t="str">
            <v>SV0330-M</v>
          </cell>
          <cell r="B12189" t="str">
            <v>V330</v>
          </cell>
          <cell r="C12189" t="str">
            <v>ซาติน แขนสั้นขายาว ปีกัสโซ่ OVERSIZE M</v>
          </cell>
          <cell r="E12189">
            <v>26</v>
          </cell>
          <cell r="F12189">
            <v>890</v>
          </cell>
        </row>
        <row r="12190">
          <cell r="A12190" t="str">
            <v>SV0330-XL</v>
          </cell>
          <cell r="B12190" t="str">
            <v>V330</v>
          </cell>
          <cell r="C12190" t="str">
            <v>ซาติน แขนสั้นขายาว ปีกัสโซ่ OVERSIZE XL</v>
          </cell>
          <cell r="E12190">
            <v>0</v>
          </cell>
          <cell r="F12190">
            <v>890</v>
          </cell>
        </row>
        <row r="12191">
          <cell r="A12191" t="str">
            <v>SV0564-L</v>
          </cell>
          <cell r="B12191" t="str">
            <v>V564</v>
          </cell>
          <cell r="C12191" t="str">
            <v>ซาติน แขนสั้นขายาว Blue Mountain Over Size L</v>
          </cell>
          <cell r="E12191">
            <v>0</v>
          </cell>
          <cell r="F12191">
            <v>890</v>
          </cell>
        </row>
        <row r="12192">
          <cell r="A12192" t="str">
            <v>SV0564-M</v>
          </cell>
          <cell r="B12192" t="str">
            <v>V564</v>
          </cell>
          <cell r="C12192" t="str">
            <v>ซาติน แขนสั้นขายาว Blue Mountain Over Size M</v>
          </cell>
          <cell r="E12192">
            <v>0</v>
          </cell>
          <cell r="F12192">
            <v>890</v>
          </cell>
        </row>
        <row r="12193">
          <cell r="A12193" t="str">
            <v>SV0564-XL</v>
          </cell>
          <cell r="B12193" t="str">
            <v>V564</v>
          </cell>
          <cell r="C12193" t="str">
            <v>ซาติน แขนสั้นขายาว Blue Mountain Over Size XL</v>
          </cell>
          <cell r="E12193">
            <v>0</v>
          </cell>
          <cell r="F12193">
            <v>890</v>
          </cell>
        </row>
        <row r="12194">
          <cell r="A12194" t="str">
            <v>SV0565-L</v>
          </cell>
          <cell r="B12194" t="str">
            <v>V565</v>
          </cell>
          <cell r="C12194" t="str">
            <v>ซาติน แขนสั้นขายาว จิ๊กซอว์ ชมพู L</v>
          </cell>
          <cell r="E12194">
            <v>0</v>
          </cell>
          <cell r="F12194">
            <v>890</v>
          </cell>
        </row>
        <row r="12195">
          <cell r="A12195" t="str">
            <v>SV0565-M</v>
          </cell>
          <cell r="B12195" t="str">
            <v>V565</v>
          </cell>
          <cell r="C12195" t="str">
            <v>ซาติน แขนสั้นขายาว จิ๊กซอว์ ชมพู M</v>
          </cell>
          <cell r="E12195">
            <v>0</v>
          </cell>
          <cell r="F12195">
            <v>890</v>
          </cell>
        </row>
        <row r="12196">
          <cell r="A12196" t="str">
            <v>SV0565-XL</v>
          </cell>
          <cell r="B12196" t="str">
            <v>V565</v>
          </cell>
          <cell r="C12196" t="str">
            <v>ซาติน แขนสั้นขายาว จิ๊กซอว์ ชมพู XL</v>
          </cell>
          <cell r="E12196">
            <v>0</v>
          </cell>
          <cell r="F12196">
            <v>890</v>
          </cell>
        </row>
        <row r="12197">
          <cell r="A12197" t="str">
            <v>SV0567-L</v>
          </cell>
          <cell r="B12197" t="str">
            <v>V567</v>
          </cell>
          <cell r="C12197" t="str">
            <v>ซาติน แขนสั้นขายาว พื้นเขียว ขอบดำ เกงจุด Over Size L</v>
          </cell>
          <cell r="E12197">
            <v>0</v>
          </cell>
          <cell r="F12197">
            <v>890</v>
          </cell>
        </row>
        <row r="12198">
          <cell r="A12198" t="str">
            <v>SV0567-XL</v>
          </cell>
          <cell r="B12198" t="str">
            <v>V567</v>
          </cell>
          <cell r="C12198" t="str">
            <v>ซาติน แขนสั้นขายาว พื้นเขียว ขอบดำ เกงจุด Over Size XL</v>
          </cell>
          <cell r="E12198">
            <v>0</v>
          </cell>
          <cell r="F12198">
            <v>890</v>
          </cell>
        </row>
        <row r="12199">
          <cell r="A12199" t="str">
            <v>SV0600-L</v>
          </cell>
          <cell r="B12199" t="str">
            <v>V600</v>
          </cell>
          <cell r="C12199" t="str">
            <v>ซาติน แขนสั้นขายาว คอกลม หมีอ้วง L</v>
          </cell>
          <cell r="E12199">
            <v>0</v>
          </cell>
          <cell r="F12199">
            <v>890</v>
          </cell>
        </row>
        <row r="12200">
          <cell r="A12200" t="str">
            <v>SV0600-M</v>
          </cell>
          <cell r="B12200" t="str">
            <v>V600</v>
          </cell>
          <cell r="C12200" t="str">
            <v>ซาติน แขนสั้นขายาว คอกลม หมีอ้วง M</v>
          </cell>
          <cell r="E12200">
            <v>0</v>
          </cell>
          <cell r="F12200">
            <v>890</v>
          </cell>
        </row>
        <row r="12201">
          <cell r="A12201" t="str">
            <v>SV0601-L</v>
          </cell>
          <cell r="B12201" t="str">
            <v>V601</v>
          </cell>
          <cell r="C12201" t="str">
            <v>ซาติน แขนสั้นขายาว คอกลม แมวอ้วง L</v>
          </cell>
          <cell r="E12201">
            <v>0</v>
          </cell>
          <cell r="F12201">
            <v>890</v>
          </cell>
        </row>
        <row r="12202">
          <cell r="A12202" t="str">
            <v>SV0601-M</v>
          </cell>
          <cell r="B12202" t="str">
            <v>V601</v>
          </cell>
          <cell r="C12202" t="str">
            <v>ซาติน แขนสั้นขายาว คอกลม แมวอ้วง M</v>
          </cell>
          <cell r="E12202">
            <v>0</v>
          </cell>
          <cell r="F12202">
            <v>890</v>
          </cell>
        </row>
        <row r="12203">
          <cell r="A12203" t="str">
            <v>SV0602-L</v>
          </cell>
          <cell r="B12203" t="str">
            <v>V602</v>
          </cell>
          <cell r="C12203" t="str">
            <v>ซาติน แขนสั้นขายาว คอกลม กระต่ายอ้วง L</v>
          </cell>
          <cell r="E12203">
            <v>0</v>
          </cell>
          <cell r="F12203">
            <v>890</v>
          </cell>
        </row>
        <row r="12204">
          <cell r="A12204" t="str">
            <v>SV0602-M</v>
          </cell>
          <cell r="B12204" t="str">
            <v>V602</v>
          </cell>
          <cell r="C12204" t="str">
            <v>ซาติน แขนสั้นขายาว คอกลม กระต่ายอ้วง M</v>
          </cell>
          <cell r="E12204">
            <v>0</v>
          </cell>
          <cell r="F12204">
            <v>890</v>
          </cell>
        </row>
        <row r="12205">
          <cell r="A12205" t="str">
            <v>SV0660-2XL</v>
          </cell>
          <cell r="B12205" t="str">
            <v>JV660</v>
          </cell>
          <cell r="C12205" t="str">
            <v>ซาติน แขนสั้นขายาว Pink Diamond Pastel 2XL (กปก) ตัวโชว์</v>
          </cell>
          <cell r="E12205">
            <v>0</v>
          </cell>
          <cell r="F12205">
            <v>890</v>
          </cell>
        </row>
        <row r="12206">
          <cell r="A12206" t="str">
            <v>SV0660-L</v>
          </cell>
          <cell r="B12206" t="str">
            <v>JV660</v>
          </cell>
          <cell r="C12206" t="str">
            <v>ซาติน แขนสั้นขายาว Pink Diamond Pastel L (กปก) ตัวโชว์</v>
          </cell>
          <cell r="E12206">
            <v>0</v>
          </cell>
          <cell r="F12206">
            <v>890</v>
          </cell>
        </row>
        <row r="12207">
          <cell r="A12207" t="str">
            <v>SV0660-M</v>
          </cell>
          <cell r="B12207" t="str">
            <v>JV660</v>
          </cell>
          <cell r="C12207" t="str">
            <v>ซาติน แขนสั้นขายาว Pink Diamond Pastel M (กปก) ตัวโชว์</v>
          </cell>
          <cell r="E12207">
            <v>0</v>
          </cell>
          <cell r="F12207">
            <v>890</v>
          </cell>
        </row>
        <row r="12208">
          <cell r="A12208" t="str">
            <v>SV0660-XL</v>
          </cell>
          <cell r="B12208" t="str">
            <v>JV660</v>
          </cell>
          <cell r="C12208" t="str">
            <v>ซาติน แขนสั้นขายาว Pink Diamond Pastel XL (กปก) ตัวโชว์</v>
          </cell>
          <cell r="E12208">
            <v>0</v>
          </cell>
          <cell r="F12208">
            <v>890</v>
          </cell>
        </row>
        <row r="12209">
          <cell r="A12209" t="str">
            <v>SV0820-2XL</v>
          </cell>
          <cell r="B12209" t="str">
            <v>V820</v>
          </cell>
          <cell r="C12209" t="str">
            <v>ซาติน แขนสั้นขายาว Blue Lotus Oversize 2XL (กปก)</v>
          </cell>
          <cell r="E12209">
            <v>0</v>
          </cell>
          <cell r="F12209">
            <v>890</v>
          </cell>
        </row>
        <row r="12210">
          <cell r="A12210" t="str">
            <v>SV0820-L</v>
          </cell>
          <cell r="B12210" t="str">
            <v>V820</v>
          </cell>
          <cell r="C12210" t="str">
            <v>ซาติน แขนสั้นขายาว Blue Lotus Oversize L (กปก)</v>
          </cell>
          <cell r="E12210">
            <v>0</v>
          </cell>
          <cell r="F12210">
            <v>890</v>
          </cell>
        </row>
        <row r="12211">
          <cell r="A12211" t="str">
            <v>SV0820-M</v>
          </cell>
          <cell r="B12211" t="str">
            <v>V820</v>
          </cell>
          <cell r="C12211" t="str">
            <v>ซาติน แขนสั้นขายาว Blue Lotus Oversize M (กปก)</v>
          </cell>
          <cell r="E12211">
            <v>0</v>
          </cell>
          <cell r="F12211">
            <v>890</v>
          </cell>
        </row>
        <row r="12212">
          <cell r="A12212" t="str">
            <v>SV0820-XL</v>
          </cell>
          <cell r="B12212" t="str">
            <v>V820</v>
          </cell>
          <cell r="C12212" t="str">
            <v>ซาติน แขนสั้นขายาว Blue Lotus Oversize XL (กปก)</v>
          </cell>
          <cell r="E12212">
            <v>0</v>
          </cell>
          <cell r="F12212">
            <v>890</v>
          </cell>
        </row>
        <row r="12213">
          <cell r="A12213" t="str">
            <v>SV0852-2XL</v>
          </cell>
          <cell r="B12213" t="str">
            <v>V852</v>
          </cell>
          <cell r="C12213" t="str">
            <v>ซาติน แขนสั้นขายาว แมวเทา พื้นครีม OVERSIZE 2XL (กปก)</v>
          </cell>
          <cell r="E12213">
            <v>0</v>
          </cell>
          <cell r="F12213">
            <v>890</v>
          </cell>
        </row>
        <row r="12214">
          <cell r="A12214" t="str">
            <v>SV0852-3XL</v>
          </cell>
          <cell r="B12214" t="str">
            <v>V852</v>
          </cell>
          <cell r="C12214" t="str">
            <v>ซาติน แขนสั้นขายาว แมวเทา พื้นครีม OVERSIZE 3XL (กปก)</v>
          </cell>
          <cell r="E12214">
            <v>0</v>
          </cell>
          <cell r="F12214">
            <v>890</v>
          </cell>
        </row>
        <row r="12215">
          <cell r="A12215" t="str">
            <v>SV0852-L</v>
          </cell>
          <cell r="B12215" t="str">
            <v>V852</v>
          </cell>
          <cell r="C12215" t="str">
            <v>ซาติน แขนสั้นขายาว แมวเทา พื้นครีม OVERSIZE L (กปก)</v>
          </cell>
          <cell r="E12215">
            <v>0</v>
          </cell>
          <cell r="F12215">
            <v>890</v>
          </cell>
        </row>
        <row r="12216">
          <cell r="A12216" t="str">
            <v>SV0852-M</v>
          </cell>
          <cell r="B12216" t="str">
            <v>V852</v>
          </cell>
          <cell r="C12216" t="str">
            <v>ซาติน แขนสั้นขายาว แมวเทา พื้นครีม OVERSIZE M (กปก)</v>
          </cell>
          <cell r="E12216">
            <v>0</v>
          </cell>
          <cell r="F12216">
            <v>890</v>
          </cell>
        </row>
        <row r="12217">
          <cell r="A12217" t="str">
            <v>SV0852-XL</v>
          </cell>
          <cell r="B12217" t="str">
            <v>V852</v>
          </cell>
          <cell r="C12217" t="str">
            <v>ซาติน แขนสั้นขายาว แมวเทา พื้นครีม OVERSIZE XL (กปก)</v>
          </cell>
          <cell r="E12217">
            <v>0</v>
          </cell>
          <cell r="F12217">
            <v>890</v>
          </cell>
        </row>
        <row r="12218">
          <cell r="A12218" t="str">
            <v>SV1085-2XL</v>
          </cell>
          <cell r="B12218" t="str">
            <v>V1085</v>
          </cell>
          <cell r="C12218" t="str">
            <v>ซาติน แขนสั้นขายาว Flower Red พื้นครีม 2XL (กปก)</v>
          </cell>
          <cell r="E12218">
            <v>0</v>
          </cell>
          <cell r="F12218">
            <v>890</v>
          </cell>
        </row>
        <row r="12219">
          <cell r="A12219" t="str">
            <v>SV1085-L</v>
          </cell>
          <cell r="B12219" t="str">
            <v>V1085</v>
          </cell>
          <cell r="C12219" t="str">
            <v>ซาติน แขนสั้นขายาว Flower Red พื้นครีม L (กปก)</v>
          </cell>
          <cell r="E12219">
            <v>0</v>
          </cell>
          <cell r="F12219">
            <v>890</v>
          </cell>
        </row>
        <row r="12220">
          <cell r="A12220" t="str">
            <v>SV1085-M</v>
          </cell>
          <cell r="B12220" t="str">
            <v>V1085</v>
          </cell>
          <cell r="C12220" t="str">
            <v>ซาติน แขนสั้นขายาว Flower Red พื้นครีม M (กปก)</v>
          </cell>
          <cell r="E12220">
            <v>0</v>
          </cell>
          <cell r="F12220">
            <v>890</v>
          </cell>
        </row>
        <row r="12221">
          <cell r="A12221" t="str">
            <v>SV1085-XL</v>
          </cell>
          <cell r="B12221" t="str">
            <v>V1085</v>
          </cell>
          <cell r="C12221" t="str">
            <v>ซาติน แขนสั้นขายาว Flower Red พื้นครีม XL (กปก)</v>
          </cell>
          <cell r="E12221">
            <v>0</v>
          </cell>
          <cell r="F12221">
            <v>890</v>
          </cell>
        </row>
        <row r="12222">
          <cell r="A12222" t="str">
            <v>SV1086-2XL</v>
          </cell>
          <cell r="B12222" t="str">
            <v>V1086</v>
          </cell>
          <cell r="C12222" t="str">
            <v>ซาติน แขนสั้นขายาว Flower Blue พื้นครีม 2XL (กปก)</v>
          </cell>
          <cell r="E12222">
            <v>0</v>
          </cell>
          <cell r="F12222">
            <v>890</v>
          </cell>
        </row>
        <row r="12223">
          <cell r="A12223" t="str">
            <v>SV1086-L</v>
          </cell>
          <cell r="B12223" t="str">
            <v>V1086</v>
          </cell>
          <cell r="C12223" t="str">
            <v>ซาติน แขนสั้นขายาว Flower Blue พื้นครีม L (กปก)</v>
          </cell>
          <cell r="E12223">
            <v>0</v>
          </cell>
          <cell r="F12223">
            <v>890</v>
          </cell>
        </row>
        <row r="12224">
          <cell r="A12224" t="str">
            <v>SV1086-M</v>
          </cell>
          <cell r="B12224" t="str">
            <v>V1086</v>
          </cell>
          <cell r="C12224" t="str">
            <v>ซาติน แขนสั้นขายาว Flower Blue พื้นครีม M (กปก)</v>
          </cell>
          <cell r="E12224">
            <v>0</v>
          </cell>
          <cell r="F12224">
            <v>890</v>
          </cell>
        </row>
        <row r="12225">
          <cell r="A12225" t="str">
            <v>SV1086-XL</v>
          </cell>
          <cell r="B12225" t="str">
            <v>V1086</v>
          </cell>
          <cell r="C12225" t="str">
            <v>ซาติน แขนสั้นขายาว Flower Blue พื้นครีม XL (กปก)</v>
          </cell>
          <cell r="E12225">
            <v>0</v>
          </cell>
          <cell r="F12225">
            <v>890</v>
          </cell>
        </row>
        <row r="12226">
          <cell r="A12226" t="str">
            <v>SV1087-2XL</v>
          </cell>
          <cell r="B12226" t="str">
            <v>V1087</v>
          </cell>
          <cell r="C12226" t="str">
            <v>ซาติน แขนสั้นขายาว Flower White&amp;Brown พื้นครีม 2XL (กปก)</v>
          </cell>
          <cell r="E12226">
            <v>0</v>
          </cell>
          <cell r="F12226">
            <v>890</v>
          </cell>
        </row>
        <row r="12227">
          <cell r="A12227" t="str">
            <v>SV1087-L</v>
          </cell>
          <cell r="B12227" t="str">
            <v>V1087</v>
          </cell>
          <cell r="C12227" t="str">
            <v>ซาติน แขนสั้นขายาว Flower White&amp;Brown พื้นครีม L (กปก)</v>
          </cell>
          <cell r="E12227">
            <v>0</v>
          </cell>
          <cell r="F12227">
            <v>890</v>
          </cell>
        </row>
        <row r="12228">
          <cell r="A12228" t="str">
            <v>SV1087-M</v>
          </cell>
          <cell r="B12228" t="str">
            <v>V1087</v>
          </cell>
          <cell r="C12228" t="str">
            <v>ซาติน แขนสั้นขายาว Flower White&amp;Brown พื้นครีม M (กปก)</v>
          </cell>
          <cell r="E12228">
            <v>0</v>
          </cell>
          <cell r="F12228">
            <v>890</v>
          </cell>
        </row>
        <row r="12229">
          <cell r="A12229" t="str">
            <v>SV1087-XL</v>
          </cell>
          <cell r="B12229" t="str">
            <v>V1087</v>
          </cell>
          <cell r="C12229" t="str">
            <v>ซาติน แขนสั้นขายาว Flower White&amp;Brown พื้นครีม XL (กปก)</v>
          </cell>
          <cell r="E12229">
            <v>0</v>
          </cell>
          <cell r="F12229">
            <v>890</v>
          </cell>
        </row>
        <row r="12230">
          <cell r="A12230" t="str">
            <v>SV1088-2XL</v>
          </cell>
          <cell r="B12230" t="str">
            <v>V1088</v>
          </cell>
          <cell r="C12230" t="str">
            <v>ซาติน แขนสั้นขายาว Flower Pink พื้นครีม 2XL (กปก)</v>
          </cell>
          <cell r="E12230">
            <v>0</v>
          </cell>
          <cell r="F12230">
            <v>890</v>
          </cell>
        </row>
        <row r="12231">
          <cell r="A12231" t="str">
            <v>SV1088-L</v>
          </cell>
          <cell r="B12231" t="str">
            <v>V1088</v>
          </cell>
          <cell r="C12231" t="str">
            <v>ซาติน แขนสั้นขายาว Flower Pink พื้นครีม L (กปก)</v>
          </cell>
          <cell r="E12231">
            <v>0</v>
          </cell>
          <cell r="F12231">
            <v>890</v>
          </cell>
        </row>
        <row r="12232">
          <cell r="A12232" t="str">
            <v>SV1088-M</v>
          </cell>
          <cell r="B12232" t="str">
            <v>V1088</v>
          </cell>
          <cell r="C12232" t="str">
            <v>ซาติน แขนสั้นขายาว Flower Pink พื้นครีม M (กปก)</v>
          </cell>
          <cell r="E12232">
            <v>0</v>
          </cell>
          <cell r="F12232">
            <v>890</v>
          </cell>
        </row>
        <row r="12233">
          <cell r="A12233" t="str">
            <v>SV1088-XL</v>
          </cell>
          <cell r="B12233" t="str">
            <v>V1088</v>
          </cell>
          <cell r="C12233" t="str">
            <v>ซาติน แขนสั้นขายาว Flower Pink พื้นครีม XL (กปก)</v>
          </cell>
          <cell r="E12233">
            <v>0</v>
          </cell>
          <cell r="F12233">
            <v>890</v>
          </cell>
        </row>
        <row r="12234">
          <cell r="A12234" t="str">
            <v>SV1179-2XL</v>
          </cell>
          <cell r="B12234" t="str">
            <v>QV1179</v>
          </cell>
          <cell r="C12234" t="str">
            <v>ซาติน แขนสั้นขายาว หมีเทา พื้นเขียว 2XL (กปก) QC</v>
          </cell>
          <cell r="E12234">
            <v>0</v>
          </cell>
          <cell r="F12234">
            <v>990</v>
          </cell>
        </row>
        <row r="12235">
          <cell r="A12235" t="str">
            <v>SV1179-L</v>
          </cell>
          <cell r="B12235" t="str">
            <v>V1179</v>
          </cell>
          <cell r="C12235" t="str">
            <v>ซาติน แขนสั้นขายาว หมีเทา พื้นเขียว L (กปก)</v>
          </cell>
          <cell r="E12235">
            <v>0</v>
          </cell>
          <cell r="F12235">
            <v>990</v>
          </cell>
        </row>
        <row r="12236">
          <cell r="A12236" t="str">
            <v>SV1179-M</v>
          </cell>
          <cell r="B12236" t="str">
            <v>V1179</v>
          </cell>
          <cell r="C12236" t="str">
            <v>ซาติน แขนสั้นขายาว หมีเทา พื้นเขียว M (กปก)</v>
          </cell>
          <cell r="E12236">
            <v>0</v>
          </cell>
          <cell r="F12236">
            <v>990</v>
          </cell>
        </row>
        <row r="12237">
          <cell r="A12237" t="str">
            <v>SV1179-XL</v>
          </cell>
          <cell r="B12237" t="str">
            <v>V1179</v>
          </cell>
          <cell r="C12237" t="str">
            <v>ซาติน แขนสั้นขายาว หมีเทา พื้นเขียว XL (กปก)</v>
          </cell>
          <cell r="E12237">
            <v>0</v>
          </cell>
          <cell r="F12237">
            <v>990</v>
          </cell>
        </row>
        <row r="12238">
          <cell r="A12238" t="str">
            <v>SV1189-2XL</v>
          </cell>
          <cell r="B12238" t="str">
            <v>QV1189</v>
          </cell>
          <cell r="C12238" t="str">
            <v>ซาติน แขนสั้นขายาว เสือดาว พื้นน้ำเงิน OVERSIZE (กปก) 2XL QC</v>
          </cell>
          <cell r="E12238">
            <v>0</v>
          </cell>
          <cell r="F12238">
            <v>990</v>
          </cell>
        </row>
        <row r="12239">
          <cell r="A12239" t="str">
            <v>SV1189-L</v>
          </cell>
          <cell r="B12239" t="str">
            <v>QV1189</v>
          </cell>
          <cell r="C12239" t="str">
            <v>ซาติน แขนสั้นขายาว เสือดาว พื้นน้ำเงิน OVERSIZE (กปก) L QC</v>
          </cell>
          <cell r="E12239">
            <v>0</v>
          </cell>
          <cell r="F12239">
            <v>990</v>
          </cell>
        </row>
        <row r="12240">
          <cell r="A12240" t="str">
            <v>SV1189-M</v>
          </cell>
          <cell r="B12240" t="str">
            <v>V1189</v>
          </cell>
          <cell r="C12240" t="str">
            <v>ซาติน แขนสั้นขายาว เสือดาว พื้นน้ำเงิน OVERSIZE (กปก) M</v>
          </cell>
          <cell r="E12240">
            <v>0</v>
          </cell>
          <cell r="F12240">
            <v>0</v>
          </cell>
        </row>
        <row r="12241">
          <cell r="A12241" t="str">
            <v>SV1189-XL</v>
          </cell>
          <cell r="B12241" t="str">
            <v>QV1189</v>
          </cell>
          <cell r="C12241" t="str">
            <v>ซาติน แขนสั้นขายาว เสือดาว พื้นน้ำเงิน OVERSIZE (กปก) XL QC</v>
          </cell>
          <cell r="E12241">
            <v>0</v>
          </cell>
          <cell r="F12241">
            <v>990</v>
          </cell>
        </row>
        <row r="12242">
          <cell r="A12242" t="str">
            <v>SV1207-2XL</v>
          </cell>
          <cell r="B12242" t="str">
            <v>QV1207</v>
          </cell>
          <cell r="C12242" t="str">
            <v>ซาติน แขนสั้นขายาว Haussmannian Gray 2XL QC</v>
          </cell>
          <cell r="E12242">
            <v>0</v>
          </cell>
          <cell r="F12242">
            <v>1090</v>
          </cell>
        </row>
        <row r="12243">
          <cell r="A12243" t="str">
            <v>SV1207-L</v>
          </cell>
          <cell r="B12243" t="str">
            <v>V1207</v>
          </cell>
          <cell r="C12243" t="str">
            <v>ซาติน แขนสั้นขายาว Haussmannian Gray L</v>
          </cell>
          <cell r="E12243">
            <v>0</v>
          </cell>
          <cell r="F12243">
            <v>1090</v>
          </cell>
        </row>
        <row r="12244">
          <cell r="A12244" t="str">
            <v>SV1207-M</v>
          </cell>
          <cell r="B12244" t="str">
            <v>V1207</v>
          </cell>
          <cell r="C12244" t="str">
            <v>ซาติน แขนสั้นขายาว Haussmannian Gray M</v>
          </cell>
          <cell r="E12244">
            <v>0</v>
          </cell>
          <cell r="F12244">
            <v>1090</v>
          </cell>
        </row>
        <row r="12245">
          <cell r="A12245" t="str">
            <v>SV1207-XL</v>
          </cell>
          <cell r="B12245" t="str">
            <v>QV1207</v>
          </cell>
          <cell r="C12245" t="str">
            <v>ซาติน แขนสั้นขายาว Haussmannian Gray XL QC</v>
          </cell>
          <cell r="E12245">
            <v>0</v>
          </cell>
          <cell r="F12245">
            <v>1090</v>
          </cell>
        </row>
        <row r="12246">
          <cell r="A12246" t="str">
            <v>SV1208-2XL</v>
          </cell>
          <cell r="B12246" t="str">
            <v>QV1208</v>
          </cell>
          <cell r="C12246" t="str">
            <v>ซาติน แขนสั้นขายาว Tiger flower พื้นดำ (กปก) 2XL QC</v>
          </cell>
          <cell r="E12246">
            <v>0</v>
          </cell>
          <cell r="F12246">
            <v>990</v>
          </cell>
        </row>
        <row r="12247">
          <cell r="A12247" t="str">
            <v>SV1208-3XL</v>
          </cell>
          <cell r="B12247" t="str">
            <v>V1208</v>
          </cell>
          <cell r="C12247" t="str">
            <v>SV1208-2XL ซาติน แขนสั้นขายาว Tiger flower พื้นดำ (กปก) 3XL</v>
          </cell>
          <cell r="E12247">
            <v>0</v>
          </cell>
          <cell r="F12247">
            <v>990</v>
          </cell>
        </row>
        <row r="12248">
          <cell r="A12248" t="str">
            <v>SV1208-L</v>
          </cell>
          <cell r="B12248" t="str">
            <v>QV1208</v>
          </cell>
          <cell r="C12248" t="str">
            <v>ซาติน แขนสั้นขายาว Tiger flower พื้นดำ (กปก) L QC</v>
          </cell>
          <cell r="E12248">
            <v>0</v>
          </cell>
          <cell r="F12248">
            <v>990</v>
          </cell>
        </row>
        <row r="12249">
          <cell r="A12249" t="str">
            <v>SV1208-M</v>
          </cell>
          <cell r="B12249" t="str">
            <v>QV1208</v>
          </cell>
          <cell r="C12249" t="str">
            <v>ซาติน แขนสั้นขายาว Tiger flower พื้นดำ (กปก) M QC</v>
          </cell>
          <cell r="E12249">
            <v>0</v>
          </cell>
          <cell r="F12249">
            <v>990</v>
          </cell>
        </row>
        <row r="12250">
          <cell r="A12250" t="str">
            <v>SV1208-XL</v>
          </cell>
          <cell r="B12250" t="str">
            <v>V1208</v>
          </cell>
          <cell r="C12250" t="str">
            <v>ซาติน แขนสั้นขายาว Tiger flower พื้นดำ (กปก) XL</v>
          </cell>
          <cell r="E12250">
            <v>0</v>
          </cell>
          <cell r="F12250">
            <v>990</v>
          </cell>
        </row>
        <row r="12251">
          <cell r="A12251" t="str">
            <v>SV1217-2XL</v>
          </cell>
          <cell r="B12251" t="str">
            <v>V1217</v>
          </cell>
          <cell r="C12251" t="str">
            <v>ซาติน แขนสั้นขายาว ภาพวาดสวนสัตว์ 2XL (กปก)</v>
          </cell>
          <cell r="E12251">
            <v>0</v>
          </cell>
          <cell r="F12251">
            <v>990</v>
          </cell>
        </row>
        <row r="12252">
          <cell r="A12252" t="str">
            <v>SV1217-3XL</v>
          </cell>
          <cell r="B12252" t="str">
            <v>V1217</v>
          </cell>
          <cell r="C12252" t="str">
            <v>ซาติน แขนสั้นขายาว ภาพวาดสวนสัตว์ 3XL (กปก)</v>
          </cell>
          <cell r="E12252">
            <v>0</v>
          </cell>
          <cell r="F12252">
            <v>990</v>
          </cell>
        </row>
        <row r="12253">
          <cell r="A12253" t="str">
            <v>SV1217-L</v>
          </cell>
          <cell r="B12253" t="str">
            <v>V1217</v>
          </cell>
          <cell r="C12253" t="str">
            <v>ซาติน แขนสั้นขายาว ภาพวาดสวนสัตว์ L (กปก)</v>
          </cell>
          <cell r="E12253">
            <v>0</v>
          </cell>
          <cell r="F12253">
            <v>990</v>
          </cell>
        </row>
        <row r="12254">
          <cell r="A12254" t="str">
            <v>SV1217-M</v>
          </cell>
          <cell r="B12254" t="str">
            <v>V1217</v>
          </cell>
          <cell r="C12254" t="str">
            <v>ซาติน แขนสั้นขายาว ภาพวาดสวนสัตว์ M (กปก)</v>
          </cell>
          <cell r="E12254">
            <v>0</v>
          </cell>
          <cell r="F12254">
            <v>990</v>
          </cell>
        </row>
        <row r="12255">
          <cell r="A12255" t="str">
            <v>SV1217-XL</v>
          </cell>
          <cell r="B12255" t="str">
            <v>V1217</v>
          </cell>
          <cell r="C12255" t="str">
            <v>ซาติน แขนสั้นขายาว ภาพวาดสวนสัตว์ XL (กปก)</v>
          </cell>
          <cell r="E12255">
            <v>0</v>
          </cell>
          <cell r="F12255">
            <v>990</v>
          </cell>
        </row>
        <row r="12256">
          <cell r="A12256" t="str">
            <v>SV1219-2XL</v>
          </cell>
          <cell r="B12256" t="str">
            <v>QV1219</v>
          </cell>
          <cell r="C12256" t="str">
            <v>ซาติน แขนสั้นขายาว กระต่ายขาว พื้นชมพู 2XL (กปก) QC</v>
          </cell>
          <cell r="E12256">
            <v>0</v>
          </cell>
          <cell r="F12256">
            <v>990</v>
          </cell>
        </row>
        <row r="12257">
          <cell r="A12257" t="str">
            <v>SV1219-L</v>
          </cell>
          <cell r="B12257" t="str">
            <v>V1219</v>
          </cell>
          <cell r="C12257" t="str">
            <v>ซาติน แขนสั้นขายาว กระต่ายขาว พื้นชมพู L (กปก)</v>
          </cell>
          <cell r="E12257">
            <v>0</v>
          </cell>
          <cell r="F12257">
            <v>990</v>
          </cell>
        </row>
        <row r="12258">
          <cell r="A12258" t="str">
            <v>SV1219-M</v>
          </cell>
          <cell r="B12258" t="str">
            <v>QV1219</v>
          </cell>
          <cell r="C12258" t="str">
            <v>ซาติน แขนสั้นขายาว กระต่ายขาว พื้นชมพู M (กปก) QC</v>
          </cell>
          <cell r="E12258">
            <v>0</v>
          </cell>
          <cell r="F12258">
            <v>990</v>
          </cell>
        </row>
        <row r="12259">
          <cell r="A12259" t="str">
            <v>SV1219-XL</v>
          </cell>
          <cell r="B12259" t="str">
            <v>V1219</v>
          </cell>
          <cell r="C12259" t="str">
            <v>ซาติน แขนสั้นขายาว กระต่ายขาว พื้นชมพู XL (กปก)</v>
          </cell>
          <cell r="E12259">
            <v>0</v>
          </cell>
          <cell r="F12259">
            <v>990</v>
          </cell>
        </row>
        <row r="12260">
          <cell r="A12260" t="str">
            <v>SV1220-2XL</v>
          </cell>
          <cell r="B12260" t="str">
            <v>V1220</v>
          </cell>
          <cell r="C12260" t="str">
            <v>ซาติน แขนสั้นขายาว อิฐบ็อกเหลือง Oversize 2XL (กปก)</v>
          </cell>
          <cell r="E12260">
            <v>0</v>
          </cell>
          <cell r="F12260">
            <v>890</v>
          </cell>
        </row>
        <row r="12261">
          <cell r="A12261" t="str">
            <v>SV1220-3XL</v>
          </cell>
          <cell r="B12261" t="str">
            <v>V1220</v>
          </cell>
          <cell r="C12261" t="str">
            <v>ซาติน แขนสั้นขายาว อิฐบ็อกเหลือง Oversize 3XL (กปก)</v>
          </cell>
          <cell r="E12261">
            <v>0</v>
          </cell>
          <cell r="F12261">
            <v>890</v>
          </cell>
        </row>
        <row r="12262">
          <cell r="A12262" t="str">
            <v>SV1220-L</v>
          </cell>
          <cell r="B12262" t="str">
            <v>V1220</v>
          </cell>
          <cell r="C12262" t="str">
            <v>ซาติน แขนสั้นขายาว อิฐบ็อกเหลือง Oversize L (กปก)</v>
          </cell>
          <cell r="E12262">
            <v>0</v>
          </cell>
          <cell r="F12262">
            <v>890</v>
          </cell>
        </row>
        <row r="12263">
          <cell r="A12263" t="str">
            <v>SV1220-M</v>
          </cell>
          <cell r="B12263" t="str">
            <v>V1220</v>
          </cell>
          <cell r="C12263" t="str">
            <v>ซาติน แขนสั้นขายาว อิฐบ็อกเหลือง Oversize M (กปก)</v>
          </cell>
          <cell r="E12263">
            <v>0</v>
          </cell>
          <cell r="F12263">
            <v>890</v>
          </cell>
        </row>
        <row r="12264">
          <cell r="A12264" t="str">
            <v>SV1220-XL</v>
          </cell>
          <cell r="B12264" t="str">
            <v>V1220</v>
          </cell>
          <cell r="C12264" t="str">
            <v>ซาติน แขนสั้นขายาว อิฐบ็อกเหลือง Oversize XL (กปก)</v>
          </cell>
          <cell r="E12264">
            <v>0</v>
          </cell>
          <cell r="F12264">
            <v>890</v>
          </cell>
        </row>
        <row r="12265">
          <cell r="A12265" t="str">
            <v>SV1222-2XL</v>
          </cell>
          <cell r="B12265" t="str">
            <v>V1222</v>
          </cell>
          <cell r="C12265" t="str">
            <v>ซาติน แขนสั้นขายาว The sun&amp;The moon พื้นฟ้า OVERSIZE 2XL</v>
          </cell>
          <cell r="E12265">
            <v>0</v>
          </cell>
          <cell r="F12265">
            <v>990</v>
          </cell>
        </row>
        <row r="12266">
          <cell r="A12266" t="str">
            <v>SV1222-3XL</v>
          </cell>
          <cell r="B12266" t="str">
            <v>V1222</v>
          </cell>
          <cell r="C12266" t="str">
            <v>ซาติน แขนสั้นขายาว The sun&amp;The moon พื้นฟ้า OVERSIZE 3XL</v>
          </cell>
          <cell r="E12266">
            <v>0</v>
          </cell>
          <cell r="F12266">
            <v>990</v>
          </cell>
        </row>
        <row r="12267">
          <cell r="A12267" t="str">
            <v>SV1222-L</v>
          </cell>
          <cell r="B12267" t="str">
            <v>QV1222</v>
          </cell>
          <cell r="C12267" t="str">
            <v>ซาติน แขนสั้นขายาว The sun&amp;The moon พื้นฟ้า OVERSIZE L QC</v>
          </cell>
          <cell r="E12267">
            <v>0</v>
          </cell>
          <cell r="F12267">
            <v>990</v>
          </cell>
        </row>
        <row r="12268">
          <cell r="A12268" t="str">
            <v>SV1222-M</v>
          </cell>
          <cell r="B12268" t="str">
            <v>V1222</v>
          </cell>
          <cell r="C12268" t="str">
            <v>ซาติน แขนสั้นขายาว The sun&amp;The moon พื้นฟ้า OVERSIZE M</v>
          </cell>
          <cell r="E12268">
            <v>0</v>
          </cell>
          <cell r="F12268">
            <v>990</v>
          </cell>
        </row>
        <row r="12269">
          <cell r="A12269" t="str">
            <v>SV1222-XL</v>
          </cell>
          <cell r="B12269" t="str">
            <v>QV1222</v>
          </cell>
          <cell r="C12269" t="str">
            <v>ซาติน แขนสั้นขายาว The sun&amp;The moon พื้นฟ้า OVERSIZE XL QC</v>
          </cell>
          <cell r="E12269">
            <v>0</v>
          </cell>
          <cell r="F12269">
            <v>990</v>
          </cell>
        </row>
        <row r="12270">
          <cell r="A12270" t="str">
            <v>SV1227-2XL</v>
          </cell>
          <cell r="B12270" t="str">
            <v>V1227</v>
          </cell>
          <cell r="C12270" t="str">
            <v>ซาติน แขนสั้นขายาว ฟราวเวอร์ การฟฟิก ปกส้ม โอเวอร์ไซส์ 2XL (กปก)</v>
          </cell>
          <cell r="E12270">
            <v>0</v>
          </cell>
          <cell r="F12270">
            <v>890</v>
          </cell>
        </row>
        <row r="12271">
          <cell r="A12271" t="str">
            <v>SV1227-3XL</v>
          </cell>
          <cell r="B12271" t="str">
            <v>QV1227</v>
          </cell>
          <cell r="C12271" t="str">
            <v>ซาติน แขนสั้นขายาว ฟราวเวอร์ การฟฟิก ปกส้ม โอเวอร์ไซส์ 3XL (กปก) QC</v>
          </cell>
          <cell r="E12271">
            <v>0</v>
          </cell>
          <cell r="F12271">
            <v>890</v>
          </cell>
        </row>
        <row r="12272">
          <cell r="A12272" t="str">
            <v>SV1227-L</v>
          </cell>
          <cell r="B12272" t="str">
            <v>V1227</v>
          </cell>
          <cell r="C12272" t="str">
            <v>ซาติน แขนสั้นขายาว ฟราวเวอร์ การฟฟิก ปกส้ม โอเวอร์ไซส์ L (กปก)</v>
          </cell>
          <cell r="E12272">
            <v>0</v>
          </cell>
          <cell r="F12272">
            <v>890</v>
          </cell>
        </row>
        <row r="12273">
          <cell r="A12273" t="str">
            <v>SV1227-M</v>
          </cell>
          <cell r="B12273" t="str">
            <v>V1227</v>
          </cell>
          <cell r="C12273" t="str">
            <v>ซาติน แขนสั้นขายาว ฟราวเวอร์ การฟฟิก ปกส้ม โอเวอร์ไซส์ M (กปก)</v>
          </cell>
          <cell r="E12273">
            <v>0</v>
          </cell>
          <cell r="F12273">
            <v>890</v>
          </cell>
        </row>
        <row r="12274">
          <cell r="A12274" t="str">
            <v>SV1227-XL</v>
          </cell>
          <cell r="B12274" t="str">
            <v>V1227</v>
          </cell>
          <cell r="C12274" t="str">
            <v>ซาติน แขนสั้นขายาว ฟราวเวอร์ การฟฟิก ปกส้ม โอเวอร์ไซส์ XL (กปก)</v>
          </cell>
          <cell r="E12274">
            <v>0</v>
          </cell>
          <cell r="F12274">
            <v>890</v>
          </cell>
        </row>
        <row r="12275">
          <cell r="A12275" t="str">
            <v>SV1233-2XL</v>
          </cell>
          <cell r="B12275" t="str">
            <v>QV1233</v>
          </cell>
          <cell r="C12275" t="str">
            <v>ซาติน แขนสั้นขายาว the sun พื้นครีม oversize 2XL (กปก) QC</v>
          </cell>
          <cell r="E12275">
            <v>0</v>
          </cell>
          <cell r="F12275">
            <v>890</v>
          </cell>
        </row>
        <row r="12276">
          <cell r="A12276" t="str">
            <v>SV1233-3XL</v>
          </cell>
          <cell r="B12276" t="str">
            <v>QV1233</v>
          </cell>
          <cell r="C12276" t="str">
            <v>ซาติน แขนสั้นขายาว the sun พื้นครีม oversize 3XL (กปก) QC</v>
          </cell>
          <cell r="E12276">
            <v>0</v>
          </cell>
          <cell r="F12276">
            <v>890</v>
          </cell>
        </row>
        <row r="12277">
          <cell r="A12277" t="str">
            <v>SV1233-L</v>
          </cell>
          <cell r="B12277" t="str">
            <v>QV1233</v>
          </cell>
          <cell r="C12277" t="str">
            <v>ซาติน แขนสั้นขายาว the sun พื้นครีม oversize L (กปก) QC</v>
          </cell>
          <cell r="E12277">
            <v>0</v>
          </cell>
          <cell r="F12277">
            <v>890</v>
          </cell>
        </row>
        <row r="12278">
          <cell r="A12278" t="str">
            <v>SV1233-M</v>
          </cell>
          <cell r="B12278" t="str">
            <v>QV1233</v>
          </cell>
          <cell r="C12278" t="str">
            <v>ซาติน แขนสั้นขายาว the sun พื้นครีม oversize M (กปก) QC</v>
          </cell>
          <cell r="E12278">
            <v>0</v>
          </cell>
          <cell r="F12278">
            <v>890</v>
          </cell>
        </row>
        <row r="12279">
          <cell r="A12279" t="str">
            <v>SV1233-XL</v>
          </cell>
          <cell r="B12279" t="str">
            <v>QV1233</v>
          </cell>
          <cell r="C12279" t="str">
            <v>ซาติน แขนสั้นขายาว the sun พื้นครีม oversize XL (กปก) QC</v>
          </cell>
          <cell r="E12279">
            <v>0</v>
          </cell>
          <cell r="F12279">
            <v>890</v>
          </cell>
        </row>
        <row r="12280">
          <cell r="A12280" t="str">
            <v>SV2009-2XL</v>
          </cell>
          <cell r="B12280" t="str">
            <v>QV2009</v>
          </cell>
          <cell r="C12280" t="str">
            <v>ซาติน แขนสั้นขายาว Chimera Amber 2XL  (กปก) QC</v>
          </cell>
          <cell r="E12280">
            <v>0</v>
          </cell>
          <cell r="F12280">
            <v>990</v>
          </cell>
        </row>
        <row r="12281">
          <cell r="A12281" t="str">
            <v>SV2009-3XL</v>
          </cell>
          <cell r="B12281" t="str">
            <v>QV2009</v>
          </cell>
          <cell r="C12281" t="str">
            <v>ซาติน แขนสั้นขายาว Chimera Amber 3XL  (กปก) QC</v>
          </cell>
          <cell r="E12281">
            <v>0</v>
          </cell>
          <cell r="F12281">
            <v>990</v>
          </cell>
        </row>
        <row r="12282">
          <cell r="A12282" t="str">
            <v>SV2009-L</v>
          </cell>
          <cell r="B12282" t="str">
            <v>QV2009</v>
          </cell>
          <cell r="C12282" t="str">
            <v>ซาติน แขนสั้นขายาว Chimera Amber L (กปก) QC</v>
          </cell>
          <cell r="E12282">
            <v>0</v>
          </cell>
          <cell r="F12282">
            <v>990</v>
          </cell>
        </row>
        <row r="12283">
          <cell r="A12283" t="str">
            <v>SV2009-M</v>
          </cell>
          <cell r="B12283" t="str">
            <v>QV2009</v>
          </cell>
          <cell r="C12283" t="str">
            <v>ซาติน แขนสั้นขายาว Chimera Amber M (กปก) QC</v>
          </cell>
          <cell r="E12283">
            <v>0</v>
          </cell>
          <cell r="F12283">
            <v>990</v>
          </cell>
        </row>
        <row r="12284">
          <cell r="A12284" t="str">
            <v>SV2009-XL</v>
          </cell>
          <cell r="B12284" t="str">
            <v>V2009</v>
          </cell>
          <cell r="C12284" t="str">
            <v>ซาติน แขนสั้นขายาว Chimera Amber XL (กปก)</v>
          </cell>
          <cell r="E12284">
            <v>0</v>
          </cell>
          <cell r="F12284">
            <v>890</v>
          </cell>
        </row>
        <row r="12285">
          <cell r="A12285" t="str">
            <v>SV2011-2XL</v>
          </cell>
          <cell r="B12285" t="str">
            <v>QV2011</v>
          </cell>
          <cell r="C12285" t="str">
            <v>ซาติน แขนสั้นขายาว Wonder Circus OVERSIZE 2XL QC</v>
          </cell>
          <cell r="E12285">
            <v>0</v>
          </cell>
          <cell r="F12285">
            <v>990</v>
          </cell>
        </row>
        <row r="12286">
          <cell r="A12286" t="str">
            <v>SV2011-3XL</v>
          </cell>
          <cell r="B12286" t="str">
            <v>V2011</v>
          </cell>
          <cell r="C12286" t="str">
            <v>ซาติน แขนสั้นขายาว Wonder Circus OVERSIZE 3XL</v>
          </cell>
          <cell r="E12286">
            <v>0</v>
          </cell>
          <cell r="F12286">
            <v>890</v>
          </cell>
        </row>
        <row r="12287">
          <cell r="A12287" t="str">
            <v>SV2011-L</v>
          </cell>
          <cell r="B12287" t="str">
            <v>QV2011</v>
          </cell>
          <cell r="C12287" t="str">
            <v>ซาติน แขนสั้นขายาว Wonder Circus OVERSIZE L QC</v>
          </cell>
          <cell r="E12287">
            <v>0</v>
          </cell>
          <cell r="F12287">
            <v>990</v>
          </cell>
        </row>
        <row r="12288">
          <cell r="A12288" t="str">
            <v>SV2011-M</v>
          </cell>
          <cell r="B12288" t="str">
            <v>V2011</v>
          </cell>
          <cell r="C12288" t="str">
            <v>ซาติน แขนสั้นขายาว Wonder Circus OVERSIZE M</v>
          </cell>
          <cell r="E12288">
            <v>0</v>
          </cell>
          <cell r="F12288">
            <v>890</v>
          </cell>
        </row>
        <row r="12289">
          <cell r="A12289" t="str">
            <v>SV2011-XL</v>
          </cell>
          <cell r="B12289" t="str">
            <v>QV2011</v>
          </cell>
          <cell r="C12289" t="str">
            <v>ซาติน แขนสั้นขายาว Wonder Circus OVERSIZE XL QC</v>
          </cell>
          <cell r="E12289">
            <v>0</v>
          </cell>
          <cell r="F12289">
            <v>990</v>
          </cell>
        </row>
        <row r="12290">
          <cell r="A12290" t="str">
            <v>SW0007-2XL</v>
          </cell>
          <cell r="B12290" t="str">
            <v>QW7</v>
          </cell>
          <cell r="C12290" t="str">
            <v>ซาติน แขนสั้นขาสั้น ควีน สตรอเบอร์รี่ พื้นชมพู Oversize 2XL QC</v>
          </cell>
          <cell r="E12290">
            <v>0</v>
          </cell>
          <cell r="F12290">
            <v>790</v>
          </cell>
        </row>
        <row r="12291">
          <cell r="A12291" t="str">
            <v>SW0007-3XL</v>
          </cell>
          <cell r="B12291" t="str">
            <v>QW7</v>
          </cell>
          <cell r="C12291" t="str">
            <v>ซาติน แขนสั้นขาสั้น ควีน สตรอเบอร์รี่ พื้นชมพู Oversize 3XL QC</v>
          </cell>
          <cell r="E12291">
            <v>0</v>
          </cell>
          <cell r="F12291">
            <v>790</v>
          </cell>
        </row>
        <row r="12292">
          <cell r="A12292" t="str">
            <v>SW0007-L</v>
          </cell>
          <cell r="B12292" t="str">
            <v>W7</v>
          </cell>
          <cell r="C12292" t="str">
            <v>ซาติน แขนสั้นขาสั้น ควีน สตรอเบอร์รี่ พื้นชมพู Oversize L</v>
          </cell>
          <cell r="E12292">
            <v>0</v>
          </cell>
          <cell r="F12292">
            <v>790</v>
          </cell>
        </row>
        <row r="12293">
          <cell r="A12293" t="str">
            <v>SW0007-M</v>
          </cell>
          <cell r="B12293" t="str">
            <v>QW7</v>
          </cell>
          <cell r="C12293" t="str">
            <v>ซาติน แขนสั้นขาสั้น ควีน สตรอเบอร์รี่ พื้นชมพู Oversize M QC</v>
          </cell>
          <cell r="E12293">
            <v>0</v>
          </cell>
          <cell r="F12293">
            <v>790</v>
          </cell>
        </row>
        <row r="12294">
          <cell r="A12294" t="str">
            <v>SW0007-XL</v>
          </cell>
          <cell r="B12294" t="str">
            <v>W7</v>
          </cell>
          <cell r="C12294" t="str">
            <v>ซาติน แขนสั้นขาสั้น ควีน สตรอเบอร์รี่ พื้นชมพู Oversize XL</v>
          </cell>
          <cell r="E12294">
            <v>0</v>
          </cell>
          <cell r="F12294">
            <v>790</v>
          </cell>
        </row>
        <row r="12295">
          <cell r="A12295" t="str">
            <v>SW0035-M</v>
          </cell>
          <cell r="B12295" t="str">
            <v>W35</v>
          </cell>
          <cell r="C12295" t="str">
            <v>ซาติน แขนสั้นขาสั้น ฟรุตตี้ OVERSIZE M</v>
          </cell>
          <cell r="E12295">
            <v>0</v>
          </cell>
          <cell r="F12295">
            <v>790</v>
          </cell>
        </row>
        <row r="12296">
          <cell r="A12296" t="str">
            <v>SW0035-XL</v>
          </cell>
          <cell r="B12296" t="str">
            <v>W35</v>
          </cell>
          <cell r="C12296" t="str">
            <v>ซาติน แขนสั้นขาสั้น ฟรุตตี้ OVERSIZE XL</v>
          </cell>
          <cell r="E12296">
            <v>0</v>
          </cell>
          <cell r="F12296">
            <v>790</v>
          </cell>
        </row>
        <row r="12297">
          <cell r="A12297" t="str">
            <v>SW0128-L</v>
          </cell>
          <cell r="B12297" t="str">
            <v>W128</v>
          </cell>
          <cell r="C12297" t="str">
            <v>ซาติน แขนสั้นขาสั้น ผีเสื้อดอกไม้ เขียว Oversize L</v>
          </cell>
          <cell r="E12297">
            <v>0</v>
          </cell>
          <cell r="F12297">
            <v>790</v>
          </cell>
        </row>
        <row r="12298">
          <cell r="A12298" t="str">
            <v>SW0128-M</v>
          </cell>
          <cell r="B12298" t="str">
            <v>W128</v>
          </cell>
          <cell r="C12298" t="str">
            <v>ซาติน แขนสั้นขาสั้น ผีเสื้อดอกไม้ เขียว Oversize M</v>
          </cell>
          <cell r="E12298">
            <v>0</v>
          </cell>
          <cell r="F12298">
            <v>790</v>
          </cell>
        </row>
        <row r="12299">
          <cell r="A12299" t="str">
            <v>SW0237-2XL</v>
          </cell>
          <cell r="B12299" t="str">
            <v>W237</v>
          </cell>
          <cell r="C12299" t="str">
            <v>ซาติน แขนสั้นขาสั้น ภาพวาด  OVERSIZE 2XL</v>
          </cell>
          <cell r="E12299">
            <v>0</v>
          </cell>
          <cell r="F12299">
            <v>790</v>
          </cell>
        </row>
        <row r="12300">
          <cell r="A12300" t="str">
            <v>SW0237-L</v>
          </cell>
          <cell r="B12300" t="str">
            <v>QW237</v>
          </cell>
          <cell r="C12300" t="str">
            <v>ซาติน แขนสั้นขาสั้น ภาพวาด  OVERSIZE L QC</v>
          </cell>
          <cell r="E12300">
            <v>0</v>
          </cell>
          <cell r="F12300">
            <v>790</v>
          </cell>
        </row>
        <row r="12301">
          <cell r="A12301" t="str">
            <v>SW0237-M</v>
          </cell>
          <cell r="B12301" t="str">
            <v>W237</v>
          </cell>
          <cell r="C12301" t="str">
            <v>ซาติน แขนสั้นขาสั้น ภาพวาด  OVERSIZE M</v>
          </cell>
          <cell r="E12301">
            <v>0</v>
          </cell>
          <cell r="F12301">
            <v>790</v>
          </cell>
        </row>
        <row r="12302">
          <cell r="A12302" t="str">
            <v>SW0237-XL</v>
          </cell>
          <cell r="B12302" t="str">
            <v>W237</v>
          </cell>
          <cell r="C12302" t="str">
            <v>ซาติน แขนสั้นขาสั้น ภาพวาด  OVERSIZE XL</v>
          </cell>
          <cell r="E12302">
            <v>0</v>
          </cell>
          <cell r="F12302">
            <v>790</v>
          </cell>
        </row>
        <row r="12303">
          <cell r="A12303" t="str">
            <v>SW0320-L</v>
          </cell>
          <cell r="B12303" t="str">
            <v>W320</v>
          </cell>
          <cell r="C12303" t="str">
            <v>ซาติน แขนสั้นขาสั้น ลายมะพร้าว สีพาสเทล  Over Size L</v>
          </cell>
          <cell r="E12303">
            <v>0</v>
          </cell>
          <cell r="F12303">
            <v>790</v>
          </cell>
        </row>
        <row r="12304">
          <cell r="A12304" t="str">
            <v>SW0320-M</v>
          </cell>
          <cell r="B12304" t="str">
            <v>W320</v>
          </cell>
          <cell r="C12304" t="str">
            <v>ซาติน แขนสั้นขาสั้น ลายมะพร้าว สีพาสเทล Over Size M</v>
          </cell>
          <cell r="E12304">
            <v>0</v>
          </cell>
          <cell r="F12304">
            <v>790</v>
          </cell>
        </row>
        <row r="12305">
          <cell r="A12305" t="str">
            <v>SW0320-XL</v>
          </cell>
          <cell r="B12305" t="str">
            <v>W320</v>
          </cell>
          <cell r="C12305" t="str">
            <v>ซาติน แขนสั้นขาสั้น ลายมะพร้าว สีพาสเทล Over Size XL</v>
          </cell>
          <cell r="E12305">
            <v>0</v>
          </cell>
          <cell r="F12305">
            <v>790</v>
          </cell>
        </row>
        <row r="12306">
          <cell r="A12306" t="str">
            <v>SW0326-L</v>
          </cell>
          <cell r="B12306" t="str">
            <v>W326</v>
          </cell>
          <cell r="C12306" t="str">
            <v>ซาติน แขนสั้นขาสั้น แคนวาส พื้นครีม Over Size L</v>
          </cell>
          <cell r="E12306">
            <v>0</v>
          </cell>
          <cell r="F12306">
            <v>790</v>
          </cell>
        </row>
        <row r="12307">
          <cell r="A12307" t="str">
            <v>SW0326-M</v>
          </cell>
          <cell r="B12307" t="str">
            <v>W326</v>
          </cell>
          <cell r="C12307" t="str">
            <v>ซาติน แขนสั้นขาสั้น แคนวาส พื้นครีม Over Size M</v>
          </cell>
          <cell r="E12307">
            <v>0</v>
          </cell>
          <cell r="F12307">
            <v>790</v>
          </cell>
        </row>
        <row r="12308">
          <cell r="A12308" t="str">
            <v>SW0326-XL</v>
          </cell>
          <cell r="B12308" t="str">
            <v>W326</v>
          </cell>
          <cell r="C12308" t="str">
            <v>ซาติน แขนสั้นขาสั้น แคนวาส พื้นครีม Over Size XL</v>
          </cell>
          <cell r="E12308">
            <v>0</v>
          </cell>
          <cell r="F12308">
            <v>790</v>
          </cell>
        </row>
        <row r="12309">
          <cell r="A12309" t="str">
            <v>SW0327-XL</v>
          </cell>
          <cell r="B12309" t="str">
            <v>W327</v>
          </cell>
          <cell r="E12309">
            <v>0</v>
          </cell>
          <cell r="F12309">
            <v>0</v>
          </cell>
        </row>
        <row r="12310">
          <cell r="A12310" t="str">
            <v>SW0330-2XL</v>
          </cell>
          <cell r="B12310" t="str">
            <v>W330</v>
          </cell>
          <cell r="C12310" t="str">
            <v>ซาติน แขนสั้นขาสั้น ปีกัสโซ่ OVERSIZE 2XL</v>
          </cell>
          <cell r="E12310">
            <v>10</v>
          </cell>
          <cell r="F12310">
            <v>790</v>
          </cell>
        </row>
        <row r="12311">
          <cell r="A12311" t="str">
            <v>SW0330-3XL</v>
          </cell>
          <cell r="B12311" t="str">
            <v>W330</v>
          </cell>
          <cell r="C12311" t="str">
            <v>ซาติน แขนสั้นขาสั้น ปีกัสโซ่ OVERSIZE 3XL</v>
          </cell>
          <cell r="E12311">
            <v>0</v>
          </cell>
          <cell r="F12311">
            <v>790</v>
          </cell>
        </row>
        <row r="12312">
          <cell r="A12312" t="str">
            <v>SW0330-L</v>
          </cell>
          <cell r="B12312" t="str">
            <v>W330</v>
          </cell>
          <cell r="C12312" t="str">
            <v>ซาติน แขนสั้นขาสั้น ปีกัสโซ่ OVERSIZE L</v>
          </cell>
          <cell r="E12312">
            <v>0</v>
          </cell>
          <cell r="F12312">
            <v>790</v>
          </cell>
        </row>
        <row r="12313">
          <cell r="A12313" t="str">
            <v>SW0330-M</v>
          </cell>
          <cell r="B12313" t="str">
            <v>W330</v>
          </cell>
          <cell r="C12313" t="str">
            <v>ซาติน แขนสั้นขาสั้น ปีกัสโซ่ OVERSIZE M</v>
          </cell>
          <cell r="E12313">
            <v>0</v>
          </cell>
          <cell r="F12313">
            <v>790</v>
          </cell>
        </row>
        <row r="12314">
          <cell r="A12314" t="str">
            <v>SW0330-XL</v>
          </cell>
          <cell r="B12314" t="str">
            <v>W330</v>
          </cell>
          <cell r="C12314" t="str">
            <v>ซาติน แขนสั้นขาสั้น ปีกัสโซ่ OVERSIZE XL</v>
          </cell>
          <cell r="E12314">
            <v>1</v>
          </cell>
          <cell r="F12314">
            <v>790</v>
          </cell>
        </row>
        <row r="12315">
          <cell r="A12315" t="str">
            <v>SW0348-L</v>
          </cell>
          <cell r="B12315" t="str">
            <v>W348</v>
          </cell>
          <cell r="C12315" t="str">
            <v>ซาติน แขนสั้นขาสั้น Red Flower Over Size L</v>
          </cell>
          <cell r="E12315">
            <v>0</v>
          </cell>
          <cell r="F12315">
            <v>790</v>
          </cell>
        </row>
        <row r="12316">
          <cell r="A12316" t="str">
            <v>SW0348-M</v>
          </cell>
          <cell r="B12316" t="str">
            <v>W348</v>
          </cell>
          <cell r="C12316" t="str">
            <v>ซาติน แขนสั้นขาสั้น Red Flower Over Size M</v>
          </cell>
          <cell r="E12316">
            <v>0</v>
          </cell>
          <cell r="F12316">
            <v>790</v>
          </cell>
        </row>
        <row r="12317">
          <cell r="A12317" t="str">
            <v>SW0348-XL</v>
          </cell>
          <cell r="B12317" t="str">
            <v>W348</v>
          </cell>
          <cell r="C12317" t="str">
            <v>ซาติน แขนสั้นขาสั้น Red Flower Over Size XL</v>
          </cell>
          <cell r="E12317">
            <v>0</v>
          </cell>
          <cell r="F12317">
            <v>790</v>
          </cell>
        </row>
        <row r="12318">
          <cell r="A12318" t="str">
            <v>SW0349-L</v>
          </cell>
          <cell r="B12318" t="str">
            <v>W349</v>
          </cell>
          <cell r="C12318" t="str">
            <v>ซาติน แขนสั้นขาสั้น The Witch L</v>
          </cell>
          <cell r="E12318">
            <v>0</v>
          </cell>
          <cell r="F12318">
            <v>790</v>
          </cell>
        </row>
        <row r="12319">
          <cell r="A12319" t="str">
            <v>SW0349-XL</v>
          </cell>
          <cell r="B12319" t="str">
            <v>W349</v>
          </cell>
          <cell r="C12319" t="str">
            <v>ซาติน แขนสั้นขาสั้น The Witch XL</v>
          </cell>
          <cell r="E12319">
            <v>0</v>
          </cell>
          <cell r="F12319">
            <v>790</v>
          </cell>
        </row>
        <row r="12320">
          <cell r="A12320" t="str">
            <v>SW0350-L</v>
          </cell>
          <cell r="B12320" t="str">
            <v>BW350</v>
          </cell>
          <cell r="C12320" t="str">
            <v>ซาติน แขนสั้นขาสั้น Flower Gray OVERSIZE L</v>
          </cell>
          <cell r="E12320">
            <v>0</v>
          </cell>
          <cell r="F12320">
            <v>790</v>
          </cell>
        </row>
        <row r="12321">
          <cell r="A12321" t="str">
            <v>SW0350-M</v>
          </cell>
          <cell r="B12321" t="str">
            <v>W350</v>
          </cell>
          <cell r="C12321" t="str">
            <v>ซาติน แขนสั้นขาสั้น Flower Gray OVERSIZE M</v>
          </cell>
          <cell r="E12321">
            <v>0</v>
          </cell>
          <cell r="F12321">
            <v>790</v>
          </cell>
        </row>
        <row r="12322">
          <cell r="A12322" t="str">
            <v>SW0350-XL</v>
          </cell>
          <cell r="B12322" t="str">
            <v>W350</v>
          </cell>
          <cell r="C12322" t="str">
            <v>ซาติน แขนสั้นขาสั้น Flower Gray OVERSIZE XL</v>
          </cell>
          <cell r="E12322">
            <v>0</v>
          </cell>
          <cell r="F12322">
            <v>790</v>
          </cell>
        </row>
        <row r="12323">
          <cell r="A12323" t="str">
            <v>SW0361-L</v>
          </cell>
          <cell r="B12323" t="str">
            <v>W361</v>
          </cell>
          <cell r="C12323" t="str">
            <v>ซาติน แขนสั้นขาสั้น Color Full Over Size L</v>
          </cell>
          <cell r="E12323">
            <v>0</v>
          </cell>
          <cell r="F12323">
            <v>790</v>
          </cell>
        </row>
        <row r="12324">
          <cell r="A12324" t="str">
            <v>SW0361-M</v>
          </cell>
          <cell r="B12324" t="str">
            <v>W361</v>
          </cell>
          <cell r="C12324" t="str">
            <v>ซาติน แขนสั้นขาสั้น Color Full Over Size M</v>
          </cell>
          <cell r="E12324">
            <v>0</v>
          </cell>
          <cell r="F12324">
            <v>790</v>
          </cell>
        </row>
        <row r="12325">
          <cell r="A12325" t="str">
            <v>SW0361-S</v>
          </cell>
          <cell r="B12325" t="str">
            <v>W361</v>
          </cell>
          <cell r="C12325" t="str">
            <v>ซาติน แขนสั้นขาสั้น Color Full Over Size S</v>
          </cell>
          <cell r="E12325">
            <v>0</v>
          </cell>
          <cell r="F12325">
            <v>790</v>
          </cell>
        </row>
        <row r="12326">
          <cell r="A12326" t="str">
            <v>SW0361-XL</v>
          </cell>
          <cell r="B12326" t="str">
            <v>W361</v>
          </cell>
          <cell r="C12326" t="str">
            <v>ซาติน แขนสั้นขาสั้น Color Full Over Size XL</v>
          </cell>
          <cell r="E12326">
            <v>0</v>
          </cell>
          <cell r="F12326">
            <v>790</v>
          </cell>
        </row>
        <row r="12327">
          <cell r="A12327" t="str">
            <v>SW0362-L</v>
          </cell>
          <cell r="B12327" t="str">
            <v>W362</v>
          </cell>
          <cell r="C12327" t="str">
            <v>ซาติน แขนสั้นขาสั้น New moon Art L</v>
          </cell>
          <cell r="E12327">
            <v>0</v>
          </cell>
          <cell r="F12327">
            <v>790</v>
          </cell>
        </row>
        <row r="12328">
          <cell r="A12328" t="str">
            <v>SW0362-M</v>
          </cell>
          <cell r="B12328" t="str">
            <v>JW362</v>
          </cell>
          <cell r="C12328" t="str">
            <v>ซาติน แขนสั้นขาสั้น New moon Art M ตัวโชว์</v>
          </cell>
          <cell r="E12328">
            <v>0</v>
          </cell>
          <cell r="F12328">
            <v>790</v>
          </cell>
        </row>
        <row r="12329">
          <cell r="A12329" t="str">
            <v>SW0362-XL</v>
          </cell>
          <cell r="B12329" t="str">
            <v>W362</v>
          </cell>
          <cell r="C12329" t="str">
            <v>ซาติน แขนสั้นขาสั้น New moon Art XL</v>
          </cell>
          <cell r="E12329">
            <v>0</v>
          </cell>
          <cell r="F12329">
            <v>790</v>
          </cell>
        </row>
        <row r="12330">
          <cell r="A12330" t="str">
            <v>SW0368-L</v>
          </cell>
          <cell r="B12330" t="str">
            <v>W368</v>
          </cell>
          <cell r="C12330" t="str">
            <v>ซาติน แขนสั้นขาสั้น เสือ น้ำเงิน Oversize L</v>
          </cell>
          <cell r="E12330">
            <v>0</v>
          </cell>
          <cell r="F12330">
            <v>790</v>
          </cell>
        </row>
        <row r="12331">
          <cell r="A12331" t="str">
            <v>SW0368-M</v>
          </cell>
          <cell r="B12331" t="str">
            <v>W368</v>
          </cell>
          <cell r="C12331" t="str">
            <v>ซาติน แขนสั้นขาสั้น เสือ น้ำเงิน Oversize M</v>
          </cell>
          <cell r="E12331">
            <v>0</v>
          </cell>
          <cell r="F12331">
            <v>790</v>
          </cell>
        </row>
        <row r="12332">
          <cell r="A12332" t="str">
            <v>SW0368-XL</v>
          </cell>
          <cell r="B12332" t="str">
            <v>W368</v>
          </cell>
          <cell r="C12332" t="str">
            <v>ซาติน แขนสั้นขาสั้น เสือ น้ำเงิน Oversize XL</v>
          </cell>
          <cell r="E12332">
            <v>0</v>
          </cell>
          <cell r="F12332">
            <v>790</v>
          </cell>
        </row>
        <row r="12333">
          <cell r="A12333" t="str">
            <v>SW0369-L</v>
          </cell>
          <cell r="B12333" t="str">
            <v>JW369</v>
          </cell>
          <cell r="C12333" t="str">
            <v>ซาติน แขนสั้นขาสั้น กุหลาบ ขอบชมพู พื้นขาว Over Size L ตัวโชว์</v>
          </cell>
          <cell r="E12333">
            <v>0</v>
          </cell>
          <cell r="F12333">
            <v>790</v>
          </cell>
        </row>
        <row r="12334">
          <cell r="A12334" t="str">
            <v>SW0369-M</v>
          </cell>
          <cell r="B12334" t="str">
            <v>JW369</v>
          </cell>
          <cell r="C12334" t="str">
            <v>ซาติน แขนสั้นขาสั้น กุหลาบ ขอบชมพู พื้นขาว Over Size M ตัวโชว์</v>
          </cell>
          <cell r="E12334">
            <v>0</v>
          </cell>
          <cell r="F12334">
            <v>790</v>
          </cell>
        </row>
        <row r="12335">
          <cell r="A12335" t="str">
            <v>SW0369-XL</v>
          </cell>
          <cell r="B12335" t="str">
            <v>JW369</v>
          </cell>
          <cell r="C12335" t="str">
            <v>ซาติน แขนสั้นขาสั้น กุหลาบ ขอบชมพู พื้นขาว Over Size XL ตัวโชว์</v>
          </cell>
          <cell r="E12335">
            <v>0</v>
          </cell>
          <cell r="F12335">
            <v>790</v>
          </cell>
        </row>
        <row r="12336">
          <cell r="A12336" t="str">
            <v>SW0487-L</v>
          </cell>
          <cell r="B12336" t="str">
            <v>JW487</v>
          </cell>
          <cell r="C12336" t="str">
            <v>ซาติน แขนสั้นขาสั้น ORCHID BLACK L ตัวโชว์</v>
          </cell>
          <cell r="E12336">
            <v>0</v>
          </cell>
          <cell r="F12336">
            <v>790</v>
          </cell>
        </row>
        <row r="12337">
          <cell r="A12337" t="str">
            <v>SW0487-M</v>
          </cell>
          <cell r="B12337" t="str">
            <v>W487</v>
          </cell>
          <cell r="C12337" t="str">
            <v>ซาติน แขนสั้นขาสั้น ORCHID BLACK M</v>
          </cell>
          <cell r="E12337">
            <v>0</v>
          </cell>
          <cell r="F12337">
            <v>790</v>
          </cell>
        </row>
        <row r="12338">
          <cell r="A12338" t="str">
            <v>SW0487-XL</v>
          </cell>
          <cell r="B12338" t="str">
            <v>W487</v>
          </cell>
          <cell r="C12338" t="str">
            <v>ซาติน แขนสั้นขาสั้น ORCHID BLACK XL</v>
          </cell>
          <cell r="E12338">
            <v>0</v>
          </cell>
          <cell r="F12338">
            <v>790</v>
          </cell>
        </row>
        <row r="12339">
          <cell r="A12339" t="str">
            <v>SW0508-L</v>
          </cell>
          <cell r="B12339" t="str">
            <v>JW508</v>
          </cell>
          <cell r="C12339" t="str">
            <v>ซาติน แขนสั้นขาสั้น  Rabbit เทา Over Size L ตัวโชว์</v>
          </cell>
          <cell r="E12339">
            <v>0</v>
          </cell>
          <cell r="F12339">
            <v>790</v>
          </cell>
        </row>
        <row r="12340">
          <cell r="A12340" t="str">
            <v>SW0508-M</v>
          </cell>
          <cell r="B12340" t="str">
            <v>JW508</v>
          </cell>
          <cell r="C12340" t="str">
            <v>ซาติน แขนสั้นขาสั้น  Rabbit เทา Over Size M ตัวโชว์</v>
          </cell>
          <cell r="E12340">
            <v>0</v>
          </cell>
          <cell r="F12340">
            <v>790</v>
          </cell>
        </row>
        <row r="12341">
          <cell r="A12341" t="str">
            <v>SW0512-L</v>
          </cell>
          <cell r="B12341" t="str">
            <v>W512</v>
          </cell>
          <cell r="C12341" t="str">
            <v>ซาติน แขนสั้นขาสั้น Dogs Planet พื้นขาว Over Size L</v>
          </cell>
          <cell r="E12341">
            <v>0</v>
          </cell>
          <cell r="F12341">
            <v>790</v>
          </cell>
        </row>
        <row r="12342">
          <cell r="A12342" t="str">
            <v>SW0513-L</v>
          </cell>
          <cell r="B12342" t="str">
            <v>W513</v>
          </cell>
          <cell r="C12342" t="str">
            <v>ซาติน แขนสั้นขาสั้น Dogs Planet พื้นฟ้า Over Size L</v>
          </cell>
          <cell r="E12342">
            <v>0</v>
          </cell>
          <cell r="F12342">
            <v>790</v>
          </cell>
        </row>
        <row r="12343">
          <cell r="A12343" t="str">
            <v>SW0513-M</v>
          </cell>
          <cell r="B12343" t="str">
            <v>W513</v>
          </cell>
          <cell r="C12343" t="str">
            <v>ซาติน แขนสั้นขาสั้น Dogs Planet พื้นฟ้า Over Size M</v>
          </cell>
          <cell r="E12343">
            <v>0</v>
          </cell>
          <cell r="F12343">
            <v>790</v>
          </cell>
        </row>
        <row r="12344">
          <cell r="A12344" t="str">
            <v>SW0525-L</v>
          </cell>
          <cell r="B12344" t="str">
            <v>JW525</v>
          </cell>
          <cell r="C12344" t="str">
            <v>ซาติน แขนสั้นขาสั้น ดอกไม้มายา L ตัวโชว์</v>
          </cell>
          <cell r="E12344">
            <v>0</v>
          </cell>
          <cell r="F12344">
            <v>790</v>
          </cell>
        </row>
        <row r="12345">
          <cell r="A12345" t="str">
            <v>SW0525-M</v>
          </cell>
          <cell r="B12345" t="str">
            <v>JW525</v>
          </cell>
          <cell r="C12345" t="str">
            <v>ซาติน แขนสั้นขาสั้น ดอกไม้มายา M ตัวโชว์</v>
          </cell>
          <cell r="E12345">
            <v>0</v>
          </cell>
          <cell r="F12345">
            <v>790</v>
          </cell>
        </row>
        <row r="12346">
          <cell r="A12346" t="str">
            <v>SW0525-XL</v>
          </cell>
          <cell r="B12346" t="str">
            <v>JW525</v>
          </cell>
          <cell r="C12346" t="str">
            <v>ซาติน แขนสั้นขาสั้น ดอกไม้มายา XL ตัวโชว์</v>
          </cell>
          <cell r="E12346">
            <v>0</v>
          </cell>
          <cell r="F12346">
            <v>790</v>
          </cell>
        </row>
        <row r="12347">
          <cell r="A12347" t="str">
            <v>SW0526-L</v>
          </cell>
          <cell r="B12347" t="str">
            <v>W526</v>
          </cell>
          <cell r="C12347" t="str">
            <v>ซาติน แขนสั้นขาสั้น Royal Art Oversize L</v>
          </cell>
          <cell r="E12347">
            <v>0</v>
          </cell>
          <cell r="F12347">
            <v>790</v>
          </cell>
        </row>
        <row r="12348">
          <cell r="A12348" t="str">
            <v>SW0526-M</v>
          </cell>
          <cell r="B12348" t="str">
            <v>JW526</v>
          </cell>
          <cell r="C12348" t="str">
            <v>ซาติน แขนสั้นขาสั้น Royal Art Oversize M ตัวโชว์</v>
          </cell>
          <cell r="E12348">
            <v>0</v>
          </cell>
          <cell r="F12348">
            <v>790</v>
          </cell>
        </row>
        <row r="12349">
          <cell r="A12349" t="str">
            <v>SW0526-XL</v>
          </cell>
          <cell r="B12349" t="str">
            <v>W526</v>
          </cell>
          <cell r="C12349" t="str">
            <v>ซาติน แขนสั้นขาสั้น Royal Art Oversize XL</v>
          </cell>
          <cell r="E12349">
            <v>0</v>
          </cell>
          <cell r="F12349">
            <v>790</v>
          </cell>
        </row>
        <row r="12350">
          <cell r="A12350" t="str">
            <v>SW0558-L</v>
          </cell>
          <cell r="B12350" t="str">
            <v>JW558</v>
          </cell>
          <cell r="C12350" t="str">
            <v>ซาติน แขนสั้นขาสั้น มารูโกะ คิตตี้ พื้นเขียว Over Size L (กปก) ตัวโชว์</v>
          </cell>
          <cell r="E12350">
            <v>0</v>
          </cell>
          <cell r="F12350">
            <v>790</v>
          </cell>
        </row>
        <row r="12351">
          <cell r="A12351" t="str">
            <v>SW0558-M</v>
          </cell>
          <cell r="B12351" t="str">
            <v>JW558</v>
          </cell>
          <cell r="C12351" t="str">
            <v>ซาติน แขนสั้นขาสั้น มารูโกะ คิตตี้ พื้นเขียว Over Size M (กปก) ตัวโชว์</v>
          </cell>
          <cell r="E12351">
            <v>0</v>
          </cell>
          <cell r="F12351">
            <v>790</v>
          </cell>
        </row>
        <row r="12352">
          <cell r="A12352" t="str">
            <v>SW0559-L</v>
          </cell>
          <cell r="B12352" t="str">
            <v>W559</v>
          </cell>
          <cell r="C12352" t="str">
            <v>ซาติน แขนสั้นขาสั้น มารูโกะ คิตตี้ พื้นชมพู Over Size L</v>
          </cell>
          <cell r="E12352">
            <v>0</v>
          </cell>
          <cell r="F12352">
            <v>790</v>
          </cell>
        </row>
        <row r="12353">
          <cell r="A12353" t="str">
            <v>SW0559-M</v>
          </cell>
          <cell r="B12353" t="str">
            <v>JW559</v>
          </cell>
          <cell r="C12353" t="str">
            <v>ซาติน แขนสั้นขาสั้น มารูโกะ คิตตี้ พื้นชมพู Over Size M ตัวโชว์</v>
          </cell>
          <cell r="E12353">
            <v>0</v>
          </cell>
          <cell r="F12353">
            <v>790</v>
          </cell>
        </row>
        <row r="12354">
          <cell r="A12354" t="str">
            <v>SW0560-L</v>
          </cell>
          <cell r="B12354" t="str">
            <v>W560</v>
          </cell>
          <cell r="C12354" t="str">
            <v>ซาติน แขนสั้นขาสั้น เจ้าหญิงหน้าสวย พื้นเขียว Over Size L</v>
          </cell>
          <cell r="E12354">
            <v>0</v>
          </cell>
          <cell r="F12354">
            <v>790</v>
          </cell>
        </row>
        <row r="12355">
          <cell r="A12355" t="str">
            <v>SW0560-M</v>
          </cell>
          <cell r="B12355" t="str">
            <v>W560</v>
          </cell>
          <cell r="C12355" t="str">
            <v>ซาติน แขนสั้นขาสั้น เจ้าหญิงหน้าสวย พื้นเขียว Over Size M</v>
          </cell>
          <cell r="E12355">
            <v>0</v>
          </cell>
          <cell r="F12355">
            <v>790</v>
          </cell>
        </row>
        <row r="12356">
          <cell r="A12356" t="str">
            <v>SW0561-L</v>
          </cell>
          <cell r="B12356" t="str">
            <v>JW561</v>
          </cell>
          <cell r="C12356" t="str">
            <v>ซาติน แขนสั้นขาสั้น เจ้าหญิงหน้าสวย พื้นชมพู Over Size L ตัวโชว์</v>
          </cell>
          <cell r="E12356">
            <v>0</v>
          </cell>
          <cell r="F12356">
            <v>790</v>
          </cell>
        </row>
        <row r="12357">
          <cell r="A12357" t="str">
            <v>SW0561-M</v>
          </cell>
          <cell r="B12357" t="str">
            <v>JW561</v>
          </cell>
          <cell r="C12357" t="str">
            <v>ซาติน แขนสั้นขาสั้น เจ้าหญิงหน้าสวย พื้นชมพู Over Size M ตัวโชว์</v>
          </cell>
          <cell r="E12357">
            <v>0</v>
          </cell>
          <cell r="F12357">
            <v>790</v>
          </cell>
        </row>
        <row r="12358">
          <cell r="A12358" t="str">
            <v>SW0600-L</v>
          </cell>
          <cell r="B12358" t="str">
            <v>JW600</v>
          </cell>
          <cell r="C12358" t="str">
            <v>ซาติน แขนสั้นขาสั้น คอกลม หมีอ้วง L ตัวโชว์</v>
          </cell>
          <cell r="E12358">
            <v>0</v>
          </cell>
          <cell r="F12358">
            <v>790</v>
          </cell>
        </row>
        <row r="12359">
          <cell r="A12359" t="str">
            <v>SW0600-M</v>
          </cell>
          <cell r="B12359" t="str">
            <v>JW600</v>
          </cell>
          <cell r="C12359" t="str">
            <v>ซาติน แขนสั้นขาสั้น คอกลม หมีอ้วง M ตัวโชว์</v>
          </cell>
          <cell r="E12359">
            <v>0</v>
          </cell>
          <cell r="F12359">
            <v>790</v>
          </cell>
        </row>
        <row r="12360">
          <cell r="A12360" t="str">
            <v>SW0601-L</v>
          </cell>
          <cell r="B12360" t="str">
            <v>JW601</v>
          </cell>
          <cell r="C12360" t="str">
            <v>ซาติน แขนสั้นขาสั้น คอกลม แมวอ้วง L ตัวโชว์</v>
          </cell>
          <cell r="E12360">
            <v>0</v>
          </cell>
          <cell r="F12360">
            <v>790</v>
          </cell>
        </row>
        <row r="12361">
          <cell r="A12361" t="str">
            <v>SW0601-M</v>
          </cell>
          <cell r="B12361" t="str">
            <v>JW601</v>
          </cell>
          <cell r="C12361" t="str">
            <v>ซาติน แขนสั้นขาสั้น คอกลม แมวอ้วง M ตัวโชว์</v>
          </cell>
          <cell r="E12361">
            <v>0</v>
          </cell>
          <cell r="F12361">
            <v>790</v>
          </cell>
        </row>
        <row r="12362">
          <cell r="A12362" t="str">
            <v>SW0602-L</v>
          </cell>
          <cell r="B12362" t="str">
            <v>W602</v>
          </cell>
          <cell r="C12362" t="str">
            <v>ซาติน แขนสั้นขาสั้น คอกลม กระต่ายอ้วง L</v>
          </cell>
          <cell r="E12362">
            <v>0</v>
          </cell>
          <cell r="F12362">
            <v>790</v>
          </cell>
        </row>
        <row r="12363">
          <cell r="A12363" t="str">
            <v>SW0602-M</v>
          </cell>
          <cell r="B12363" t="str">
            <v>W602</v>
          </cell>
          <cell r="C12363" t="str">
            <v>ซาติน แขนสั้นขาสั้น คอกลม กระต่ายอ้วง M</v>
          </cell>
          <cell r="E12363">
            <v>0</v>
          </cell>
          <cell r="F12363">
            <v>790</v>
          </cell>
        </row>
        <row r="12364">
          <cell r="A12364" t="str">
            <v>SW0603-L</v>
          </cell>
          <cell r="B12364" t="str">
            <v>W603</v>
          </cell>
          <cell r="C12364" t="str">
            <v>ซาติน แขนสั้นขาสั้น Two Tone grass พื้นดำ Over Size L</v>
          </cell>
          <cell r="E12364">
            <v>0</v>
          </cell>
          <cell r="F12364">
            <v>790</v>
          </cell>
        </row>
        <row r="12365">
          <cell r="A12365" t="str">
            <v>SW0603-M</v>
          </cell>
          <cell r="B12365" t="str">
            <v>W603</v>
          </cell>
          <cell r="C12365" t="str">
            <v>ซาติน แขนสั้นขาสั้น Two Tone grass พื้นดำ Over Size M</v>
          </cell>
          <cell r="E12365">
            <v>0</v>
          </cell>
          <cell r="F12365">
            <v>790</v>
          </cell>
        </row>
        <row r="12366">
          <cell r="A12366" t="str">
            <v>SW0603-XL</v>
          </cell>
          <cell r="B12366" t="str">
            <v>W603</v>
          </cell>
          <cell r="C12366" t="str">
            <v>ซาติน แขนสั้นขาสั้น Two Tone grass พื้นดำ Over Size XL</v>
          </cell>
          <cell r="E12366">
            <v>0</v>
          </cell>
          <cell r="F12366">
            <v>790</v>
          </cell>
        </row>
        <row r="12367">
          <cell r="A12367" t="str">
            <v>SW0653-L</v>
          </cell>
          <cell r="B12367" t="str">
            <v>JW653</v>
          </cell>
          <cell r="C12367" t="str">
            <v>ซาติน แขนสั้นขาสั้น คอกลม Aurora Bear L ตัวโชว์</v>
          </cell>
          <cell r="E12367">
            <v>0</v>
          </cell>
          <cell r="F12367">
            <v>790</v>
          </cell>
        </row>
        <row r="12368">
          <cell r="A12368" t="str">
            <v>SW0653-M</v>
          </cell>
          <cell r="B12368" t="str">
            <v>JW653</v>
          </cell>
          <cell r="C12368" t="str">
            <v>ซาติน แขนสั้นขาสั้น คอกลม Aurora Bear M ตัวโชว์</v>
          </cell>
          <cell r="E12368">
            <v>0</v>
          </cell>
          <cell r="F12368">
            <v>790</v>
          </cell>
        </row>
        <row r="12369">
          <cell r="A12369" t="str">
            <v>SW0654-L</v>
          </cell>
          <cell r="B12369" t="str">
            <v>W654</v>
          </cell>
          <cell r="C12369" t="str">
            <v>ซาติน แขนสั้นขาสั้น สวนดอกไม้ อะคลีลิค L</v>
          </cell>
          <cell r="E12369">
            <v>0</v>
          </cell>
          <cell r="F12369">
            <v>790</v>
          </cell>
        </row>
        <row r="12370">
          <cell r="A12370" t="str">
            <v>SW0654-M</v>
          </cell>
          <cell r="B12370" t="str">
            <v>W654</v>
          </cell>
          <cell r="C12370" t="str">
            <v>ซาติน แขนสั้นขาสั้น สวนดอกไม้ อะคลีลิค M</v>
          </cell>
          <cell r="E12370">
            <v>0</v>
          </cell>
          <cell r="F12370">
            <v>790</v>
          </cell>
        </row>
        <row r="12371">
          <cell r="A12371" t="str">
            <v>SW0654-XL</v>
          </cell>
          <cell r="B12371" t="str">
            <v>W654</v>
          </cell>
          <cell r="C12371" t="str">
            <v>ซาติน แขนสั้นขาสั้น สวนดอกไม้ อะคลีลิค XL</v>
          </cell>
          <cell r="E12371">
            <v>0</v>
          </cell>
          <cell r="F12371">
            <v>790</v>
          </cell>
        </row>
        <row r="12372">
          <cell r="A12372" t="str">
            <v>SW0655-L</v>
          </cell>
          <cell r="B12372" t="str">
            <v>W655</v>
          </cell>
          <cell r="C12372" t="str">
            <v>ซาติน แขนสั้นขาสั้น มัดย้อม Colorful พื้นน้ำตาล L</v>
          </cell>
          <cell r="E12372">
            <v>0</v>
          </cell>
          <cell r="F12372">
            <v>790</v>
          </cell>
        </row>
        <row r="12373">
          <cell r="A12373" t="str">
            <v>SW0655-M</v>
          </cell>
          <cell r="B12373" t="str">
            <v>W655</v>
          </cell>
          <cell r="C12373" t="str">
            <v>ซาติน แขนสั้นขาสั้น มัดย้อม Colorful พื้นน้ำตาล M</v>
          </cell>
          <cell r="E12373">
            <v>0</v>
          </cell>
          <cell r="F12373">
            <v>790</v>
          </cell>
        </row>
        <row r="12374">
          <cell r="A12374" t="str">
            <v>SW0655-XL</v>
          </cell>
          <cell r="B12374" t="str">
            <v>W655</v>
          </cell>
          <cell r="C12374" t="str">
            <v>ซาติน แขนสั้นขาสั้น มัดย้อม Colorful พื้นน้ำตาล XL</v>
          </cell>
          <cell r="E12374">
            <v>0</v>
          </cell>
          <cell r="F12374">
            <v>790</v>
          </cell>
        </row>
        <row r="12375">
          <cell r="A12375" t="str">
            <v>SW0660-L</v>
          </cell>
          <cell r="B12375" t="str">
            <v>JW660</v>
          </cell>
          <cell r="C12375" t="str">
            <v>ซาติน แขนสั้นขาสั้น Pink Diamond Pastel L ตัวโชว์</v>
          </cell>
          <cell r="E12375">
            <v>0</v>
          </cell>
          <cell r="F12375">
            <v>790</v>
          </cell>
        </row>
        <row r="12376">
          <cell r="A12376" t="str">
            <v>SW0660-M</v>
          </cell>
          <cell r="B12376" t="str">
            <v>JW660</v>
          </cell>
          <cell r="C12376" t="str">
            <v>ซาติน แขนสั้นขาสั้น Pink Diamond Pastel M ตัวโชว์</v>
          </cell>
          <cell r="E12376">
            <v>0</v>
          </cell>
          <cell r="F12376">
            <v>790</v>
          </cell>
        </row>
        <row r="12377">
          <cell r="A12377" t="str">
            <v>SW0664-L</v>
          </cell>
          <cell r="B12377" t="str">
            <v>W664</v>
          </cell>
          <cell r="C12377" t="str">
            <v>ซาติน แขนสั้นขาสั้น พุดเดิ้ลน้ำตาล พื้นขาว คอกลม L</v>
          </cell>
          <cell r="E12377">
            <v>0</v>
          </cell>
          <cell r="F12377">
            <v>790</v>
          </cell>
        </row>
        <row r="12378">
          <cell r="A12378" t="str">
            <v>SW0664-M</v>
          </cell>
          <cell r="B12378" t="str">
            <v>W664</v>
          </cell>
          <cell r="C12378" t="str">
            <v>ซาติน แขนสั้นขาสั้น พุดเดิ้ลน้ำตาล พื้นขาว คอกลม M</v>
          </cell>
          <cell r="E12378">
            <v>0</v>
          </cell>
          <cell r="F12378">
            <v>790</v>
          </cell>
        </row>
        <row r="12379">
          <cell r="A12379" t="str">
            <v>SW0667-L</v>
          </cell>
          <cell r="B12379" t="str">
            <v>W667</v>
          </cell>
          <cell r="C12379" t="str">
            <v>ซาติน แขนสั้นขาสั้น สีเทียน เขียว ชมพู L</v>
          </cell>
          <cell r="E12379">
            <v>0</v>
          </cell>
          <cell r="F12379">
            <v>790</v>
          </cell>
        </row>
        <row r="12380">
          <cell r="A12380" t="str">
            <v>SW0667-M</v>
          </cell>
          <cell r="B12380" t="str">
            <v>W667</v>
          </cell>
          <cell r="C12380" t="str">
            <v>ซาติน แขนสั้นขาสั้น สีเทียน เขียว ชมพู M</v>
          </cell>
          <cell r="E12380">
            <v>0</v>
          </cell>
          <cell r="F12380">
            <v>790</v>
          </cell>
        </row>
        <row r="12381">
          <cell r="A12381" t="str">
            <v>SW0667-XL</v>
          </cell>
          <cell r="B12381" t="str">
            <v>W667</v>
          </cell>
          <cell r="C12381" t="str">
            <v>ซาติน แขนสั้นขาสั้น สีเทียน เขียว ชมพู XL</v>
          </cell>
          <cell r="E12381">
            <v>0</v>
          </cell>
          <cell r="F12381">
            <v>790</v>
          </cell>
        </row>
        <row r="12382">
          <cell r="A12382" t="str">
            <v>SW0668-L</v>
          </cell>
          <cell r="B12382" t="str">
            <v>W668</v>
          </cell>
          <cell r="C12382" t="str">
            <v>ซาติน แขนสั้นขาสั้น Gold Flower ขอบแดง L</v>
          </cell>
          <cell r="E12382">
            <v>0</v>
          </cell>
          <cell r="F12382">
            <v>790</v>
          </cell>
        </row>
        <row r="12383">
          <cell r="A12383" t="str">
            <v>SW0668-M</v>
          </cell>
          <cell r="B12383" t="str">
            <v>W668</v>
          </cell>
          <cell r="C12383" t="str">
            <v>ซาติน แขนสั้นขาสั้น Gold Flower ขอบแดง M</v>
          </cell>
          <cell r="E12383">
            <v>0</v>
          </cell>
          <cell r="F12383">
            <v>790</v>
          </cell>
        </row>
        <row r="12384">
          <cell r="A12384" t="str">
            <v>SW0668-XL</v>
          </cell>
          <cell r="B12384" t="str">
            <v>W668</v>
          </cell>
          <cell r="C12384" t="str">
            <v>ซาติน แขนสั้นขาสั้น Gold Flower ขอบแดง XL</v>
          </cell>
          <cell r="E12384">
            <v>0</v>
          </cell>
          <cell r="F12384">
            <v>790</v>
          </cell>
        </row>
        <row r="12385">
          <cell r="A12385" t="str">
            <v>SW0669-L</v>
          </cell>
          <cell r="B12385" t="str">
            <v>W669</v>
          </cell>
          <cell r="C12385" t="str">
            <v>ซาติน แขนสั้นขาสั้น tiger flower two tone L</v>
          </cell>
          <cell r="E12385">
            <v>0</v>
          </cell>
          <cell r="F12385">
            <v>790</v>
          </cell>
        </row>
        <row r="12386">
          <cell r="A12386" t="str">
            <v>SW0669-M</v>
          </cell>
          <cell r="B12386" t="str">
            <v>JW669</v>
          </cell>
          <cell r="C12386" t="str">
            <v>ซาติน แขนสั้นขาสั้น tiger flower two tone M ตัวโชว์</v>
          </cell>
          <cell r="E12386">
            <v>0</v>
          </cell>
          <cell r="F12386">
            <v>790</v>
          </cell>
        </row>
        <row r="12387">
          <cell r="A12387" t="str">
            <v>SW0669-XL</v>
          </cell>
          <cell r="B12387" t="str">
            <v>W669</v>
          </cell>
          <cell r="C12387" t="str">
            <v>ซาติน แขนสั้นขาสั้น tiger flower two tone XL</v>
          </cell>
          <cell r="E12387">
            <v>0</v>
          </cell>
          <cell r="F12387">
            <v>790</v>
          </cell>
        </row>
        <row r="12388">
          <cell r="A12388" t="str">
            <v>SW0684-L</v>
          </cell>
          <cell r="B12388" t="str">
            <v>JW684</v>
          </cell>
          <cell r="C12388" t="str">
            <v>ซาติน แขนสั้นขาสั้น Cafe Milk L ตัวโชว์</v>
          </cell>
          <cell r="E12388">
            <v>0</v>
          </cell>
          <cell r="F12388">
            <v>790</v>
          </cell>
        </row>
        <row r="12389">
          <cell r="A12389" t="str">
            <v>SW0684-M</v>
          </cell>
          <cell r="B12389" t="str">
            <v>W684</v>
          </cell>
          <cell r="C12389" t="str">
            <v>ซาติน แขนสั้นขาสั้น Cafe Milk M</v>
          </cell>
          <cell r="E12389">
            <v>0</v>
          </cell>
          <cell r="F12389">
            <v>790</v>
          </cell>
        </row>
        <row r="12390">
          <cell r="A12390" t="str">
            <v>SW0703-L</v>
          </cell>
          <cell r="B12390" t="str">
            <v>W703</v>
          </cell>
          <cell r="C12390" t="str">
            <v>ซาติน แขนสั้นขาสั้น พื้นเขียว น้ำตาล L</v>
          </cell>
          <cell r="E12390">
            <v>0</v>
          </cell>
          <cell r="F12390">
            <v>790</v>
          </cell>
        </row>
        <row r="12391">
          <cell r="A12391" t="str">
            <v>SW0703-M</v>
          </cell>
          <cell r="B12391" t="str">
            <v>W703</v>
          </cell>
          <cell r="C12391" t="str">
            <v>ซาติน แขนสั้นขาสั้น พื้นเขียว น้ำตาล M</v>
          </cell>
          <cell r="E12391">
            <v>0</v>
          </cell>
          <cell r="F12391">
            <v>790</v>
          </cell>
        </row>
        <row r="12392">
          <cell r="A12392" t="str">
            <v>SW0703-XL</v>
          </cell>
          <cell r="B12392" t="str">
            <v>W703</v>
          </cell>
          <cell r="C12392" t="str">
            <v>ซาติน แขนสั้นขาสั้น พื้นเขียว น้ำตาล XL</v>
          </cell>
          <cell r="E12392">
            <v>0</v>
          </cell>
          <cell r="F12392">
            <v>790</v>
          </cell>
        </row>
        <row r="12393">
          <cell r="A12393" t="str">
            <v>SW0704-L</v>
          </cell>
          <cell r="B12393" t="str">
            <v>JW704</v>
          </cell>
          <cell r="C12393" t="str">
            <v>ซาติน แขนสั้นขาสั้น Pinky Clound L ตัวโชว์</v>
          </cell>
          <cell r="E12393">
            <v>0</v>
          </cell>
          <cell r="F12393">
            <v>790</v>
          </cell>
        </row>
        <row r="12394">
          <cell r="A12394" t="str">
            <v>SW0704-M</v>
          </cell>
          <cell r="B12394" t="str">
            <v>W704</v>
          </cell>
          <cell r="C12394" t="str">
            <v>ซาติน แขนสั้นขาสั้น Pinky Clound M</v>
          </cell>
          <cell r="E12394">
            <v>0</v>
          </cell>
          <cell r="F12394">
            <v>790</v>
          </cell>
        </row>
        <row r="12395">
          <cell r="A12395" t="str">
            <v>SW0704-XL</v>
          </cell>
          <cell r="B12395" t="str">
            <v>JW704</v>
          </cell>
          <cell r="C12395" t="str">
            <v>ซาติน แขนสั้นขาสั้น Pinky Clound XL ตัวโชว์</v>
          </cell>
          <cell r="E12395">
            <v>0</v>
          </cell>
          <cell r="F12395">
            <v>790</v>
          </cell>
        </row>
        <row r="12396">
          <cell r="A12396" t="str">
            <v>SW0705-L</v>
          </cell>
          <cell r="B12396" t="str">
            <v>W705</v>
          </cell>
          <cell r="C12396" t="str">
            <v>ซาติน แขนสั้นขาสั้น พิ้นขาว ปกเขียว Flower L</v>
          </cell>
          <cell r="E12396">
            <v>0</v>
          </cell>
          <cell r="F12396">
            <v>790</v>
          </cell>
        </row>
        <row r="12397">
          <cell r="A12397" t="str">
            <v>SW0705-M</v>
          </cell>
          <cell r="B12397" t="str">
            <v>W705</v>
          </cell>
          <cell r="C12397" t="str">
            <v>ซาติน แขนสั้นขาสั้น พิ้นขาว ปกเขียว Flower M</v>
          </cell>
          <cell r="E12397">
            <v>0</v>
          </cell>
          <cell r="F12397">
            <v>790</v>
          </cell>
        </row>
        <row r="12398">
          <cell r="A12398" t="str">
            <v>SW0705-XL</v>
          </cell>
          <cell r="B12398" t="str">
            <v>W705</v>
          </cell>
          <cell r="C12398" t="str">
            <v>ซาติน แขนสั้นขาสั้น พิ้นขาว ปกเขียว Flower XL</v>
          </cell>
          <cell r="E12398">
            <v>0</v>
          </cell>
          <cell r="F12398">
            <v>790</v>
          </cell>
        </row>
        <row r="12399">
          <cell r="A12399" t="str">
            <v>SW0739-L</v>
          </cell>
          <cell r="B12399" t="str">
            <v>W739</v>
          </cell>
          <cell r="C12399" t="str">
            <v>ซาติน แขนสั้นขาสั้น Tiger Flower พื้นชมพู Over Size L</v>
          </cell>
          <cell r="E12399">
            <v>0</v>
          </cell>
          <cell r="F12399">
            <v>790</v>
          </cell>
        </row>
        <row r="12400">
          <cell r="A12400" t="str">
            <v>SW0739-M</v>
          </cell>
          <cell r="B12400" t="str">
            <v>QW739</v>
          </cell>
          <cell r="C12400" t="str">
            <v>ซาติน แขนสั้นขาสั้น Tiger Flower พื้นชมพู Over Size M QC</v>
          </cell>
          <cell r="E12400">
            <v>0</v>
          </cell>
          <cell r="F12400">
            <v>790</v>
          </cell>
        </row>
        <row r="12401">
          <cell r="A12401" t="str">
            <v>SW0739-XL</v>
          </cell>
          <cell r="B12401" t="str">
            <v>W739</v>
          </cell>
          <cell r="C12401" t="str">
            <v>ซาติน แขนสั้นขาสั้น Tiger Flower พื้นชมพู Over Size XL</v>
          </cell>
          <cell r="E12401">
            <v>0</v>
          </cell>
          <cell r="F12401">
            <v>790</v>
          </cell>
        </row>
        <row r="12402">
          <cell r="A12402" t="str">
            <v>SW0740-L</v>
          </cell>
          <cell r="B12402" t="str">
            <v>W740</v>
          </cell>
          <cell r="C12402" t="str">
            <v>ซาติน แขนสั้นขาสั้น ดอกคอเดียร์ พื้นชมพุ ขอบเขียว Over Size L</v>
          </cell>
          <cell r="E12402">
            <v>0</v>
          </cell>
          <cell r="F12402">
            <v>790</v>
          </cell>
        </row>
        <row r="12403">
          <cell r="A12403" t="str">
            <v>SW0740-M</v>
          </cell>
          <cell r="B12403" t="str">
            <v>W740</v>
          </cell>
          <cell r="C12403" t="str">
            <v>ซาติน แขนสั้นขาสั้น ดอกคอเดียร์ พื้นชมพุ ขอบเขียว Over Size M</v>
          </cell>
          <cell r="E12403">
            <v>0</v>
          </cell>
          <cell r="F12403">
            <v>790</v>
          </cell>
        </row>
        <row r="12404">
          <cell r="A12404" t="str">
            <v>SW0740-XL</v>
          </cell>
          <cell r="B12404" t="str">
            <v>W740</v>
          </cell>
          <cell r="C12404" t="str">
            <v>ซาติน แขนสั้นขาสั้น ดอกคอเดียร์ พื้นชมพุ ขอบเขียว Over Size XL</v>
          </cell>
          <cell r="E12404">
            <v>0</v>
          </cell>
          <cell r="F12404">
            <v>790</v>
          </cell>
        </row>
        <row r="12405">
          <cell r="A12405" t="str">
            <v>SW0780-2XL</v>
          </cell>
          <cell r="B12405" t="str">
            <v>W780</v>
          </cell>
          <cell r="C12405" t="str">
            <v>ซาติน แขนสั้นขาสั้น Pancake And Flowers 2XL</v>
          </cell>
          <cell r="E12405">
            <v>0</v>
          </cell>
          <cell r="F12405">
            <v>790</v>
          </cell>
        </row>
        <row r="12406">
          <cell r="A12406" t="str">
            <v>SW0780-L</v>
          </cell>
          <cell r="B12406" t="str">
            <v>W780</v>
          </cell>
          <cell r="C12406" t="str">
            <v>ซาติน แขนสั้นขาสั้น Pancake And Flowers L</v>
          </cell>
          <cell r="E12406">
            <v>0</v>
          </cell>
          <cell r="F12406">
            <v>790</v>
          </cell>
        </row>
        <row r="12407">
          <cell r="A12407" t="str">
            <v>SW0780-M</v>
          </cell>
          <cell r="B12407" t="str">
            <v>W780</v>
          </cell>
          <cell r="C12407" t="str">
            <v>ซาติน แขนสั้นขาสั้น Pancake And Flowers M</v>
          </cell>
          <cell r="E12407">
            <v>0</v>
          </cell>
          <cell r="F12407">
            <v>790</v>
          </cell>
        </row>
        <row r="12408">
          <cell r="A12408" t="str">
            <v>SW0780-XL</v>
          </cell>
          <cell r="B12408" t="str">
            <v>W780</v>
          </cell>
          <cell r="C12408" t="str">
            <v>ซาติน แขนสั้นขาสั้น Pancake And Flowers XL</v>
          </cell>
          <cell r="E12408">
            <v>0</v>
          </cell>
          <cell r="F12408">
            <v>790</v>
          </cell>
        </row>
        <row r="12409">
          <cell r="A12409" t="str">
            <v>SW0786-L</v>
          </cell>
          <cell r="B12409" t="str">
            <v>W786</v>
          </cell>
          <cell r="C12409" t="str">
            <v>ซาติน แขนสั้นขาสั้น สีชมพู ลายดอกไม้ฟ้า Over Size L</v>
          </cell>
          <cell r="E12409">
            <v>0</v>
          </cell>
          <cell r="F12409">
            <v>790</v>
          </cell>
        </row>
        <row r="12410">
          <cell r="A12410" t="str">
            <v>SW0786-M</v>
          </cell>
          <cell r="B12410" t="str">
            <v>W786</v>
          </cell>
          <cell r="C12410" t="str">
            <v>ซาติน แขนสั้นขาสั้น สีชมพู ลายดอกไม้ฟ้า Over Size M</v>
          </cell>
          <cell r="E12410">
            <v>0</v>
          </cell>
          <cell r="F12410">
            <v>790</v>
          </cell>
        </row>
        <row r="12411">
          <cell r="A12411" t="str">
            <v>SW0786-XL</v>
          </cell>
          <cell r="B12411" t="str">
            <v>W786</v>
          </cell>
          <cell r="C12411" t="str">
            <v>ซาติน แขนสั้นขาสั้น สีชมพู ลายดอกไม้ฟ้า Over Size XL</v>
          </cell>
          <cell r="E12411">
            <v>0</v>
          </cell>
          <cell r="F12411">
            <v>790</v>
          </cell>
        </row>
        <row r="12412">
          <cell r="A12412" t="str">
            <v>SW0787-L</v>
          </cell>
          <cell r="B12412" t="str">
            <v>JW787</v>
          </cell>
          <cell r="C12412" t="str">
            <v>ซาติน แขนสั้นขาสั้น ดอกไม้จุดดำ ขอบเขียว Over Size L ตัวโชว์</v>
          </cell>
          <cell r="E12412">
            <v>0</v>
          </cell>
          <cell r="F12412">
            <v>790</v>
          </cell>
        </row>
        <row r="12413">
          <cell r="A12413" t="str">
            <v>SW0787-M</v>
          </cell>
          <cell r="B12413" t="str">
            <v>JW787</v>
          </cell>
          <cell r="C12413" t="str">
            <v>ซาติน แขนสั้นขาสั้น ดอกไม้จุดดำ ขอบเขียว Over Size M ตัวโชว์</v>
          </cell>
          <cell r="E12413">
            <v>0</v>
          </cell>
          <cell r="F12413">
            <v>790</v>
          </cell>
        </row>
        <row r="12414">
          <cell r="A12414" t="str">
            <v>SW0787-S</v>
          </cell>
          <cell r="B12414" t="str">
            <v>JW787</v>
          </cell>
          <cell r="C12414" t="str">
            <v>ซาติน แขนสั้นขาสั้น ดอกไม้จุดดำ ขอบเขียว Over Size S</v>
          </cell>
          <cell r="E12414">
            <v>0</v>
          </cell>
          <cell r="F12414">
            <v>790</v>
          </cell>
        </row>
        <row r="12415">
          <cell r="A12415" t="str">
            <v>SW0787-XL</v>
          </cell>
          <cell r="B12415" t="str">
            <v>JW787</v>
          </cell>
          <cell r="C12415" t="str">
            <v>ซาติน แขนสั้นขาสั้น ดอกไม้จุดดำ ขอบเขียว Over Size XL ตัวโชว์</v>
          </cell>
          <cell r="E12415">
            <v>0</v>
          </cell>
          <cell r="F12415">
            <v>790</v>
          </cell>
        </row>
        <row r="12416">
          <cell r="A12416" t="str">
            <v>SW0789-2XL</v>
          </cell>
          <cell r="B12416" t="str">
            <v>W789</v>
          </cell>
          <cell r="C12416" t="str">
            <v>ซาติน แขนสั้นขาสั้น ช่อดอกไม้ พื้นฟ้า 2XL</v>
          </cell>
          <cell r="E12416">
            <v>0</v>
          </cell>
          <cell r="F12416">
            <v>790</v>
          </cell>
        </row>
        <row r="12417">
          <cell r="A12417" t="str">
            <v>SW0789-L</v>
          </cell>
          <cell r="B12417" t="str">
            <v>W789</v>
          </cell>
          <cell r="C12417" t="str">
            <v>ซาติน แขนสั้นขาสั้น ช่อดอกไม้ พื้นฟ้า L</v>
          </cell>
          <cell r="E12417">
            <v>0</v>
          </cell>
          <cell r="F12417">
            <v>790</v>
          </cell>
        </row>
        <row r="12418">
          <cell r="A12418" t="str">
            <v>SW0789-M</v>
          </cell>
          <cell r="B12418" t="str">
            <v>W789</v>
          </cell>
          <cell r="C12418" t="str">
            <v>ซาติน แขนสั้นขาสั้น ช่อดอกไม้ พื้นฟ้า M</v>
          </cell>
          <cell r="E12418">
            <v>0</v>
          </cell>
          <cell r="F12418">
            <v>790</v>
          </cell>
        </row>
        <row r="12419">
          <cell r="A12419" t="str">
            <v>SW0789-XL</v>
          </cell>
          <cell r="B12419" t="str">
            <v>W789</v>
          </cell>
          <cell r="C12419" t="str">
            <v>ซาติน แขนสั้นขาสั้น ช่อดอกไม้ พื้นฟ้า XL</v>
          </cell>
          <cell r="E12419">
            <v>0</v>
          </cell>
          <cell r="F12419">
            <v>790</v>
          </cell>
        </row>
        <row r="12420">
          <cell r="A12420" t="str">
            <v>SW0797-L</v>
          </cell>
          <cell r="B12420" t="str">
            <v>JW797</v>
          </cell>
          <cell r="C12420" t="str">
            <v>ซาติน แขนสั้นขาสั้น Green Village L ตัวโชว์</v>
          </cell>
          <cell r="E12420">
            <v>0</v>
          </cell>
          <cell r="F12420">
            <v>790</v>
          </cell>
        </row>
        <row r="12421">
          <cell r="A12421" t="str">
            <v>SW0797-M</v>
          </cell>
          <cell r="B12421" t="str">
            <v>JW797</v>
          </cell>
          <cell r="C12421" t="str">
            <v>ซาติน แขนสั้นขาสั้น Green Village M ตัวโชว์</v>
          </cell>
          <cell r="E12421">
            <v>0</v>
          </cell>
          <cell r="F12421">
            <v>790</v>
          </cell>
        </row>
        <row r="12422">
          <cell r="A12422" t="str">
            <v>SW0797-S</v>
          </cell>
          <cell r="B12422" t="str">
            <v>JW797</v>
          </cell>
          <cell r="C12422" t="str">
            <v>ซาติน แขนสั้นขาสั้น Green Village S ตัวโชว์</v>
          </cell>
          <cell r="E12422">
            <v>0</v>
          </cell>
          <cell r="F12422">
            <v>790</v>
          </cell>
        </row>
        <row r="12423">
          <cell r="A12423" t="str">
            <v>SW0797-XL</v>
          </cell>
          <cell r="B12423" t="str">
            <v>JW797</v>
          </cell>
          <cell r="C12423" t="str">
            <v>ซาติน แขนสั้นขาสั้น Green Village XL ตัวโชว์</v>
          </cell>
          <cell r="E12423">
            <v>0</v>
          </cell>
          <cell r="F12423">
            <v>790</v>
          </cell>
        </row>
        <row r="12424">
          <cell r="A12424" t="str">
            <v>SW0798-L</v>
          </cell>
          <cell r="B12424" t="str">
            <v>W798</v>
          </cell>
          <cell r="C12424" t="str">
            <v>ซาติน แขนสั้นขาสั้น Red Village L</v>
          </cell>
          <cell r="E12424">
            <v>0</v>
          </cell>
          <cell r="F12424">
            <v>790</v>
          </cell>
        </row>
        <row r="12425">
          <cell r="A12425" t="str">
            <v>SW0798-M</v>
          </cell>
          <cell r="B12425" t="str">
            <v>W798</v>
          </cell>
          <cell r="C12425" t="str">
            <v>ซาติน แขนสั้นขาสั้น Red Village M</v>
          </cell>
          <cell r="E12425">
            <v>0</v>
          </cell>
          <cell r="F12425">
            <v>790</v>
          </cell>
        </row>
        <row r="12426">
          <cell r="A12426" t="str">
            <v>SW0798-S</v>
          </cell>
          <cell r="B12426" t="str">
            <v>W798</v>
          </cell>
          <cell r="C12426" t="str">
            <v>ซาติน แขนสั้นขาสั้น Red Village S</v>
          </cell>
          <cell r="E12426">
            <v>0</v>
          </cell>
          <cell r="F12426">
            <v>790</v>
          </cell>
        </row>
        <row r="12427">
          <cell r="A12427" t="str">
            <v>SW0798-XL</v>
          </cell>
          <cell r="B12427" t="str">
            <v>W798</v>
          </cell>
          <cell r="C12427" t="str">
            <v>ซาติน แขนสั้นขาสั้น Red Village XL</v>
          </cell>
          <cell r="E12427">
            <v>0</v>
          </cell>
          <cell r="F12427">
            <v>790</v>
          </cell>
        </row>
        <row r="12428">
          <cell r="A12428" t="str">
            <v>SW0818-2XL</v>
          </cell>
          <cell r="B12428" t="str">
            <v>W818</v>
          </cell>
          <cell r="C12428" t="str">
            <v>ซาติน แขนสั้นขาสั้น Royal Green Art 2XL</v>
          </cell>
          <cell r="E12428">
            <v>0</v>
          </cell>
          <cell r="F12428">
            <v>890</v>
          </cell>
        </row>
        <row r="12429">
          <cell r="A12429" t="str">
            <v>SW0818-3XL</v>
          </cell>
          <cell r="B12429" t="str">
            <v>W818</v>
          </cell>
          <cell r="C12429" t="str">
            <v>ซาติน แขนสั้นขาสั้น Royal Green Art 3XL</v>
          </cell>
          <cell r="E12429">
            <v>0</v>
          </cell>
          <cell r="F12429">
            <v>890</v>
          </cell>
        </row>
        <row r="12430">
          <cell r="A12430" t="str">
            <v>SW0818-L</v>
          </cell>
          <cell r="B12430" t="str">
            <v>W818</v>
          </cell>
          <cell r="C12430" t="str">
            <v>ซาติน แขนสั้นขาสั้น Royal Green Art L</v>
          </cell>
          <cell r="E12430">
            <v>0</v>
          </cell>
          <cell r="F12430">
            <v>890</v>
          </cell>
        </row>
        <row r="12431">
          <cell r="A12431" t="str">
            <v>SW0818-M</v>
          </cell>
          <cell r="B12431" t="str">
            <v>W818</v>
          </cell>
          <cell r="C12431" t="str">
            <v>ซาติน แขนสั้นขาสั้น Royal Green Art M</v>
          </cell>
          <cell r="E12431">
            <v>0</v>
          </cell>
          <cell r="F12431">
            <v>890</v>
          </cell>
        </row>
        <row r="12432">
          <cell r="A12432" t="str">
            <v>SW0818-S</v>
          </cell>
          <cell r="B12432" t="str">
            <v>W818</v>
          </cell>
          <cell r="C12432" t="str">
            <v>ซาติน แขนสั้นขาสั้น Royal Green Art S</v>
          </cell>
          <cell r="E12432">
            <v>0</v>
          </cell>
          <cell r="F12432">
            <v>890</v>
          </cell>
        </row>
        <row r="12433">
          <cell r="A12433" t="str">
            <v>SW0818-XL</v>
          </cell>
          <cell r="B12433" t="str">
            <v>W818</v>
          </cell>
          <cell r="C12433" t="str">
            <v>ซาติน แขนสั้นขาสั้น Royal Green Art XL</v>
          </cell>
          <cell r="E12433">
            <v>0</v>
          </cell>
          <cell r="F12433">
            <v>890</v>
          </cell>
        </row>
        <row r="12434">
          <cell r="A12434" t="str">
            <v>SW0820-2XL</v>
          </cell>
          <cell r="B12434" t="str">
            <v>W820</v>
          </cell>
          <cell r="C12434" t="str">
            <v>ซาติน แขนสั้นขาสั้น Blue Lotus Oversize 2XL</v>
          </cell>
          <cell r="E12434">
            <v>0</v>
          </cell>
          <cell r="F12434">
            <v>790</v>
          </cell>
        </row>
        <row r="12435">
          <cell r="A12435" t="str">
            <v>SW0820-L</v>
          </cell>
          <cell r="B12435" t="str">
            <v>BW820</v>
          </cell>
          <cell r="C12435" t="str">
            <v>ซาติน แขนสั้นขาสั้น Blue Lotus Oversize L</v>
          </cell>
          <cell r="E12435">
            <v>0</v>
          </cell>
          <cell r="F12435">
            <v>790</v>
          </cell>
        </row>
        <row r="12436">
          <cell r="A12436" t="str">
            <v>SW0820-M</v>
          </cell>
          <cell r="B12436" t="str">
            <v>W820</v>
          </cell>
          <cell r="C12436" t="str">
            <v>ซาติน แขนสามส่วนขาสั้น Blue Lotus Oversize M</v>
          </cell>
          <cell r="E12436">
            <v>0</v>
          </cell>
          <cell r="F12436">
            <v>790</v>
          </cell>
        </row>
        <row r="12437">
          <cell r="A12437" t="str">
            <v>SW0820-XL</v>
          </cell>
          <cell r="B12437" t="str">
            <v>W820</v>
          </cell>
          <cell r="C12437" t="str">
            <v>ซาติน แขนสั้นขาสั้น Blue Lotus Oversize XL</v>
          </cell>
          <cell r="E12437">
            <v>0</v>
          </cell>
          <cell r="F12437">
            <v>790</v>
          </cell>
        </row>
        <row r="12438">
          <cell r="A12438" t="str">
            <v>SW0852-2XL</v>
          </cell>
          <cell r="B12438" t="str">
            <v>W852</v>
          </cell>
          <cell r="C12438" t="str">
            <v>ซาติน แขนสั้นขาสั้น แมวเทา พื้นครีม OVERSIZE 2XL</v>
          </cell>
          <cell r="E12438">
            <v>0</v>
          </cell>
          <cell r="F12438">
            <v>790</v>
          </cell>
        </row>
        <row r="12439">
          <cell r="A12439" t="str">
            <v>SW0852-L</v>
          </cell>
          <cell r="B12439" t="str">
            <v>W852</v>
          </cell>
          <cell r="C12439" t="str">
            <v>ซาติน แขนสั้นขาสั้น แมวเทา พื้นครีม OVERSIZE L</v>
          </cell>
          <cell r="E12439">
            <v>0</v>
          </cell>
          <cell r="F12439">
            <v>790</v>
          </cell>
        </row>
        <row r="12440">
          <cell r="A12440" t="str">
            <v>SW0852-M</v>
          </cell>
          <cell r="B12440" t="str">
            <v>W852</v>
          </cell>
          <cell r="C12440" t="str">
            <v>ซาติน แขนสั้นขาสั้น แมวเทา พื้นครีม OVERSIZE M</v>
          </cell>
          <cell r="E12440">
            <v>0</v>
          </cell>
          <cell r="F12440">
            <v>790</v>
          </cell>
        </row>
        <row r="12441">
          <cell r="A12441" t="str">
            <v>SW0852-XL</v>
          </cell>
          <cell r="B12441" t="str">
            <v>W852</v>
          </cell>
          <cell r="C12441" t="str">
            <v>ซาติน แขนสั้นขาสั้น แมวเทา พื้นครีม OVERSIZE XL</v>
          </cell>
          <cell r="E12441">
            <v>0</v>
          </cell>
          <cell r="F12441">
            <v>790</v>
          </cell>
        </row>
        <row r="12442">
          <cell r="A12442" t="str">
            <v>SW0891-2XL</v>
          </cell>
          <cell r="B12442" t="str">
            <v>W891</v>
          </cell>
          <cell r="C12442" t="str">
            <v>ซาติน แขนสั้นขาสั้น Sweety Rainbow OVERSIZE 2XL</v>
          </cell>
          <cell r="E12442">
            <v>0</v>
          </cell>
          <cell r="F12442">
            <v>790</v>
          </cell>
        </row>
        <row r="12443">
          <cell r="A12443" t="str">
            <v>SW0891-3XL</v>
          </cell>
          <cell r="B12443" t="str">
            <v>W891</v>
          </cell>
          <cell r="C12443" t="str">
            <v>ซาติน แขนสั้นขาสั้น Sweety Rainbow OVERSIZE 3XL</v>
          </cell>
          <cell r="E12443">
            <v>0</v>
          </cell>
          <cell r="F12443">
            <v>790</v>
          </cell>
        </row>
        <row r="12444">
          <cell r="A12444" t="str">
            <v>SW0891-L</v>
          </cell>
          <cell r="B12444" t="str">
            <v>W891</v>
          </cell>
          <cell r="C12444" t="str">
            <v>ซาติน แขนสั้นขาสั้น Sweety Rainbow OVERSIZE L</v>
          </cell>
          <cell r="E12444">
            <v>0</v>
          </cell>
          <cell r="F12444">
            <v>790</v>
          </cell>
        </row>
        <row r="12445">
          <cell r="A12445" t="str">
            <v>SW0891-M</v>
          </cell>
          <cell r="B12445" t="str">
            <v>W891</v>
          </cell>
          <cell r="C12445" t="str">
            <v>ซาติน แขนสั้นขาสั้น Sweety Rainbow OVERSIZE M</v>
          </cell>
          <cell r="E12445">
            <v>0</v>
          </cell>
          <cell r="F12445">
            <v>590</v>
          </cell>
        </row>
        <row r="12446">
          <cell r="A12446" t="str">
            <v>SW0891-XL</v>
          </cell>
          <cell r="B12446" t="str">
            <v>QW891</v>
          </cell>
          <cell r="C12446" t="str">
            <v>ซาติน แขนสั้นขาสั้น Sweety Rainbow OVERSIZE XL QC</v>
          </cell>
          <cell r="E12446">
            <v>0</v>
          </cell>
          <cell r="F12446">
            <v>790</v>
          </cell>
        </row>
        <row r="12447">
          <cell r="A12447" t="str">
            <v>SW0892-L</v>
          </cell>
          <cell r="B12447" t="str">
            <v>W892</v>
          </cell>
          <cell r="C12447" t="str">
            <v>ซาติน แขนสั้นขาสั้น เกสรดอกไม้ ไฟน้ำเงิน พื้นดำ ขอบแดง L</v>
          </cell>
          <cell r="E12447">
            <v>0</v>
          </cell>
          <cell r="F12447">
            <v>790</v>
          </cell>
        </row>
        <row r="12448">
          <cell r="A12448" t="str">
            <v>SW0892-M</v>
          </cell>
          <cell r="B12448" t="str">
            <v>W892</v>
          </cell>
          <cell r="C12448" t="str">
            <v>ซาติน แขนสั้นขาสั้น เกสรดอกไม้ ไฟน้ำเงิน พื้นดำ ขอบแดง M</v>
          </cell>
          <cell r="E12448">
            <v>0</v>
          </cell>
          <cell r="F12448">
            <v>790</v>
          </cell>
        </row>
        <row r="12449">
          <cell r="A12449" t="str">
            <v>SW0892-XL</v>
          </cell>
          <cell r="B12449" t="str">
            <v>QW892</v>
          </cell>
          <cell r="C12449" t="str">
            <v>ซาติน แขนสั้นขาสั้น เกสรดอกไม้ ไฟน้ำเงิน พื้นดำ ขอบแดง XL QC</v>
          </cell>
          <cell r="E12449">
            <v>0</v>
          </cell>
          <cell r="F12449">
            <v>790</v>
          </cell>
        </row>
        <row r="12450">
          <cell r="A12450" t="str">
            <v>SW1026-L</v>
          </cell>
          <cell r="B12450" t="str">
            <v>W1026</v>
          </cell>
          <cell r="C12450" t="str">
            <v>ซาติน แขนสั้นขาสั้น โอเวอร์ไซส์ เสือดาว พื้นชมพู L</v>
          </cell>
          <cell r="E12450">
            <v>0</v>
          </cell>
          <cell r="F12450">
            <v>790</v>
          </cell>
        </row>
        <row r="12451">
          <cell r="A12451" t="str">
            <v>SW1026-M</v>
          </cell>
          <cell r="B12451" t="str">
            <v>W1026</v>
          </cell>
          <cell r="C12451" t="str">
            <v>ซาติน แขนสั้นขาสั้น โอเวอร์ไซส์ เสือดาว พื้นชมพู M</v>
          </cell>
          <cell r="E12451">
            <v>0</v>
          </cell>
          <cell r="F12451">
            <v>790</v>
          </cell>
        </row>
        <row r="12452">
          <cell r="A12452" t="str">
            <v>SW1027-L</v>
          </cell>
          <cell r="B12452" t="str">
            <v>W1027</v>
          </cell>
          <cell r="C12452" t="str">
            <v>ซาติน แขนสั้นขาสั้น โอเวอร์ไซส์ เสือดาว พื้นครีม L</v>
          </cell>
          <cell r="E12452">
            <v>0</v>
          </cell>
          <cell r="F12452">
            <v>790</v>
          </cell>
        </row>
        <row r="12453">
          <cell r="A12453" t="str">
            <v>SW1027-M</v>
          </cell>
          <cell r="B12453" t="str">
            <v>W1027</v>
          </cell>
          <cell r="C12453" t="str">
            <v>ซาติน แขนสั้นขาสั้น โอเวอร์ไซส์ เสือดาว พื้นครีม M</v>
          </cell>
          <cell r="E12453">
            <v>0</v>
          </cell>
          <cell r="F12453">
            <v>790</v>
          </cell>
        </row>
        <row r="12454">
          <cell r="A12454" t="str">
            <v>SW1085-2XL</v>
          </cell>
          <cell r="B12454" t="str">
            <v>W1085</v>
          </cell>
          <cell r="C12454" t="str">
            <v>ซาติน แขนสั้นขาสั้น Flower Red พื้นครีม 2XL (กปก)</v>
          </cell>
          <cell r="E12454">
            <v>0</v>
          </cell>
          <cell r="F12454">
            <v>790</v>
          </cell>
        </row>
        <row r="12455">
          <cell r="A12455" t="str">
            <v>SW1085-L</v>
          </cell>
          <cell r="B12455" t="str">
            <v>W1085</v>
          </cell>
          <cell r="C12455" t="str">
            <v>ซาติน แขนสั้นขาสั้น Flower Red พื้นครีม L (กปก)</v>
          </cell>
          <cell r="E12455">
            <v>0</v>
          </cell>
          <cell r="F12455">
            <v>790</v>
          </cell>
        </row>
        <row r="12456">
          <cell r="A12456" t="str">
            <v>SW1085-M</v>
          </cell>
          <cell r="B12456" t="str">
            <v>W1085</v>
          </cell>
          <cell r="C12456" t="str">
            <v>ซาติน แขนสั้นขาสั้น Flower Red พื้นครีม M (กปก)</v>
          </cell>
          <cell r="E12456">
            <v>0</v>
          </cell>
          <cell r="F12456">
            <v>790</v>
          </cell>
        </row>
        <row r="12457">
          <cell r="A12457" t="str">
            <v>SW1085-XL</v>
          </cell>
          <cell r="B12457" t="str">
            <v>QW1085</v>
          </cell>
          <cell r="C12457" t="str">
            <v>ซาติน แขนสั้นขาสั้น Flower Red พื้นครีม XL (กปก) QC</v>
          </cell>
          <cell r="E12457">
            <v>0</v>
          </cell>
          <cell r="F12457">
            <v>790</v>
          </cell>
        </row>
        <row r="12458">
          <cell r="A12458" t="str">
            <v>SW1086-2XL</v>
          </cell>
          <cell r="B12458" t="str">
            <v>W1086</v>
          </cell>
          <cell r="C12458" t="str">
            <v>ซาติน แขนสั้นขาสั้น Flower Blue พื้นครีม 2XL (กปก)</v>
          </cell>
          <cell r="E12458">
            <v>0</v>
          </cell>
          <cell r="F12458">
            <v>790</v>
          </cell>
        </row>
        <row r="12459">
          <cell r="A12459" t="str">
            <v>SW1086-L</v>
          </cell>
          <cell r="B12459" t="str">
            <v>QW1086</v>
          </cell>
          <cell r="C12459" t="str">
            <v>ซาติน แขนสั้นขาสั้น Flower Blue พื้นครีม L (กปก) QC</v>
          </cell>
          <cell r="E12459">
            <v>0</v>
          </cell>
          <cell r="F12459">
            <v>790</v>
          </cell>
        </row>
        <row r="12460">
          <cell r="A12460" t="str">
            <v>SW1086-M</v>
          </cell>
          <cell r="B12460" t="str">
            <v>W1086</v>
          </cell>
          <cell r="C12460" t="str">
            <v>ซาติน แขนสั้นขาสั้น Flower Blue พื้นครีม M (กปก)</v>
          </cell>
          <cell r="E12460">
            <v>0</v>
          </cell>
          <cell r="F12460">
            <v>790</v>
          </cell>
        </row>
        <row r="12461">
          <cell r="A12461" t="str">
            <v>SW1086-XL</v>
          </cell>
          <cell r="B12461" t="str">
            <v>QW1086</v>
          </cell>
          <cell r="C12461" t="str">
            <v>ซาติน แขนสั้นขาสั้น Flower Blue พื้นครีม XL (กปก) QC</v>
          </cell>
          <cell r="E12461">
            <v>0</v>
          </cell>
          <cell r="F12461">
            <v>790</v>
          </cell>
        </row>
        <row r="12462">
          <cell r="A12462" t="str">
            <v>SW1087-2XL</v>
          </cell>
          <cell r="B12462" t="str">
            <v>W1087</v>
          </cell>
          <cell r="C12462" t="str">
            <v>ซาติน แขนสั้นขาสั้น Flower White&amp;Brown พื้นครีม 2XL (กปก)</v>
          </cell>
          <cell r="E12462">
            <v>0</v>
          </cell>
          <cell r="F12462">
            <v>790</v>
          </cell>
        </row>
        <row r="12463">
          <cell r="A12463" t="str">
            <v>SW1087-L</v>
          </cell>
          <cell r="B12463" t="str">
            <v>W1087</v>
          </cell>
          <cell r="C12463" t="str">
            <v>ซาติน แขนสั้นขาสั้น Flower White&amp;Brown พื้นครีม L (กปก)</v>
          </cell>
          <cell r="E12463">
            <v>0</v>
          </cell>
          <cell r="F12463">
            <v>590</v>
          </cell>
        </row>
        <row r="12464">
          <cell r="A12464" t="str">
            <v>SW1087-M</v>
          </cell>
          <cell r="B12464" t="str">
            <v>W1087</v>
          </cell>
          <cell r="C12464" t="str">
            <v>ซาติน แขนสั้นขาสั้น Flower White&amp;Brown พื้นครีม M (กปก)</v>
          </cell>
          <cell r="E12464">
            <v>0</v>
          </cell>
          <cell r="F12464">
            <v>790</v>
          </cell>
        </row>
        <row r="12465">
          <cell r="A12465" t="str">
            <v>SW1087-XL</v>
          </cell>
          <cell r="B12465" t="str">
            <v>W1087</v>
          </cell>
          <cell r="C12465" t="str">
            <v>ซาติน แขนสั้นขาสั้น Flower White&amp;Brown พื้นครีม XL (กปก)</v>
          </cell>
          <cell r="E12465">
            <v>0</v>
          </cell>
          <cell r="F12465">
            <v>790</v>
          </cell>
        </row>
        <row r="12466">
          <cell r="A12466" t="str">
            <v>SW1088-2XL</v>
          </cell>
          <cell r="B12466" t="str">
            <v>W1088</v>
          </cell>
          <cell r="C12466" t="str">
            <v>ซาติน แขนสั้นขาสั้น Flower Pink พื้นครีม 2XL (กปก)</v>
          </cell>
          <cell r="E12466">
            <v>0</v>
          </cell>
          <cell r="F12466">
            <v>790</v>
          </cell>
        </row>
        <row r="12467">
          <cell r="A12467" t="str">
            <v>SW1088-L</v>
          </cell>
          <cell r="B12467" t="str">
            <v>W1088</v>
          </cell>
          <cell r="C12467" t="str">
            <v>ซาติน แขนสั้นขาสั้น Flower Pink พื้นครีม L (กปก)</v>
          </cell>
          <cell r="E12467">
            <v>0</v>
          </cell>
          <cell r="F12467">
            <v>790</v>
          </cell>
        </row>
        <row r="12468">
          <cell r="A12468" t="str">
            <v>SW1088-M</v>
          </cell>
          <cell r="B12468" t="str">
            <v>W1088</v>
          </cell>
          <cell r="C12468" t="str">
            <v>ซาติน แขนสั้นขาสั้น Flower Pink พื้นครีม M (กปก)</v>
          </cell>
          <cell r="E12468">
            <v>0</v>
          </cell>
          <cell r="F12468">
            <v>790</v>
          </cell>
        </row>
        <row r="12469">
          <cell r="A12469" t="str">
            <v>SW1088-XL</v>
          </cell>
          <cell r="B12469" t="str">
            <v>QW1088</v>
          </cell>
          <cell r="C12469" t="str">
            <v>ซาติน แขนสั้นขาสั้น Flower Pink พื้นครีม XL (กปก) QC</v>
          </cell>
          <cell r="E12469">
            <v>0</v>
          </cell>
          <cell r="F12469">
            <v>790</v>
          </cell>
        </row>
        <row r="12470">
          <cell r="A12470" t="str">
            <v>SW1179-2XL</v>
          </cell>
          <cell r="B12470" t="str">
            <v>QW1179</v>
          </cell>
          <cell r="C12470" t="str">
            <v>ซาติน แขนสั้นขาสั้น หมีเทา พื้นเขียว 2XL QC</v>
          </cell>
          <cell r="E12470">
            <v>0</v>
          </cell>
          <cell r="F12470">
            <v>890</v>
          </cell>
        </row>
        <row r="12471">
          <cell r="A12471" t="str">
            <v>SW1179-L</v>
          </cell>
          <cell r="B12471" t="str">
            <v>W1179</v>
          </cell>
          <cell r="C12471" t="str">
            <v>ซาติน แขนสั้นขาสั้น หมีเทา พื้นเขียว L</v>
          </cell>
          <cell r="E12471">
            <v>0</v>
          </cell>
          <cell r="F12471">
            <v>890</v>
          </cell>
        </row>
        <row r="12472">
          <cell r="A12472" t="str">
            <v>SW1179-M</v>
          </cell>
          <cell r="B12472" t="str">
            <v>QW1179</v>
          </cell>
          <cell r="C12472" t="str">
            <v>ซาติน แขนสั้นขาสั้น หมีเทา พื้นเขียว M QC</v>
          </cell>
          <cell r="E12472">
            <v>0</v>
          </cell>
          <cell r="F12472">
            <v>890</v>
          </cell>
        </row>
        <row r="12473">
          <cell r="A12473" t="str">
            <v>SW1179-XL</v>
          </cell>
          <cell r="B12473" t="str">
            <v>W1179</v>
          </cell>
          <cell r="C12473" t="str">
            <v>ซาติน แขนสั้นขาสั้น หมีเทา พื้นเขียว XL</v>
          </cell>
          <cell r="E12473">
            <v>0</v>
          </cell>
          <cell r="F12473">
            <v>890</v>
          </cell>
        </row>
        <row r="12474">
          <cell r="A12474" t="str">
            <v>SW1189-2XL</v>
          </cell>
          <cell r="B12474" t="str">
            <v>QW1189</v>
          </cell>
          <cell r="C12474" t="str">
            <v>ซาติน แขนสั้นขาสั้น เสือดาว พื้นน้ำเงิน OVERSIZE 2XL QC</v>
          </cell>
          <cell r="E12474">
            <v>0</v>
          </cell>
          <cell r="F12474">
            <v>890</v>
          </cell>
        </row>
        <row r="12475">
          <cell r="A12475" t="str">
            <v>SW1189-L</v>
          </cell>
          <cell r="B12475" t="str">
            <v>W1189</v>
          </cell>
          <cell r="C12475" t="str">
            <v>ซาติน แขนสั้นขาสั้น เสือดาว พื้นน้ำเงิน OVERSIZE L</v>
          </cell>
          <cell r="E12475">
            <v>0</v>
          </cell>
          <cell r="F12475">
            <v>890</v>
          </cell>
        </row>
        <row r="12476">
          <cell r="A12476" t="str">
            <v>SW1189-M</v>
          </cell>
          <cell r="B12476" t="str">
            <v>QW1189</v>
          </cell>
          <cell r="C12476" t="str">
            <v>ซาติน แขนสั้นขาสั้น เสือดาว พื้นน้ำเงิน OVERSIZE M QC</v>
          </cell>
          <cell r="E12476">
            <v>0</v>
          </cell>
          <cell r="F12476">
            <v>890</v>
          </cell>
        </row>
        <row r="12477">
          <cell r="A12477" t="str">
            <v>SW1189-XL</v>
          </cell>
          <cell r="B12477" t="str">
            <v>W1189</v>
          </cell>
          <cell r="C12477" t="str">
            <v>ซาติน แขนสั้นขาสั้น เสือดาว พื้นน้ำเงิน OVERSIZE XL</v>
          </cell>
          <cell r="E12477">
            <v>0</v>
          </cell>
          <cell r="F12477">
            <v>890</v>
          </cell>
        </row>
        <row r="12478">
          <cell r="A12478" t="str">
            <v>SW1207-2XL</v>
          </cell>
          <cell r="B12478" t="str">
            <v>W1207</v>
          </cell>
          <cell r="C12478" t="str">
            <v>ซาติน แขนสั้นขาสั้น Haussmannian Gray 2XL</v>
          </cell>
          <cell r="E12478">
            <v>0</v>
          </cell>
          <cell r="F12478">
            <v>890</v>
          </cell>
        </row>
        <row r="12479">
          <cell r="A12479" t="str">
            <v>SW1207-L</v>
          </cell>
          <cell r="B12479" t="str">
            <v>W1207</v>
          </cell>
          <cell r="C12479" t="str">
            <v>ซาติน แขนสั้นขาสั้น Haussmannian Gray L</v>
          </cell>
          <cell r="E12479">
            <v>0</v>
          </cell>
          <cell r="F12479">
            <v>890</v>
          </cell>
        </row>
        <row r="12480">
          <cell r="A12480" t="str">
            <v>SW1207-M</v>
          </cell>
          <cell r="B12480" t="str">
            <v>W1207</v>
          </cell>
          <cell r="C12480" t="str">
            <v>ซาติน แขนสั้นขาสั้น Haussmannian Gray M</v>
          </cell>
          <cell r="E12480">
            <v>0</v>
          </cell>
          <cell r="F12480">
            <v>890</v>
          </cell>
        </row>
        <row r="12481">
          <cell r="A12481" t="str">
            <v>SW1207-XL</v>
          </cell>
          <cell r="B12481" t="str">
            <v>QW1207</v>
          </cell>
          <cell r="C12481" t="str">
            <v>ซาติน แขนสั้นขาสั้น Haussmannian Gray XL QC</v>
          </cell>
          <cell r="E12481">
            <v>0</v>
          </cell>
          <cell r="F12481">
            <v>890</v>
          </cell>
        </row>
        <row r="12482">
          <cell r="A12482" t="str">
            <v>SW1208-2XL</v>
          </cell>
          <cell r="B12482" t="str">
            <v>W1208</v>
          </cell>
          <cell r="C12482" t="str">
            <v>ซาติน แขนสั้นขาสั้น Tiger flower พื้นดำ 2XL</v>
          </cell>
          <cell r="E12482">
            <v>0</v>
          </cell>
          <cell r="F12482">
            <v>890</v>
          </cell>
        </row>
        <row r="12483">
          <cell r="A12483" t="str">
            <v>SW1208-3XL</v>
          </cell>
          <cell r="B12483" t="str">
            <v>W1208</v>
          </cell>
          <cell r="C12483" t="str">
            <v>ซาติน แขนสั้นขาสั้น Tiger flower พื้นดำ 3XL</v>
          </cell>
          <cell r="E12483">
            <v>0</v>
          </cell>
          <cell r="F12483">
            <v>890</v>
          </cell>
        </row>
        <row r="12484">
          <cell r="A12484" t="str">
            <v>SW1208-L</v>
          </cell>
          <cell r="B12484" t="str">
            <v>W1208</v>
          </cell>
          <cell r="C12484" t="str">
            <v>ซาติน แขนสั้นขาสั้น Tiger flower พื้นดำ L</v>
          </cell>
          <cell r="E12484">
            <v>0</v>
          </cell>
          <cell r="F12484">
            <v>890</v>
          </cell>
        </row>
        <row r="12485">
          <cell r="A12485" t="str">
            <v>SW1208-M</v>
          </cell>
          <cell r="B12485" t="str">
            <v>QW1208</v>
          </cell>
          <cell r="C12485" t="str">
            <v>ซาติน แขนสั้นขาสั้น Tiger flower พื้นดำ M QC</v>
          </cell>
          <cell r="E12485">
            <v>0</v>
          </cell>
          <cell r="F12485">
            <v>890</v>
          </cell>
        </row>
        <row r="12486">
          <cell r="A12486" t="str">
            <v>SW1208-XL</v>
          </cell>
          <cell r="B12486" t="str">
            <v>W1208</v>
          </cell>
          <cell r="C12486" t="str">
            <v>ซาติน แขนสั้นขาสั้น Tiger flower พื้นดำ XL</v>
          </cell>
          <cell r="E12486">
            <v>0</v>
          </cell>
          <cell r="F12486">
            <v>890</v>
          </cell>
        </row>
        <row r="12487">
          <cell r="A12487" t="str">
            <v>SW1217-2XL</v>
          </cell>
          <cell r="B12487" t="str">
            <v>W1217</v>
          </cell>
          <cell r="C12487" t="str">
            <v>ซาติน แขนสั้นขาสั้น ภาพวาดสวนสัตว์ 2XL</v>
          </cell>
          <cell r="E12487">
            <v>0</v>
          </cell>
          <cell r="F12487">
            <v>890</v>
          </cell>
        </row>
        <row r="12488">
          <cell r="A12488" t="str">
            <v>SW1217-3XL</v>
          </cell>
          <cell r="B12488" t="str">
            <v>W1217</v>
          </cell>
          <cell r="C12488" t="str">
            <v>ซาติน แขนสั้นขาสั้น ภาพวาดสวนสัตว์ 3XL</v>
          </cell>
          <cell r="E12488">
            <v>0</v>
          </cell>
          <cell r="F12488">
            <v>890</v>
          </cell>
        </row>
        <row r="12489">
          <cell r="A12489" t="str">
            <v>SW1217-L</v>
          </cell>
          <cell r="B12489" t="str">
            <v>W1217</v>
          </cell>
          <cell r="C12489" t="str">
            <v>ซาติน แขนสั้นขาสั้น ภาพวาดสวนสัตว์ L</v>
          </cell>
          <cell r="E12489">
            <v>0</v>
          </cell>
          <cell r="F12489">
            <v>890</v>
          </cell>
        </row>
        <row r="12490">
          <cell r="A12490" t="str">
            <v>SW1217-M</v>
          </cell>
          <cell r="B12490" t="str">
            <v>W1217</v>
          </cell>
          <cell r="C12490" t="str">
            <v>ซาติน แขนสั้นขาสั้น ภาพวาดสวนสัตว์ M</v>
          </cell>
          <cell r="E12490">
            <v>0</v>
          </cell>
          <cell r="F12490">
            <v>890</v>
          </cell>
        </row>
        <row r="12491">
          <cell r="A12491" t="str">
            <v>SW1217-XL</v>
          </cell>
          <cell r="B12491" t="str">
            <v>QW1217</v>
          </cell>
          <cell r="C12491" t="str">
            <v>ซาติน แขนสั้นขาสั้น ภาพวาดสวนสัตว์ XL QC</v>
          </cell>
          <cell r="E12491">
            <v>0</v>
          </cell>
          <cell r="F12491">
            <v>890</v>
          </cell>
        </row>
        <row r="12492">
          <cell r="A12492" t="str">
            <v>SW1219-2XL</v>
          </cell>
          <cell r="B12492" t="str">
            <v>W1219</v>
          </cell>
          <cell r="C12492" t="str">
            <v>ซาติน แขนสั้นขาสั้น กระต่ายขาว พื้นชมพู 2XL</v>
          </cell>
          <cell r="E12492">
            <v>0</v>
          </cell>
          <cell r="F12492">
            <v>890</v>
          </cell>
        </row>
        <row r="12493">
          <cell r="A12493" t="str">
            <v>SW1219-L</v>
          </cell>
          <cell r="B12493" t="str">
            <v>W1219</v>
          </cell>
          <cell r="C12493" t="str">
            <v>ซาติน แขนสั้นขาสั้น กระต่ายขาว พื้นชมพู L</v>
          </cell>
          <cell r="E12493">
            <v>0</v>
          </cell>
          <cell r="F12493">
            <v>890</v>
          </cell>
        </row>
        <row r="12494">
          <cell r="A12494" t="str">
            <v>SW1219-M</v>
          </cell>
          <cell r="B12494" t="str">
            <v>W1219</v>
          </cell>
          <cell r="C12494" t="str">
            <v>ซาติน แขนสั้นขาสั้น กระต่ายขาว พื้นชมพู M</v>
          </cell>
          <cell r="E12494">
            <v>0</v>
          </cell>
          <cell r="F12494">
            <v>890</v>
          </cell>
        </row>
        <row r="12495">
          <cell r="A12495" t="str">
            <v>SW1219-XL</v>
          </cell>
          <cell r="B12495" t="str">
            <v>W1219</v>
          </cell>
          <cell r="C12495" t="str">
            <v>ซาติน แขนสั้นขาสั้น กระต่ายขาว พื้นชมพู XL</v>
          </cell>
          <cell r="E12495">
            <v>0</v>
          </cell>
          <cell r="F12495">
            <v>890</v>
          </cell>
        </row>
        <row r="12496">
          <cell r="A12496" t="str">
            <v>SW1220-2XL</v>
          </cell>
          <cell r="B12496" t="str">
            <v>W1220</v>
          </cell>
          <cell r="C12496" t="str">
            <v>ซาติน แขนสั้นขาสั้น อิฐบ็อกเหลือง Oversize 2XL</v>
          </cell>
          <cell r="E12496">
            <v>0</v>
          </cell>
          <cell r="F12496">
            <v>790</v>
          </cell>
        </row>
        <row r="12497">
          <cell r="A12497" t="str">
            <v>SW1220-3XL</v>
          </cell>
          <cell r="B12497" t="str">
            <v>W1220</v>
          </cell>
          <cell r="C12497" t="str">
            <v>ซาติน แขนสั้นขาสั้น อิฐบ็อกเหลือง Oversize 3XL</v>
          </cell>
          <cell r="E12497">
            <v>0</v>
          </cell>
          <cell r="F12497">
            <v>790</v>
          </cell>
        </row>
        <row r="12498">
          <cell r="A12498" t="str">
            <v>SW1220-L</v>
          </cell>
          <cell r="B12498" t="str">
            <v>W1220</v>
          </cell>
          <cell r="C12498" t="str">
            <v>ซาติน แขนสั้นขาสั้น อิฐบ็อกเหลือง Oversize L</v>
          </cell>
          <cell r="E12498">
            <v>0</v>
          </cell>
          <cell r="F12498">
            <v>790</v>
          </cell>
        </row>
        <row r="12499">
          <cell r="A12499" t="str">
            <v>SW1220-M</v>
          </cell>
          <cell r="B12499" t="str">
            <v>W1220</v>
          </cell>
          <cell r="C12499" t="str">
            <v>ซาติน แขนสั้นขาสั้น อิฐบ็อกเหลือง Oversize M</v>
          </cell>
          <cell r="E12499">
            <v>0</v>
          </cell>
          <cell r="F12499">
            <v>790</v>
          </cell>
        </row>
        <row r="12500">
          <cell r="A12500" t="str">
            <v>SW1220-XL</v>
          </cell>
          <cell r="B12500" t="str">
            <v>W1220</v>
          </cell>
          <cell r="C12500" t="str">
            <v>ซาติน แขนสั้นขาสั้น อิฐบ็อกเหลือง Oversize XL</v>
          </cell>
          <cell r="E12500">
            <v>0</v>
          </cell>
          <cell r="F12500">
            <v>790</v>
          </cell>
        </row>
        <row r="12501">
          <cell r="A12501" t="str">
            <v>SW1222-2XL</v>
          </cell>
          <cell r="B12501" t="str">
            <v>W1222</v>
          </cell>
          <cell r="C12501" t="str">
            <v>ซาติน แขนสั้นขาสั้น The sun&amp;The moon พื้นฟ้า OVERSIZE 2XL</v>
          </cell>
          <cell r="E12501">
            <v>0</v>
          </cell>
          <cell r="F12501">
            <v>890</v>
          </cell>
        </row>
        <row r="12502">
          <cell r="A12502" t="str">
            <v>SW1222-3XL</v>
          </cell>
          <cell r="B12502" t="str">
            <v>W1222</v>
          </cell>
          <cell r="C12502" t="str">
            <v>ซาติน แขนสั้นขาสั้น The sun&amp;The moon พื้นฟ้า OVERSIZE 3XL</v>
          </cell>
          <cell r="E12502">
            <v>0</v>
          </cell>
          <cell r="F12502">
            <v>890</v>
          </cell>
        </row>
        <row r="12503">
          <cell r="A12503" t="str">
            <v>SW1222-L</v>
          </cell>
          <cell r="B12503" t="str">
            <v>QW1222</v>
          </cell>
          <cell r="C12503" t="str">
            <v>ซาติน แขนสั้นขาสั้น The sun&amp;The moon พื้นฟ้า OVERSIZE L QC</v>
          </cell>
          <cell r="E12503">
            <v>0</v>
          </cell>
          <cell r="F12503">
            <v>890</v>
          </cell>
        </row>
        <row r="12504">
          <cell r="A12504" t="str">
            <v>SW1222-M</v>
          </cell>
          <cell r="B12504" t="str">
            <v>QW1222</v>
          </cell>
          <cell r="C12504" t="str">
            <v>ซาติน แขนสั้นขาสั้น The sun&amp;The moon พื้นฟ้า OVERSIZE M QC</v>
          </cell>
          <cell r="E12504">
            <v>0</v>
          </cell>
          <cell r="F12504">
            <v>890</v>
          </cell>
        </row>
        <row r="12505">
          <cell r="A12505" t="str">
            <v>SW1222-XL</v>
          </cell>
          <cell r="B12505" t="str">
            <v>W1222</v>
          </cell>
          <cell r="C12505" t="str">
            <v>ซาติน แขนสั้นขาสั้น The sun&amp;The moon พื้นฟ้า OVERSIZE XL</v>
          </cell>
          <cell r="E12505">
            <v>0</v>
          </cell>
          <cell r="F12505">
            <v>890</v>
          </cell>
        </row>
        <row r="12506">
          <cell r="A12506" t="str">
            <v>SW1227-2XL</v>
          </cell>
          <cell r="B12506" t="str">
            <v>W1227</v>
          </cell>
          <cell r="C12506" t="str">
            <v>ซาติน แขนสั้นขาสั้น ฟราวเวอร์ การฟฟิก ปกส้ม โอเวอร์ไซส์ 2XL</v>
          </cell>
          <cell r="E12506">
            <v>0</v>
          </cell>
          <cell r="F12506">
            <v>790</v>
          </cell>
        </row>
        <row r="12507">
          <cell r="A12507" t="str">
            <v>SW1227-3XL</v>
          </cell>
          <cell r="B12507" t="str">
            <v>QW1227</v>
          </cell>
          <cell r="C12507" t="str">
            <v>ซาติน แขนสั้นขาสั้น ฟราวเวอร์ การฟฟิก ปกส้ม โอเวอร์ไซส์ 3XL QC</v>
          </cell>
          <cell r="E12507">
            <v>0</v>
          </cell>
          <cell r="F12507">
            <v>790</v>
          </cell>
        </row>
        <row r="12508">
          <cell r="A12508" t="str">
            <v>SW1227-L</v>
          </cell>
          <cell r="B12508" t="str">
            <v>W1227</v>
          </cell>
          <cell r="C12508" t="str">
            <v>ซาติน แขนสั้นขาสั้น ฟราวเวอร์ การฟฟิก ปกส้ม โอเวอร์ไซส์ L</v>
          </cell>
          <cell r="E12508">
            <v>0</v>
          </cell>
          <cell r="F12508">
            <v>790</v>
          </cell>
        </row>
        <row r="12509">
          <cell r="A12509" t="str">
            <v>SW1227-M</v>
          </cell>
          <cell r="B12509" t="str">
            <v>W1227</v>
          </cell>
          <cell r="C12509" t="str">
            <v>ซาติน แขนสั้นขาสั้น ฟราวเวอร์ การฟฟิก ปกส้ม โอเวอร์ไซส์ M</v>
          </cell>
          <cell r="E12509">
            <v>0</v>
          </cell>
          <cell r="F12509">
            <v>790</v>
          </cell>
        </row>
        <row r="12510">
          <cell r="A12510" t="str">
            <v>SW1227-XL</v>
          </cell>
          <cell r="B12510" t="str">
            <v>W1227</v>
          </cell>
          <cell r="C12510" t="str">
            <v>ซาติน แขนสั้นขาสั้น ฟราวเวอร์ การฟฟิก ปกส้ม โอเวอร์ไซส์ XL</v>
          </cell>
          <cell r="E12510">
            <v>0</v>
          </cell>
          <cell r="F12510">
            <v>790</v>
          </cell>
        </row>
        <row r="12511">
          <cell r="A12511" t="str">
            <v>SW1233-2XL</v>
          </cell>
          <cell r="B12511" t="str">
            <v>QW1233</v>
          </cell>
          <cell r="C12511" t="str">
            <v>ซาติน แขนสั้นขาสั้น the sun พื้นครีม oversize 2XL QC</v>
          </cell>
          <cell r="E12511">
            <v>0</v>
          </cell>
          <cell r="F12511">
            <v>790</v>
          </cell>
        </row>
        <row r="12512">
          <cell r="A12512" t="str">
            <v>SW1233-3XL</v>
          </cell>
          <cell r="B12512" t="str">
            <v>QW1233</v>
          </cell>
          <cell r="C12512" t="str">
            <v>ซาติน แขนสั้นขาสั้น the sun พื้นครีม oversize 3XL QC</v>
          </cell>
          <cell r="E12512">
            <v>0</v>
          </cell>
          <cell r="F12512">
            <v>790</v>
          </cell>
        </row>
        <row r="12513">
          <cell r="A12513" t="str">
            <v>SW1233-L</v>
          </cell>
          <cell r="B12513" t="str">
            <v>W1233</v>
          </cell>
          <cell r="C12513" t="str">
            <v>ซาติน แขนสั้นขาสั้น the sun พื้นครีม oversize L</v>
          </cell>
          <cell r="E12513">
            <v>0</v>
          </cell>
          <cell r="F12513">
            <v>790</v>
          </cell>
        </row>
        <row r="12514">
          <cell r="A12514" t="str">
            <v>SW1233-M</v>
          </cell>
          <cell r="B12514" t="str">
            <v>QW1233</v>
          </cell>
          <cell r="C12514" t="str">
            <v>ซาติน แขนสั้นขาสั้น the sun พื้นครีม oversize M QC</v>
          </cell>
          <cell r="E12514">
            <v>0</v>
          </cell>
          <cell r="F12514">
            <v>790</v>
          </cell>
        </row>
        <row r="12515">
          <cell r="A12515" t="str">
            <v>SW1233-XL</v>
          </cell>
          <cell r="B12515" t="str">
            <v>QW1233</v>
          </cell>
          <cell r="C12515" t="str">
            <v>ซาติน แขนสั้นขาสั้น the sun พื้นครีม oversize XL QC</v>
          </cell>
          <cell r="E12515">
            <v>0</v>
          </cell>
          <cell r="F12515">
            <v>790</v>
          </cell>
        </row>
        <row r="12516">
          <cell r="A12516" t="str">
            <v>SW2009-2XL</v>
          </cell>
          <cell r="B12516" t="str">
            <v>QW2009</v>
          </cell>
          <cell r="C12516" t="str">
            <v>ซาติน แขนสั้นขาสั้น Chimera Amber 2XL  (กปก) QC</v>
          </cell>
          <cell r="E12516">
            <v>0</v>
          </cell>
          <cell r="F12516">
            <v>890</v>
          </cell>
        </row>
        <row r="12517">
          <cell r="A12517" t="str">
            <v>SW2009-3XL</v>
          </cell>
          <cell r="B12517" t="str">
            <v>QW2009</v>
          </cell>
          <cell r="C12517" t="str">
            <v>ซาติน แขนสั้นขาสั้น Chimera Amber 3XL  (กปก) QC</v>
          </cell>
          <cell r="E12517">
            <v>0</v>
          </cell>
          <cell r="F12517">
            <v>890</v>
          </cell>
        </row>
        <row r="12518">
          <cell r="A12518" t="str">
            <v>SW2009-L</v>
          </cell>
          <cell r="B12518" t="str">
            <v>W2009</v>
          </cell>
          <cell r="C12518" t="str">
            <v>ซาติน แขนสั้นขาสั้น Chimera Amber L (กปก)</v>
          </cell>
          <cell r="E12518">
            <v>0</v>
          </cell>
          <cell r="F12518">
            <v>790</v>
          </cell>
        </row>
        <row r="12519">
          <cell r="A12519" t="str">
            <v>SW2009-M</v>
          </cell>
          <cell r="B12519" t="str">
            <v>W2009</v>
          </cell>
          <cell r="C12519" t="str">
            <v>ซาติน แขนสั้นขาสั้น Chimera Amber M (กปก)</v>
          </cell>
          <cell r="E12519">
            <v>0</v>
          </cell>
          <cell r="F12519">
            <v>790</v>
          </cell>
        </row>
        <row r="12520">
          <cell r="A12520" t="str">
            <v>SW2009-XL</v>
          </cell>
          <cell r="B12520" t="str">
            <v>W2009</v>
          </cell>
          <cell r="C12520" t="str">
            <v>ซาติน แขนสั้นขาสั้น Chimera Amber XL (กปก)</v>
          </cell>
          <cell r="E12520">
            <v>0</v>
          </cell>
          <cell r="F12520">
            <v>890</v>
          </cell>
        </row>
        <row r="12521">
          <cell r="A12521" t="str">
            <v>SW2011-2XL</v>
          </cell>
          <cell r="B12521" t="str">
            <v>W2011</v>
          </cell>
          <cell r="C12521" t="str">
            <v>ซาติน แขนสั้นขาสั้น Wonder Circus OVERSIZE 2XL</v>
          </cell>
          <cell r="E12521">
            <v>5</v>
          </cell>
          <cell r="F12521">
            <v>890</v>
          </cell>
        </row>
        <row r="12522">
          <cell r="A12522" t="str">
            <v>SW2011-3XL</v>
          </cell>
          <cell r="B12522" t="str">
            <v>W2011</v>
          </cell>
          <cell r="C12522" t="str">
            <v>ซาติน แขนสั้นขาสั้น Wonder Circus OVERSIZE 3XL</v>
          </cell>
          <cell r="E12522">
            <v>0</v>
          </cell>
          <cell r="F12522">
            <v>890</v>
          </cell>
        </row>
        <row r="12523">
          <cell r="A12523" t="str">
            <v>SW2011-L</v>
          </cell>
          <cell r="B12523" t="str">
            <v>W2011</v>
          </cell>
          <cell r="C12523" t="str">
            <v>ซาติน แขนสั้นขาสั้น Wonder Circus OVERSIZE L</v>
          </cell>
          <cell r="E12523">
            <v>0</v>
          </cell>
          <cell r="F12523">
            <v>890</v>
          </cell>
        </row>
        <row r="12524">
          <cell r="A12524" t="str">
            <v>SW2011-XL</v>
          </cell>
          <cell r="B12524" t="str">
            <v>W2011</v>
          </cell>
          <cell r="C12524" t="str">
            <v>ซาติน แขนสั้นขาสั้น Wonder Circus OVERSIZE XL</v>
          </cell>
          <cell r="E12524">
            <v>0</v>
          </cell>
          <cell r="F12524">
            <v>890</v>
          </cell>
        </row>
        <row r="12525">
          <cell r="A12525" t="str">
            <v>SX0022-M</v>
          </cell>
          <cell r="B12525" t="str">
            <v>X22</v>
          </cell>
          <cell r="C12525" t="str">
            <v>สายเดี่ยว   เสื้อคลุม ริบบิ้นเขียว พื้นชมพู M</v>
          </cell>
          <cell r="E12525">
            <v>0</v>
          </cell>
          <cell r="F12525">
            <v>690</v>
          </cell>
        </row>
        <row r="12526">
          <cell r="A12526" t="str">
            <v>SX0022-S</v>
          </cell>
          <cell r="B12526" t="str">
            <v>X22</v>
          </cell>
          <cell r="C12526" t="str">
            <v>สายเดี่ยว   เสื้อคลุม ริบบิ้นเขียว พื้นชมพู S</v>
          </cell>
          <cell r="E12526">
            <v>0</v>
          </cell>
          <cell r="F12526">
            <v>690</v>
          </cell>
        </row>
        <row r="12527">
          <cell r="A12527" t="str">
            <v>SX0023-M</v>
          </cell>
          <cell r="B12527" t="str">
            <v>X23</v>
          </cell>
          <cell r="C12527" t="str">
            <v>ซาติน เสื้อคลุม แขนยาวขายาว สายเดี่ยว art พื้นสีเนื้อ M</v>
          </cell>
          <cell r="E12527">
            <v>0</v>
          </cell>
          <cell r="F12527">
            <v>690</v>
          </cell>
        </row>
        <row r="12528">
          <cell r="A12528" t="str">
            <v>SX0023-S</v>
          </cell>
          <cell r="B12528" t="str">
            <v>X23</v>
          </cell>
          <cell r="C12528" t="str">
            <v>ซาติน เสื้อคลุม แขนยาวขายาว สายเดี่ยว art พื้นสีเนื้อ S</v>
          </cell>
          <cell r="E12528">
            <v>0</v>
          </cell>
          <cell r="F12528">
            <v>690</v>
          </cell>
        </row>
        <row r="12529">
          <cell r="A12529" t="str">
            <v>SX0024-L</v>
          </cell>
          <cell r="B12529" t="str">
            <v>X24</v>
          </cell>
          <cell r="C12529" t="str">
            <v>ซาติน เสื้อคลุม แขนสั้น สายเดี่ยว เสือขาว ลูกไม้ L</v>
          </cell>
          <cell r="E12529">
            <v>0</v>
          </cell>
          <cell r="F12529">
            <v>990</v>
          </cell>
        </row>
        <row r="12530">
          <cell r="A12530" t="str">
            <v>SX0024-M</v>
          </cell>
          <cell r="B12530" t="str">
            <v>QX24</v>
          </cell>
          <cell r="C12530" t="str">
            <v>ซาติน เสื้อคลุม แขนสั้น สายเดี่ยว เสือขาว ลูกไม้ M QC</v>
          </cell>
          <cell r="E12530">
            <v>0</v>
          </cell>
          <cell r="F12530">
            <v>990</v>
          </cell>
        </row>
        <row r="12531">
          <cell r="A12531" t="str">
            <v>SX0025-L</v>
          </cell>
          <cell r="B12531" t="str">
            <v>X25</v>
          </cell>
          <cell r="C12531" t="str">
            <v>ซาติน เสื้อคลุม แขนสั้น สายเดี่ยว เสือชมพู ลูกไม้ L</v>
          </cell>
          <cell r="E12531">
            <v>0</v>
          </cell>
          <cell r="F12531">
            <v>990</v>
          </cell>
        </row>
        <row r="12532">
          <cell r="A12532" t="str">
            <v>SX0025-M</v>
          </cell>
          <cell r="B12532" t="str">
            <v>X25</v>
          </cell>
          <cell r="C12532" t="str">
            <v>ซาติน เสื้อคลุม แขนสั้น สายเดี่ยว เสือชมพู ลูกไม้ M</v>
          </cell>
          <cell r="E12532">
            <v>0</v>
          </cell>
          <cell r="F12532">
            <v>990</v>
          </cell>
        </row>
        <row r="12533">
          <cell r="A12533" t="str">
            <v>SX0026-M</v>
          </cell>
          <cell r="B12533" t="str">
            <v>X26</v>
          </cell>
          <cell r="C12533" t="str">
            <v>ซาติน เสื้อคลุม สายเดี่ยว ขาสั้น ดอกไม้ ขอบชมพู พื้นดำ M</v>
          </cell>
          <cell r="E12533">
            <v>0</v>
          </cell>
          <cell r="F12533">
            <v>690</v>
          </cell>
        </row>
        <row r="12534">
          <cell r="A12534" t="str">
            <v>SX0026-S</v>
          </cell>
          <cell r="B12534" t="str">
            <v>X26</v>
          </cell>
          <cell r="C12534" t="str">
            <v>ซาติน เสื้อคลุม สายเดี่ยว ขาสั้น ดอกไม้ ขอบชมพู พื้นดำ S</v>
          </cell>
          <cell r="E12534">
            <v>0</v>
          </cell>
          <cell r="F12534">
            <v>690</v>
          </cell>
        </row>
        <row r="12535">
          <cell r="A12535" t="str">
            <v>SX0027-M</v>
          </cell>
          <cell r="B12535" t="str">
            <v>X27</v>
          </cell>
          <cell r="C12535" t="str">
            <v>ซาติน เสื้อคลุม แขนยาวขายาว กระบองเพชร M</v>
          </cell>
          <cell r="E12535">
            <v>0</v>
          </cell>
          <cell r="F12535">
            <v>690</v>
          </cell>
        </row>
        <row r="12536">
          <cell r="A12536" t="str">
            <v>SX0027-S</v>
          </cell>
          <cell r="B12536" t="str">
            <v>X27</v>
          </cell>
          <cell r="C12536" t="str">
            <v>ซาติน เสื้อคลุม แขนยาวขายาว กระบองเพชร S</v>
          </cell>
          <cell r="E12536">
            <v>0</v>
          </cell>
          <cell r="F12536">
            <v>690</v>
          </cell>
        </row>
        <row r="12537">
          <cell r="A12537" t="str">
            <v>SX0028-M</v>
          </cell>
          <cell r="B12537" t="str">
            <v>X28</v>
          </cell>
          <cell r="C12537" t="str">
            <v>ซาติน เสื้อคลุม สายเดี่ยว ขาสั้น ลายทาง ชมพู ทับทิม M</v>
          </cell>
          <cell r="E12537">
            <v>0</v>
          </cell>
          <cell r="F12537">
            <v>690</v>
          </cell>
        </row>
        <row r="12538">
          <cell r="A12538" t="str">
            <v>SX0028-S</v>
          </cell>
          <cell r="B12538" t="str">
            <v>X28</v>
          </cell>
          <cell r="C12538" t="str">
            <v>ซาติน เสื้อคลุม สายเดี่ยว ขาสั้น ลายทาง ชมพู ทับทิม S</v>
          </cell>
          <cell r="E12538">
            <v>0</v>
          </cell>
          <cell r="F12538">
            <v>690</v>
          </cell>
        </row>
        <row r="12539">
          <cell r="A12539" t="str">
            <v>SX0029-M</v>
          </cell>
          <cell r="B12539" t="str">
            <v>X29</v>
          </cell>
          <cell r="C12539" t="str">
            <v>ซาติน เสื้อคลุม สายเดี่ยว ขายาว ฮาวายเอี้ยน พื้นดำ M</v>
          </cell>
          <cell r="E12539">
            <v>0</v>
          </cell>
          <cell r="F12539">
            <v>690</v>
          </cell>
        </row>
        <row r="12540">
          <cell r="A12540" t="str">
            <v>SX0029-S</v>
          </cell>
          <cell r="B12540" t="str">
            <v>X29</v>
          </cell>
          <cell r="C12540" t="str">
            <v>ซาติน เสื้อคลุม สายเดี่ยว ขายาว ฮาวายเอี้ยน พื้นดำ S</v>
          </cell>
          <cell r="E12540">
            <v>0</v>
          </cell>
          <cell r="F12540">
            <v>690</v>
          </cell>
        </row>
        <row r="12541">
          <cell r="A12541" t="str">
            <v>SX0030-L</v>
          </cell>
          <cell r="B12541" t="str">
            <v>X30</v>
          </cell>
          <cell r="C12541" t="str">
            <v>ซาติน เสื้อคลุม สายเดี่ยว แขนห้าส่วน พื้นดำ จุดดำ L</v>
          </cell>
          <cell r="E12541">
            <v>0</v>
          </cell>
          <cell r="F12541">
            <v>690</v>
          </cell>
        </row>
        <row r="12542">
          <cell r="A12542" t="str">
            <v>SX0030-M</v>
          </cell>
          <cell r="B12542" t="str">
            <v>X30</v>
          </cell>
          <cell r="C12542" t="str">
            <v>ซาติน เสื้อคลุม สายเดี่ยว แขนห้าส่วน พื้นดำ จุดดำ M</v>
          </cell>
          <cell r="E12542">
            <v>0</v>
          </cell>
          <cell r="F12542">
            <v>690</v>
          </cell>
        </row>
        <row r="12543">
          <cell r="A12543" t="str">
            <v>SX0031-L</v>
          </cell>
          <cell r="B12543" t="str">
            <v>QX31</v>
          </cell>
          <cell r="C12543" t="str">
            <v>ซาติน เสื้อคลุม สายเดี่ยว แขนห้าส่วน พื้นเขียว จุดเขียว L QC</v>
          </cell>
          <cell r="E12543">
            <v>0</v>
          </cell>
          <cell r="F12543">
            <v>690</v>
          </cell>
        </row>
        <row r="12544">
          <cell r="A12544" t="str">
            <v>SX0031-M</v>
          </cell>
          <cell r="B12544" t="str">
            <v>QX31</v>
          </cell>
          <cell r="C12544" t="str">
            <v>ซาติน เสื้อคลุม สายเดี่ยว แขนห้าส่วน พื้นเขียว จุดเขียว M QC</v>
          </cell>
          <cell r="E12544">
            <v>0</v>
          </cell>
          <cell r="F12544">
            <v>690</v>
          </cell>
        </row>
        <row r="12545">
          <cell r="A12545" t="str">
            <v>SX0099-M</v>
          </cell>
          <cell r="B12545" t="str">
            <v>X99</v>
          </cell>
          <cell r="C12545" t="str">
            <v>ซาติน สายเดี่ยว ขาวละมุน ลูกไม้ M</v>
          </cell>
          <cell r="E12545">
            <v>0</v>
          </cell>
          <cell r="F12545">
            <v>950</v>
          </cell>
        </row>
        <row r="12546">
          <cell r="A12546" t="str">
            <v>SX0099-XL</v>
          </cell>
          <cell r="B12546" t="str">
            <v>BX99</v>
          </cell>
          <cell r="C12546" t="str">
            <v>ซาติน สายเดี่ยว ขาวละมุน ลูกไม้ XL</v>
          </cell>
          <cell r="E12546">
            <v>0</v>
          </cell>
          <cell r="F12546">
            <v>950</v>
          </cell>
        </row>
        <row r="12547">
          <cell r="A12547" t="str">
            <v>TEST-01</v>
          </cell>
          <cell r="B12547" t="str">
            <v>TEST1</v>
          </cell>
          <cell r="C12547" t="str">
            <v>TEST 01</v>
          </cell>
          <cell r="E12547">
            <v>0</v>
          </cell>
          <cell r="F12547">
            <v>0</v>
          </cell>
        </row>
        <row r="12548">
          <cell r="A12548" t="str">
            <v>XXX1223456</v>
          </cell>
          <cell r="B12548" t="str">
            <v>X12345</v>
          </cell>
          <cell r="C12548" t="str">
            <v>Test Autoload</v>
          </cell>
          <cell r="E12548">
            <v>0</v>
          </cell>
          <cell r="F12548">
            <v>0</v>
          </cell>
        </row>
        <row r="12549">
          <cell r="A12549" t="str">
            <v>Y0001-L</v>
          </cell>
          <cell r="B12549" t="str">
            <v>Y1</v>
          </cell>
          <cell r="C12549" t="str">
            <v>เยื่อไผ่ แขนสั้นขาสั้น กรม ผู้ชาย L</v>
          </cell>
          <cell r="E12549">
            <v>0</v>
          </cell>
          <cell r="F12549">
            <v>790</v>
          </cell>
        </row>
        <row r="12550">
          <cell r="A12550" t="str">
            <v>Y0001-M</v>
          </cell>
          <cell r="B12550" t="str">
            <v>Y1</v>
          </cell>
          <cell r="C12550" t="str">
            <v>เยื่อไผ่ แขนสั้นขาสั้น กรม ผู้ชาย M</v>
          </cell>
          <cell r="E12550">
            <v>0</v>
          </cell>
          <cell r="F12550">
            <v>790</v>
          </cell>
        </row>
        <row r="12551">
          <cell r="A12551" t="str">
            <v>Y0001-XL</v>
          </cell>
          <cell r="B12551" t="str">
            <v>Y1</v>
          </cell>
          <cell r="C12551" t="str">
            <v>เยื่อไผ่ แขนสั้นขาสั้น กรม ผู้ชาย XL</v>
          </cell>
          <cell r="E12551">
            <v>0</v>
          </cell>
          <cell r="F12551">
            <v>790</v>
          </cell>
        </row>
        <row r="12552">
          <cell r="A12552" t="str">
            <v>Y0002-L</v>
          </cell>
          <cell r="B12552" t="str">
            <v>Y2</v>
          </cell>
          <cell r="C12552" t="str">
            <v>เยื่อไผ่ แขนสั้นขาสั้น เทาอ่อน ผู้ชาย L</v>
          </cell>
          <cell r="E12552">
            <v>0</v>
          </cell>
          <cell r="F12552">
            <v>790</v>
          </cell>
        </row>
        <row r="12553">
          <cell r="A12553" t="str">
            <v>Y0002-M</v>
          </cell>
          <cell r="B12553" t="str">
            <v>Y2</v>
          </cell>
          <cell r="C12553" t="str">
            <v>เยื่อไผ่ แขนสั้นขาสั้น เทาอ่อน ผู้ชาย M</v>
          </cell>
          <cell r="E12553">
            <v>0</v>
          </cell>
          <cell r="F12553">
            <v>790</v>
          </cell>
        </row>
        <row r="12554">
          <cell r="A12554" t="str">
            <v>Y0002-XL</v>
          </cell>
          <cell r="B12554" t="str">
            <v>Y2</v>
          </cell>
          <cell r="C12554" t="str">
            <v>เยื่อไผ่ แขนสั้นขาสั้น เทาอ่อน ผู้ชาย XL</v>
          </cell>
          <cell r="E12554">
            <v>0</v>
          </cell>
          <cell r="F12554">
            <v>790</v>
          </cell>
        </row>
        <row r="12555">
          <cell r="A12555" t="str">
            <v>Y0003-L</v>
          </cell>
          <cell r="B12555" t="str">
            <v>Y3</v>
          </cell>
          <cell r="C12555" t="str">
            <v>เยื่อไผ่ แขนสั้นขาสั้น เทาเข้ม ผู้ชาย L</v>
          </cell>
          <cell r="E12555">
            <v>0</v>
          </cell>
          <cell r="F12555">
            <v>790</v>
          </cell>
        </row>
        <row r="12556">
          <cell r="A12556" t="str">
            <v>Y0003-M</v>
          </cell>
          <cell r="B12556" t="str">
            <v>Y3</v>
          </cell>
          <cell r="C12556" t="str">
            <v>เยื่อไผ่ แขนสั้นขาสั้น เทาเข้ม ผู้ชาย M</v>
          </cell>
          <cell r="E12556">
            <v>0</v>
          </cell>
          <cell r="F12556">
            <v>790</v>
          </cell>
        </row>
        <row r="12557">
          <cell r="A12557" t="str">
            <v>Y0003-XL</v>
          </cell>
          <cell r="B12557" t="str">
            <v>Y3</v>
          </cell>
          <cell r="C12557" t="str">
            <v>เยื่อไผ่ แขนสั้นขาสั้น เทาเข้ม ผู้ชาย XL</v>
          </cell>
          <cell r="E12557">
            <v>0</v>
          </cell>
          <cell r="F12557">
            <v>790</v>
          </cell>
        </row>
        <row r="12558">
          <cell r="A12558" t="str">
            <v>Y0004-L</v>
          </cell>
          <cell r="B12558" t="str">
            <v>Y4</v>
          </cell>
          <cell r="C12558" t="str">
            <v>เยื่อไผ่ แขนสั้นขายาว กรม ผู้ชาย L</v>
          </cell>
          <cell r="E12558">
            <v>0</v>
          </cell>
          <cell r="F12558">
            <v>890</v>
          </cell>
        </row>
        <row r="12559">
          <cell r="A12559" t="str">
            <v>Y0004-M</v>
          </cell>
          <cell r="B12559" t="str">
            <v>Y4</v>
          </cell>
          <cell r="C12559" t="str">
            <v>เยื่อไผ่ แขนสั้นขายาว กรม ผู้ชาย M</v>
          </cell>
          <cell r="E12559">
            <v>0</v>
          </cell>
          <cell r="F12559">
            <v>890</v>
          </cell>
        </row>
        <row r="12560">
          <cell r="A12560" t="str">
            <v>Y0004-XL</v>
          </cell>
          <cell r="B12560" t="str">
            <v>Y4</v>
          </cell>
          <cell r="C12560" t="str">
            <v>เยื่อไผ่ แขนสั้นขายาว กรม ผู้ชาย XL</v>
          </cell>
          <cell r="E12560">
            <v>0</v>
          </cell>
          <cell r="F12560">
            <v>890</v>
          </cell>
        </row>
        <row r="12561">
          <cell r="A12561" t="str">
            <v>Y0005-L</v>
          </cell>
          <cell r="B12561" t="str">
            <v>Y5</v>
          </cell>
          <cell r="C12561" t="str">
            <v>เยื่อไผ่ แขนสั้นขายาว เทาอ่อน ผู้ชาย L</v>
          </cell>
          <cell r="E12561">
            <v>0</v>
          </cell>
          <cell r="F12561">
            <v>890</v>
          </cell>
        </row>
        <row r="12562">
          <cell r="A12562" t="str">
            <v>Y0005-M</v>
          </cell>
          <cell r="B12562" t="str">
            <v>Y5</v>
          </cell>
          <cell r="C12562" t="str">
            <v>เยื่อไผ่ แขนสั้นขายาว เทาอ่อน ผู้ชาย M</v>
          </cell>
          <cell r="E12562">
            <v>0</v>
          </cell>
          <cell r="F12562">
            <v>890</v>
          </cell>
        </row>
        <row r="12563">
          <cell r="A12563" t="str">
            <v>Y0005-XL</v>
          </cell>
          <cell r="B12563" t="str">
            <v>Y5</v>
          </cell>
          <cell r="C12563" t="str">
            <v>เยื่อไผ่ แขนสั้นขายาว เทาอ่อน ผู้ชาย XL</v>
          </cell>
          <cell r="E12563">
            <v>0</v>
          </cell>
          <cell r="F12563">
            <v>890</v>
          </cell>
        </row>
        <row r="12564">
          <cell r="A12564" t="str">
            <v>Y0006-L</v>
          </cell>
          <cell r="B12564" t="str">
            <v>Y6</v>
          </cell>
          <cell r="C12564" t="str">
            <v>เยื่อไผ่ แขนยาวขายาว กรม ผู้ชาย L</v>
          </cell>
          <cell r="E12564">
            <v>0</v>
          </cell>
          <cell r="F12564">
            <v>950</v>
          </cell>
        </row>
        <row r="12565">
          <cell r="A12565" t="str">
            <v>Y0006-M</v>
          </cell>
          <cell r="B12565" t="str">
            <v>Y6</v>
          </cell>
          <cell r="C12565" t="str">
            <v>เยื่อไผ่ แขนยาวขายาว กรม ผู้ชาย M</v>
          </cell>
          <cell r="E12565">
            <v>0</v>
          </cell>
          <cell r="F12565">
            <v>950</v>
          </cell>
        </row>
        <row r="12566">
          <cell r="A12566" t="str">
            <v>Y0006-XL</v>
          </cell>
          <cell r="B12566" t="str">
            <v>Y6</v>
          </cell>
          <cell r="C12566" t="str">
            <v>เยื่อไผ่ แขนยาวขายาว กรม ผู้ชาย XL</v>
          </cell>
          <cell r="E12566">
            <v>0</v>
          </cell>
          <cell r="F12566">
            <v>950</v>
          </cell>
        </row>
        <row r="12567">
          <cell r="A12567" t="str">
            <v>Y0007-L</v>
          </cell>
          <cell r="B12567" t="str">
            <v>Y7</v>
          </cell>
          <cell r="C12567" t="str">
            <v>เยื่อไผ่ แขนยาวขายาว ฟ้าเทา ผู้ชาย L</v>
          </cell>
          <cell r="E12567">
            <v>0</v>
          </cell>
          <cell r="F12567">
            <v>950</v>
          </cell>
        </row>
        <row r="12568">
          <cell r="A12568" t="str">
            <v>Y0007-M</v>
          </cell>
          <cell r="B12568" t="str">
            <v>Y7</v>
          </cell>
          <cell r="C12568" t="str">
            <v>เยื่อไผ่ แขนยาวขายาว ฟ้าเทา ผู้ชาย M</v>
          </cell>
          <cell r="E12568">
            <v>0</v>
          </cell>
          <cell r="F12568">
            <v>950</v>
          </cell>
        </row>
        <row r="12569">
          <cell r="A12569" t="str">
            <v>Y0007-XL</v>
          </cell>
          <cell r="B12569" t="str">
            <v>Y7</v>
          </cell>
          <cell r="C12569" t="str">
            <v>เยื่อไผ่ แขนยาวขายาว ฟ้าเทา ผู้ชาย XL</v>
          </cell>
          <cell r="E12569">
            <v>0</v>
          </cell>
          <cell r="F12569">
            <v>950</v>
          </cell>
        </row>
        <row r="12570">
          <cell r="A12570" t="str">
            <v>Y0008-L</v>
          </cell>
          <cell r="B12570" t="str">
            <v>Y8</v>
          </cell>
          <cell r="C12570" t="str">
            <v>เยื่อไผ่ แขนยาวขายาว เทาอ่อน ผู้ชาย L</v>
          </cell>
          <cell r="E12570">
            <v>0</v>
          </cell>
          <cell r="F12570">
            <v>950</v>
          </cell>
        </row>
        <row r="12571">
          <cell r="A12571" t="str">
            <v>Y0008-M</v>
          </cell>
          <cell r="B12571" t="str">
            <v>Y8</v>
          </cell>
          <cell r="C12571" t="str">
            <v>เยื่อไผ่ แขนยาวขายาว เทาอ่อน ผู้ชาย M</v>
          </cell>
          <cell r="E12571">
            <v>0</v>
          </cell>
          <cell r="F12571">
            <v>950</v>
          </cell>
        </row>
        <row r="12572">
          <cell r="A12572" t="str">
            <v>Y0008-XL</v>
          </cell>
          <cell r="B12572" t="str">
            <v>Y8</v>
          </cell>
          <cell r="C12572" t="str">
            <v>เยื่อไผ่ แขนยาวขายาว เทาอ่อน ผู้ชาย XL</v>
          </cell>
          <cell r="E12572">
            <v>0</v>
          </cell>
          <cell r="F12572">
            <v>950</v>
          </cell>
        </row>
        <row r="12573">
          <cell r="A12573" t="str">
            <v>Y0009-L</v>
          </cell>
          <cell r="B12573" t="str">
            <v>Y9</v>
          </cell>
          <cell r="C12573" t="str">
            <v>ซาติน แขนสั้นขายาว สีกรม ผช L</v>
          </cell>
          <cell r="E12573">
            <v>0</v>
          </cell>
          <cell r="F12573">
            <v>890</v>
          </cell>
        </row>
        <row r="12574">
          <cell r="A12574" t="str">
            <v>Y0009-XL</v>
          </cell>
          <cell r="B12574" t="str">
            <v>Y9</v>
          </cell>
          <cell r="C12574" t="str">
            <v>ซาติน แขนสั้นขายาว สีกรม ผช XL</v>
          </cell>
          <cell r="E12574">
            <v>0</v>
          </cell>
          <cell r="F12574">
            <v>890</v>
          </cell>
        </row>
        <row r="12575">
          <cell r="A12575" t="str">
            <v>Y0010-L</v>
          </cell>
          <cell r="B12575" t="str">
            <v>Y10</v>
          </cell>
          <cell r="C12575" t="str">
            <v>ซาติน แขนสั้นขายาว สีคราม ผช L</v>
          </cell>
          <cell r="E12575">
            <v>0</v>
          </cell>
          <cell r="F12575">
            <v>890</v>
          </cell>
        </row>
        <row r="12576">
          <cell r="A12576" t="str">
            <v>Y0010-XL</v>
          </cell>
          <cell r="B12576" t="str">
            <v>Y10</v>
          </cell>
          <cell r="C12576" t="str">
            <v>ซาติน แขนสั้นขายาว สีคราม ผช XL</v>
          </cell>
          <cell r="E12576">
            <v>0</v>
          </cell>
          <cell r="F12576">
            <v>890</v>
          </cell>
        </row>
        <row r="12577">
          <cell r="A12577" t="str">
            <v>Y0011-L</v>
          </cell>
          <cell r="B12577" t="str">
            <v>Y11</v>
          </cell>
          <cell r="C12577" t="str">
            <v>ซาติน แขนสั้นขาสั้น สีกรมไม่มีขอบ ผช L</v>
          </cell>
          <cell r="E12577">
            <v>0</v>
          </cell>
          <cell r="F12577">
            <v>790</v>
          </cell>
        </row>
        <row r="12578">
          <cell r="A12578" t="str">
            <v>Y0011-M</v>
          </cell>
          <cell r="B12578" t="str">
            <v>Y11</v>
          </cell>
          <cell r="C12578" t="str">
            <v>ซาติน แขนสั้นขาสั้น สีกรมไม่มีขอบ ผช M</v>
          </cell>
          <cell r="E12578">
            <v>0</v>
          </cell>
          <cell r="F12578">
            <v>790</v>
          </cell>
        </row>
        <row r="12579">
          <cell r="A12579" t="str">
            <v>Y0011-XL</v>
          </cell>
          <cell r="B12579" t="str">
            <v>Y11</v>
          </cell>
          <cell r="C12579" t="str">
            <v>ซาติน แขนสั้นขาสั้น สีกรมไม่มีขอบ ผช XL</v>
          </cell>
          <cell r="E12579">
            <v>0</v>
          </cell>
          <cell r="F12579">
            <v>790</v>
          </cell>
        </row>
        <row r="12580">
          <cell r="A12580" t="str">
            <v>Y0012-L</v>
          </cell>
          <cell r="B12580" t="str">
            <v>Y12</v>
          </cell>
          <cell r="C12580" t="str">
            <v>ซาติน แขนสั้นขาสั้น สีเทาอ่อนไม่มีขอบ ผช L</v>
          </cell>
          <cell r="E12580">
            <v>0</v>
          </cell>
          <cell r="F12580">
            <v>790</v>
          </cell>
        </row>
        <row r="12581">
          <cell r="A12581" t="str">
            <v>Y0012-M</v>
          </cell>
          <cell r="B12581" t="str">
            <v>Y12</v>
          </cell>
          <cell r="C12581" t="str">
            <v>ซาติน แขนสั้นขาสั้น สีเทาอ่อนไม่มีขอบ ผช M</v>
          </cell>
          <cell r="E12581">
            <v>0</v>
          </cell>
          <cell r="F12581">
            <v>790</v>
          </cell>
        </row>
        <row r="12582">
          <cell r="A12582" t="str">
            <v>Y0012-XL</v>
          </cell>
          <cell r="B12582" t="str">
            <v>Y12</v>
          </cell>
          <cell r="C12582" t="str">
            <v>ซาติน แขนสั้นขาสั้น สีเทาอ่อนไม่มีขอบ ผช XL</v>
          </cell>
          <cell r="E12582">
            <v>0</v>
          </cell>
          <cell r="F12582">
            <v>790</v>
          </cell>
        </row>
        <row r="12583">
          <cell r="A12583" t="str">
            <v>Y0014-L</v>
          </cell>
          <cell r="B12583" t="str">
            <v>Y14</v>
          </cell>
          <cell r="C12583" t="str">
            <v>ซาติน แขนสั้นขาสั้น สีเทาอ่อน คอปก มีขอบ ผช L</v>
          </cell>
          <cell r="E12583">
            <v>0</v>
          </cell>
          <cell r="F12583">
            <v>790</v>
          </cell>
        </row>
        <row r="12584">
          <cell r="A12584" t="str">
            <v>Y0014-M</v>
          </cell>
          <cell r="B12584" t="str">
            <v>Y14</v>
          </cell>
          <cell r="C12584" t="str">
            <v>ซาติน แขนสั้นขาสั้น สีเทาอ่อน คอปก มีขอบ ผช M</v>
          </cell>
          <cell r="E12584">
            <v>0</v>
          </cell>
          <cell r="F12584">
            <v>790</v>
          </cell>
        </row>
        <row r="12585">
          <cell r="A12585" t="str">
            <v>Y0014-XL</v>
          </cell>
          <cell r="B12585" t="str">
            <v>Y14</v>
          </cell>
          <cell r="C12585" t="str">
            <v>ซาติน แขนสั้นขาสั้น สีเทาอ่อน คอปก มีขอบ ผช XL</v>
          </cell>
          <cell r="E12585">
            <v>0</v>
          </cell>
          <cell r="F12585">
            <v>790</v>
          </cell>
        </row>
        <row r="12586">
          <cell r="A12586" t="str">
            <v>Y0015-L</v>
          </cell>
          <cell r="B12586" t="str">
            <v>Y15</v>
          </cell>
          <cell r="C12586" t="str">
            <v>ซาติน แขนสั้นขาสั้น สีกรม คอปก มีขอบ ผช L</v>
          </cell>
          <cell r="E12586">
            <v>0</v>
          </cell>
          <cell r="F12586">
            <v>790</v>
          </cell>
        </row>
        <row r="12587">
          <cell r="A12587" t="str">
            <v>Y0015-XL</v>
          </cell>
          <cell r="B12587" t="str">
            <v>Y15</v>
          </cell>
          <cell r="C12587" t="str">
            <v>ซาติน แขนสั้นขาสั้น สีกรม คอปก มีขอบ ผช XL</v>
          </cell>
          <cell r="E12587">
            <v>0</v>
          </cell>
          <cell r="F12587">
            <v>790</v>
          </cell>
        </row>
        <row r="12588">
          <cell r="A12588" t="str">
            <v>Y0017-L</v>
          </cell>
          <cell r="B12588" t="str">
            <v>Y17</v>
          </cell>
          <cell r="C12588" t="str">
            <v>ซาติน แขนสั้นขาสั้น สีเขียวเข้ม คอปก มีขอบ ผช L</v>
          </cell>
          <cell r="E12588">
            <v>0</v>
          </cell>
          <cell r="F12588">
            <v>790</v>
          </cell>
        </row>
        <row r="12589">
          <cell r="A12589" t="str">
            <v>Y0017-M</v>
          </cell>
          <cell r="B12589" t="str">
            <v>Y17</v>
          </cell>
          <cell r="C12589" t="str">
            <v>ซาติน แขนสั้นขาสั้น สีเขียวเข้ม คอปก มีขอบ ผช M</v>
          </cell>
          <cell r="E12589">
            <v>0</v>
          </cell>
          <cell r="F12589">
            <v>790</v>
          </cell>
        </row>
        <row r="12590">
          <cell r="A12590" t="str">
            <v>Y0017-XL</v>
          </cell>
          <cell r="B12590" t="str">
            <v>Y17</v>
          </cell>
          <cell r="C12590" t="str">
            <v>ซาติน แขนสั้นขาสั้น สีเขียวเข้ม คอปก มีขอบ ผช XL</v>
          </cell>
          <cell r="E12590">
            <v>0</v>
          </cell>
          <cell r="F12590">
            <v>790</v>
          </cell>
        </row>
        <row r="12591">
          <cell r="A12591" t="str">
            <v>Y0018-2XL</v>
          </cell>
          <cell r="B12591" t="str">
            <v>Y18</v>
          </cell>
          <cell r="C12591" t="str">
            <v>ซาติน แขนสั้นขายาว สีกรมขอบขาว ผช 2XL</v>
          </cell>
          <cell r="E12591">
            <v>0</v>
          </cell>
          <cell r="F12591">
            <v>990</v>
          </cell>
        </row>
        <row r="12592">
          <cell r="A12592" t="str">
            <v>Y0018-L</v>
          </cell>
          <cell r="B12592" t="str">
            <v>Y18</v>
          </cell>
          <cell r="C12592" t="str">
            <v>ซาติน แขนสั้นขายาว สีกรมขอบขาว ผช L</v>
          </cell>
          <cell r="E12592">
            <v>0</v>
          </cell>
          <cell r="F12592">
            <v>990</v>
          </cell>
        </row>
        <row r="12593">
          <cell r="A12593" t="str">
            <v>Y0018-M</v>
          </cell>
          <cell r="B12593" t="str">
            <v>Y18</v>
          </cell>
          <cell r="C12593" t="str">
            <v>ซาติน แขนสั้นขายาว สีกรมขอบขาว ผช M</v>
          </cell>
          <cell r="E12593">
            <v>0</v>
          </cell>
          <cell r="F12593">
            <v>990</v>
          </cell>
        </row>
        <row r="12594">
          <cell r="A12594" t="str">
            <v>Y0018-XL</v>
          </cell>
          <cell r="B12594" t="str">
            <v>Y18</v>
          </cell>
          <cell r="C12594" t="str">
            <v>ซาติน แขนสั้นขายาว สีกรมขอบขาว ผช XL</v>
          </cell>
          <cell r="E12594">
            <v>0</v>
          </cell>
          <cell r="F12594">
            <v>990</v>
          </cell>
        </row>
        <row r="12595">
          <cell r="A12595" t="str">
            <v>Y0019-2XL</v>
          </cell>
          <cell r="B12595" t="str">
            <v>Y19</v>
          </cell>
          <cell r="C12595" t="str">
            <v>ซาติน แขนสั้นขายาว สีฟ้าขอบขาว ผช 2XL</v>
          </cell>
          <cell r="E12595">
            <v>0</v>
          </cell>
          <cell r="F12595">
            <v>990</v>
          </cell>
        </row>
        <row r="12596">
          <cell r="A12596" t="str">
            <v>Y0019-L</v>
          </cell>
          <cell r="B12596" t="str">
            <v>Y19</v>
          </cell>
          <cell r="C12596" t="str">
            <v>ซาติน แขนสั้นขายาว สีฟ้าขอบขาว ผช L</v>
          </cell>
          <cell r="E12596">
            <v>0</v>
          </cell>
          <cell r="F12596">
            <v>990</v>
          </cell>
        </row>
        <row r="12597">
          <cell r="A12597" t="str">
            <v>Y0019-M</v>
          </cell>
          <cell r="B12597" t="str">
            <v>Y19</v>
          </cell>
          <cell r="C12597" t="str">
            <v>ซาติน แขนสั้นขายาว สีฟ้าขอบขาว ผช M</v>
          </cell>
          <cell r="E12597">
            <v>0</v>
          </cell>
          <cell r="F12597">
            <v>990</v>
          </cell>
        </row>
        <row r="12598">
          <cell r="A12598" t="str">
            <v>Y0019-XL</v>
          </cell>
          <cell r="B12598" t="str">
            <v>Y19</v>
          </cell>
          <cell r="C12598" t="str">
            <v>ซาติน แขนสั้นขายาว สีฟ้าขอบขาว ผช XL</v>
          </cell>
          <cell r="E12598">
            <v>0</v>
          </cell>
          <cell r="F12598">
            <v>990</v>
          </cell>
        </row>
        <row r="12599">
          <cell r="A12599" t="str">
            <v>Y0020-2XL</v>
          </cell>
          <cell r="B12599" t="str">
            <v>JY20</v>
          </cell>
          <cell r="C12599" t="str">
            <v>ซาติน แขนยาวขายาว สีกรมไม่มีขอบ ลายไพ่ ผช 2XL ตัวโชว์</v>
          </cell>
          <cell r="E12599">
            <v>0</v>
          </cell>
          <cell r="F12599">
            <v>950</v>
          </cell>
        </row>
        <row r="12600">
          <cell r="A12600" t="str">
            <v>Y0020-L</v>
          </cell>
          <cell r="B12600" t="str">
            <v>JY20</v>
          </cell>
          <cell r="C12600" t="str">
            <v>ซาติน แขนยาวขายาว สีกรมไม่มีขอบ ลายไพ่ ผช L ตัวโชว์</v>
          </cell>
          <cell r="E12600">
            <v>0</v>
          </cell>
          <cell r="F12600">
            <v>950</v>
          </cell>
        </row>
        <row r="12601">
          <cell r="A12601" t="str">
            <v>Y0020-M</v>
          </cell>
          <cell r="B12601" t="str">
            <v>JY20</v>
          </cell>
          <cell r="C12601" t="str">
            <v>ซาติน แขนยาวขายาว สีกรมไม่มีขอบ ลายไพ่ ผช M ตัวโชว์</v>
          </cell>
          <cell r="E12601">
            <v>0</v>
          </cell>
          <cell r="F12601">
            <v>950</v>
          </cell>
        </row>
        <row r="12602">
          <cell r="A12602" t="str">
            <v>Y0020-XL</v>
          </cell>
          <cell r="B12602" t="str">
            <v>JY20</v>
          </cell>
          <cell r="C12602" t="str">
            <v>ซาติน แขนยาวขายาว สีกรมไม่มีขอบ ลายไพ่ ผช XL ตัวโชว์</v>
          </cell>
          <cell r="E12602">
            <v>0</v>
          </cell>
          <cell r="F12602">
            <v>950</v>
          </cell>
        </row>
        <row r="12603">
          <cell r="A12603" t="str">
            <v>Y0021-M</v>
          </cell>
          <cell r="B12603" t="str">
            <v>Y21</v>
          </cell>
          <cell r="C12603" t="str">
            <v>ซาติน แขนยาวขายาว สีฟ้าไม่มีขอบ ลายไพ่ ผช M</v>
          </cell>
          <cell r="E12603">
            <v>0</v>
          </cell>
          <cell r="F12603">
            <v>950</v>
          </cell>
        </row>
        <row r="12604">
          <cell r="A12604" t="str">
            <v>Y0022-2XL</v>
          </cell>
          <cell r="B12604" t="str">
            <v>Y22</v>
          </cell>
          <cell r="C12604" t="str">
            <v>ซาติน แขนยาวขายาว Teddy Bear 2XL</v>
          </cell>
          <cell r="E12604">
            <v>0</v>
          </cell>
          <cell r="F12604">
            <v>950</v>
          </cell>
        </row>
        <row r="12605">
          <cell r="A12605" t="str">
            <v>Y0022-L</v>
          </cell>
          <cell r="B12605" t="str">
            <v>Y22</v>
          </cell>
          <cell r="C12605" t="str">
            <v>ซาติน แขนยาวขายาว Teddy Bear L</v>
          </cell>
          <cell r="E12605">
            <v>0</v>
          </cell>
          <cell r="F12605">
            <v>950</v>
          </cell>
        </row>
        <row r="12606">
          <cell r="A12606" t="str">
            <v>Y0022-M</v>
          </cell>
          <cell r="B12606" t="str">
            <v>Y22</v>
          </cell>
          <cell r="C12606" t="str">
            <v>ซาติน แขนยาวขายาว&amp;nbsp;Teddy Bear M</v>
          </cell>
          <cell r="E12606">
            <v>0</v>
          </cell>
          <cell r="F12606">
            <v>950</v>
          </cell>
        </row>
        <row r="12607">
          <cell r="A12607" t="str">
            <v>Y0022-XL</v>
          </cell>
          <cell r="B12607" t="str">
            <v>Y22</v>
          </cell>
          <cell r="C12607" t="str">
            <v>ซาติน แขนยาวขายาว Teddy Bear XL</v>
          </cell>
          <cell r="E12607">
            <v>0</v>
          </cell>
          <cell r="F12607">
            <v>950</v>
          </cell>
        </row>
        <row r="12608">
          <cell r="A12608" t="str">
            <v>Y0023-2XL</v>
          </cell>
          <cell r="B12608" t="str">
            <v>Y23</v>
          </cell>
          <cell r="C12608" t="str">
            <v>ซาติน แขนสั้นขาสั้น&amp;nbsp;Teddy Bear 2XL</v>
          </cell>
          <cell r="E12608">
            <v>0</v>
          </cell>
          <cell r="F12608">
            <v>790</v>
          </cell>
        </row>
        <row r="12609">
          <cell r="A12609" t="str">
            <v>Y0023-L</v>
          </cell>
          <cell r="B12609" t="str">
            <v>Y23</v>
          </cell>
          <cell r="C12609" t="str">
            <v>ซาติน แขนสั้นขาสั้น Teddy Bear L</v>
          </cell>
          <cell r="E12609">
            <v>0</v>
          </cell>
          <cell r="F12609">
            <v>790</v>
          </cell>
        </row>
        <row r="12610">
          <cell r="A12610" t="str">
            <v>Y0023-M</v>
          </cell>
          <cell r="B12610" t="str">
            <v>Y23</v>
          </cell>
          <cell r="C12610" t="str">
            <v>ซาติน แขนสั้นขาสั้น Teddy Bear M</v>
          </cell>
          <cell r="E12610">
            <v>0</v>
          </cell>
          <cell r="F12610">
            <v>890</v>
          </cell>
        </row>
        <row r="12611">
          <cell r="A12611" t="str">
            <v>Y0023-XL</v>
          </cell>
          <cell r="B12611" t="str">
            <v>Y23</v>
          </cell>
          <cell r="C12611" t="str">
            <v>ซาติน แขนสั้นขาสั้น Teddy Bear XL</v>
          </cell>
          <cell r="E12611">
            <v>0</v>
          </cell>
          <cell r="F12611">
            <v>790</v>
          </cell>
        </row>
        <row r="12612">
          <cell r="A12612" t="str">
            <v>Y0024-2XL</v>
          </cell>
          <cell r="B12612" t="str">
            <v>Y24</v>
          </cell>
          <cell r="C12612" t="str">
            <v>เยื่อไผ่ แขนสั้นขายาว กรม ขอบขาว ผู้ชาย 2XL</v>
          </cell>
          <cell r="E12612">
            <v>0</v>
          </cell>
          <cell r="F12612">
            <v>890</v>
          </cell>
        </row>
        <row r="12613">
          <cell r="A12613" t="str">
            <v>Y0024-L</v>
          </cell>
          <cell r="B12613" t="str">
            <v>Y24</v>
          </cell>
          <cell r="C12613" t="str">
            <v>เยื่อไผ่ แขนสั้นขายาว กรม ขอบขาว ผู้ชาย L</v>
          </cell>
          <cell r="E12613">
            <v>0</v>
          </cell>
          <cell r="F12613">
            <v>890</v>
          </cell>
        </row>
        <row r="12614">
          <cell r="A12614" t="str">
            <v>Y0024-M</v>
          </cell>
          <cell r="B12614" t="str">
            <v>Y24</v>
          </cell>
          <cell r="C12614" t="str">
            <v>เยื่อไผ่ แขนสั้นขายาว กรม ขอบขาว ผู้ชาย M</v>
          </cell>
          <cell r="E12614">
            <v>0</v>
          </cell>
          <cell r="F12614">
            <v>890</v>
          </cell>
        </row>
        <row r="12615">
          <cell r="A12615" t="str">
            <v>Y0024-XL</v>
          </cell>
          <cell r="B12615" t="str">
            <v>Y24</v>
          </cell>
          <cell r="C12615" t="str">
            <v>เยื่อไผ่ แขนสั้นขายาว กรม ขอบขาว ผู้ชาย XL</v>
          </cell>
          <cell r="E12615">
            <v>0</v>
          </cell>
          <cell r="F12615">
            <v>890</v>
          </cell>
        </row>
        <row r="12616">
          <cell r="A12616" t="str">
            <v>Y0024-XXL</v>
          </cell>
          <cell r="B12616" t="str">
            <v>Y24</v>
          </cell>
          <cell r="E12616">
            <v>0</v>
          </cell>
          <cell r="F12616">
            <v>0</v>
          </cell>
        </row>
        <row r="12617">
          <cell r="A12617" t="str">
            <v>Y0025-2XL</v>
          </cell>
          <cell r="B12617" t="str">
            <v>Y25</v>
          </cell>
          <cell r="C12617" t="str">
            <v>เยื่อไผ่ แขนสั้นขายาว ครีม ขอบขาว ผู้ชาย 2XL</v>
          </cell>
          <cell r="E12617">
            <v>0</v>
          </cell>
          <cell r="F12617">
            <v>890</v>
          </cell>
        </row>
        <row r="12618">
          <cell r="A12618" t="str">
            <v>Y0025-L</v>
          </cell>
          <cell r="B12618" t="str">
            <v>Y25</v>
          </cell>
          <cell r="C12618" t="str">
            <v>เยื่อไผ่ แขนสั้นขายาว ครีม ขอบขาว ผู้ชาย L</v>
          </cell>
          <cell r="E12618">
            <v>0</v>
          </cell>
          <cell r="F12618">
            <v>890</v>
          </cell>
        </row>
        <row r="12619">
          <cell r="A12619" t="str">
            <v>Y0025-M</v>
          </cell>
          <cell r="B12619" t="str">
            <v>Y25</v>
          </cell>
          <cell r="C12619" t="str">
            <v>เยื่อไผ่ แขนสั้นขายาว ครีม ขอบขาว ผู้ชาย M</v>
          </cell>
          <cell r="E12619">
            <v>0</v>
          </cell>
          <cell r="F12619">
            <v>890</v>
          </cell>
        </row>
        <row r="12620">
          <cell r="A12620" t="str">
            <v>Y0025-XL</v>
          </cell>
          <cell r="B12620" t="str">
            <v>Y25</v>
          </cell>
          <cell r="C12620" t="str">
            <v>เยื่อไผ่ แขนสั้นขายาว ครีม ขอบขาว ผู้ชาย XL</v>
          </cell>
          <cell r="E12620">
            <v>0</v>
          </cell>
          <cell r="F12620">
            <v>890</v>
          </cell>
        </row>
        <row r="12621">
          <cell r="A12621" t="str">
            <v>Y0026-L</v>
          </cell>
          <cell r="B12621" t="str">
            <v>Y26</v>
          </cell>
          <cell r="C12621" t="str">
            <v>ซาติน แขนยาวขายาว สีกรมไม่มีขอบ ผช L</v>
          </cell>
          <cell r="E12621">
            <v>0</v>
          </cell>
          <cell r="F12621">
            <v>950</v>
          </cell>
        </row>
        <row r="12622">
          <cell r="A12622" t="str">
            <v>Y0026-XL</v>
          </cell>
          <cell r="B12622" t="str">
            <v>Y26</v>
          </cell>
          <cell r="C12622" t="str">
            <v>ซาติน แขนยาวขายาว สีกรมไม่มีขอบ ผช XL</v>
          </cell>
          <cell r="E12622">
            <v>0</v>
          </cell>
          <cell r="F12622">
            <v>950</v>
          </cell>
        </row>
        <row r="12623">
          <cell r="A12623" t="str">
            <v>Y0027-L</v>
          </cell>
          <cell r="B12623" t="str">
            <v>Y27</v>
          </cell>
          <cell r="C12623" t="str">
            <v>ซาติน แขนยาวขายาว สีกรม คอปก มีขอบ ผช L</v>
          </cell>
          <cell r="E12623">
            <v>0</v>
          </cell>
          <cell r="F12623">
            <v>950</v>
          </cell>
        </row>
        <row r="12624">
          <cell r="A12624" t="str">
            <v>Y0027-M</v>
          </cell>
          <cell r="B12624" t="str">
            <v>Y27</v>
          </cell>
          <cell r="C12624" t="str">
            <v>ซาติน แขนยาวขายาว สีกรม คอปก มีขอบ ผช M</v>
          </cell>
          <cell r="E12624">
            <v>0</v>
          </cell>
          <cell r="F12624">
            <v>950</v>
          </cell>
        </row>
        <row r="12625">
          <cell r="A12625" t="str">
            <v>Y0028-L</v>
          </cell>
          <cell r="B12625" t="str">
            <v>Y28</v>
          </cell>
          <cell r="C12625" t="str">
            <v>ซาติน แขนยาวขายาว สีเทา คอปก มีขอบ ผช L</v>
          </cell>
          <cell r="E12625">
            <v>0</v>
          </cell>
          <cell r="F12625">
            <v>950</v>
          </cell>
        </row>
        <row r="12626">
          <cell r="A12626" t="str">
            <v>Y0028-M</v>
          </cell>
          <cell r="B12626" t="str">
            <v>Y28</v>
          </cell>
          <cell r="C12626" t="str">
            <v>ซาติน แขนยาวขายาว สีเทา คอปก มีขอบ ผช M</v>
          </cell>
          <cell r="E12626">
            <v>0</v>
          </cell>
          <cell r="F12626">
            <v>950</v>
          </cell>
        </row>
        <row r="12627">
          <cell r="A12627" t="str">
            <v>Y0029-L</v>
          </cell>
          <cell r="B12627" t="str">
            <v>Y29</v>
          </cell>
          <cell r="C12627" t="str">
            <v>ซาติน แขนยาวขายาว สีฟ้า ผช L</v>
          </cell>
          <cell r="E12627">
            <v>0</v>
          </cell>
          <cell r="F12627">
            <v>950</v>
          </cell>
        </row>
        <row r="12628">
          <cell r="A12628" t="str">
            <v>Y0029-M</v>
          </cell>
          <cell r="B12628" t="str">
            <v>Y29</v>
          </cell>
          <cell r="C12628" t="str">
            <v>ซาติน แขนยาวขายาว สีฟ้า ผช M</v>
          </cell>
          <cell r="E12628">
            <v>0</v>
          </cell>
          <cell r="F12628">
            <v>950</v>
          </cell>
        </row>
        <row r="12629">
          <cell r="A12629" t="str">
            <v>Y0029-XL</v>
          </cell>
          <cell r="B12629" t="str">
            <v>Y29</v>
          </cell>
          <cell r="C12629" t="str">
            <v>ซาติน แขนยาวขายาว สีฟ้า ผช XL</v>
          </cell>
          <cell r="E12629">
            <v>0</v>
          </cell>
          <cell r="F12629">
            <v>950</v>
          </cell>
        </row>
        <row r="12630">
          <cell r="A12630" t="str">
            <v>Y0030-L</v>
          </cell>
          <cell r="B12630" t="str">
            <v>Y30</v>
          </cell>
          <cell r="C12630" t="str">
            <v>ซาติน แขนยาวขายาว สีกรม ผช L</v>
          </cell>
          <cell r="E12630">
            <v>0</v>
          </cell>
          <cell r="F12630">
            <v>950</v>
          </cell>
        </row>
        <row r="12631">
          <cell r="A12631" t="str">
            <v>Y0030-M</v>
          </cell>
          <cell r="B12631" t="str">
            <v>Y30</v>
          </cell>
          <cell r="C12631" t="str">
            <v>ซาติน แขนยาวขายาว สีกรม ผช M</v>
          </cell>
          <cell r="E12631">
            <v>0</v>
          </cell>
          <cell r="F12631">
            <v>950</v>
          </cell>
        </row>
        <row r="12632">
          <cell r="A12632" t="str">
            <v>Y0030-XL</v>
          </cell>
          <cell r="B12632" t="str">
            <v>Y30</v>
          </cell>
          <cell r="C12632" t="str">
            <v>ซาติน แขนยาวขายาว สีกรม ผช XL</v>
          </cell>
          <cell r="E12632">
            <v>0</v>
          </cell>
          <cell r="F12632">
            <v>950</v>
          </cell>
        </row>
        <row r="12633">
          <cell r="A12633" t="str">
            <v>Y0031-L</v>
          </cell>
          <cell r="B12633" t="str">
            <v>Y31</v>
          </cell>
          <cell r="C12633" t="str">
            <v>เยื่อไผ่ แขนสั้นขายาว ตารางกรม ผู้ชาย L</v>
          </cell>
          <cell r="E12633">
            <v>0</v>
          </cell>
          <cell r="F12633">
            <v>890</v>
          </cell>
        </row>
        <row r="12634">
          <cell r="A12634" t="str">
            <v>Y0031-M</v>
          </cell>
          <cell r="B12634" t="str">
            <v>Y31</v>
          </cell>
          <cell r="C12634" t="str">
            <v>เยื่อไผ่ แขนสั้นขายาว ตารางกรม ผู้ชาย M</v>
          </cell>
          <cell r="E12634">
            <v>0</v>
          </cell>
          <cell r="F12634">
            <v>890</v>
          </cell>
        </row>
        <row r="12635">
          <cell r="A12635" t="str">
            <v>Y0031-XL</v>
          </cell>
          <cell r="B12635" t="str">
            <v>Y31</v>
          </cell>
          <cell r="C12635" t="str">
            <v>เยื่อไผ่ แขนสั้นขายาว ตารางกรม ผู้ชาย XL</v>
          </cell>
          <cell r="E12635">
            <v>0</v>
          </cell>
          <cell r="F12635">
            <v>890</v>
          </cell>
        </row>
        <row r="12636">
          <cell r="A12636" t="str">
            <v>Y0032-L</v>
          </cell>
          <cell r="B12636" t="str">
            <v>Y32</v>
          </cell>
          <cell r="C12636" t="str">
            <v>เยื่อไผ่ แขนยาวขายาว ตารางกรม ผู้ชาย L</v>
          </cell>
          <cell r="E12636">
            <v>0</v>
          </cell>
          <cell r="F12636">
            <v>950</v>
          </cell>
        </row>
        <row r="12637">
          <cell r="A12637" t="str">
            <v>Y0032-M</v>
          </cell>
          <cell r="B12637" t="str">
            <v>Y32</v>
          </cell>
          <cell r="C12637" t="str">
            <v>เยื่อไผ่ แขนยาวขายาว ตารางกรม ผู้ชาย M</v>
          </cell>
          <cell r="E12637">
            <v>0</v>
          </cell>
          <cell r="F12637">
            <v>950</v>
          </cell>
        </row>
        <row r="12638">
          <cell r="A12638" t="str">
            <v>Y0032-XL</v>
          </cell>
          <cell r="B12638" t="str">
            <v>Y32</v>
          </cell>
          <cell r="C12638" t="str">
            <v>เยื่อไผ่ แขนยาวขายาว ตารางกรม ผู้ชาย XL</v>
          </cell>
          <cell r="E12638">
            <v>0</v>
          </cell>
          <cell r="F12638">
            <v>950</v>
          </cell>
        </row>
        <row r="12639">
          <cell r="A12639" t="str">
            <v>Y0033-L</v>
          </cell>
          <cell r="B12639" t="str">
            <v>Y33</v>
          </cell>
          <cell r="C12639" t="str">
            <v>เยื่อไผ่ แขนสั้นขายาว ตารางเทา ผู้ชาย L</v>
          </cell>
          <cell r="E12639">
            <v>0</v>
          </cell>
          <cell r="F12639">
            <v>890</v>
          </cell>
        </row>
        <row r="12640">
          <cell r="A12640" t="str">
            <v>Y0033-M</v>
          </cell>
          <cell r="B12640" t="str">
            <v>Y33</v>
          </cell>
          <cell r="C12640" t="str">
            <v>เยื่อไผ่ แขนสั้นขายาว ตารางเทา ผู้ชาย M</v>
          </cell>
          <cell r="E12640">
            <v>0</v>
          </cell>
          <cell r="F12640">
            <v>890</v>
          </cell>
        </row>
        <row r="12641">
          <cell r="A12641" t="str">
            <v>Y0033-XL</v>
          </cell>
          <cell r="B12641" t="str">
            <v>Y33</v>
          </cell>
          <cell r="C12641" t="str">
            <v>เยื่อไผ่ แขนสั้นขายาว ตารางเทา ผู้ชาย XL</v>
          </cell>
          <cell r="E12641">
            <v>0</v>
          </cell>
          <cell r="F12641">
            <v>890</v>
          </cell>
        </row>
        <row r="12642">
          <cell r="A12642" t="str">
            <v>Y0034-L</v>
          </cell>
          <cell r="B12642" t="str">
            <v>Y34</v>
          </cell>
          <cell r="C12642" t="str">
            <v>เยื่อไผ่ แขนยาวขายาว ตารางเทา ผู้ชาย L</v>
          </cell>
          <cell r="E12642">
            <v>0</v>
          </cell>
          <cell r="F12642">
            <v>950</v>
          </cell>
        </row>
        <row r="12643">
          <cell r="A12643" t="str">
            <v>Y0034-M</v>
          </cell>
          <cell r="B12643" t="str">
            <v>Y34</v>
          </cell>
          <cell r="C12643" t="str">
            <v>เยื่อไผ่ แขนยาวขายาว ตารางเทา ผู้ชาย M</v>
          </cell>
          <cell r="E12643">
            <v>0</v>
          </cell>
          <cell r="F12643">
            <v>950</v>
          </cell>
        </row>
        <row r="12644">
          <cell r="A12644" t="str">
            <v>Y0034-XL</v>
          </cell>
          <cell r="B12644" t="str">
            <v>Y34</v>
          </cell>
          <cell r="C12644" t="str">
            <v>เยื่อไผ่ แขนยาวขายาว ตารางเทา ผู้ชาย XL</v>
          </cell>
          <cell r="E12644">
            <v>0</v>
          </cell>
          <cell r="F12644">
            <v>950</v>
          </cell>
        </row>
        <row r="12645">
          <cell r="A12645" t="str">
            <v>Y0035-L</v>
          </cell>
          <cell r="B12645" t="str">
            <v>Y35</v>
          </cell>
          <cell r="C12645" t="str">
            <v>เยื่อไผ่ แขนสั้นขายาว ตารางดำ ผู้ชาย L</v>
          </cell>
          <cell r="E12645">
            <v>0</v>
          </cell>
          <cell r="F12645">
            <v>890</v>
          </cell>
        </row>
        <row r="12646">
          <cell r="A12646" t="str">
            <v>Y0035-M</v>
          </cell>
          <cell r="B12646" t="str">
            <v>Y35</v>
          </cell>
          <cell r="C12646" t="str">
            <v>เยื่อไผ่ แขนสั้นขายาว ตารางดำ ผู้ชาย M</v>
          </cell>
          <cell r="E12646">
            <v>0</v>
          </cell>
          <cell r="F12646">
            <v>890</v>
          </cell>
        </row>
        <row r="12647">
          <cell r="A12647" t="str">
            <v>Y0035-XL</v>
          </cell>
          <cell r="B12647" t="str">
            <v>Y35</v>
          </cell>
          <cell r="C12647" t="str">
            <v>เยื่อไผ่ แขนสั้นขายาว ตารางดำ ผู้ชาย XL</v>
          </cell>
          <cell r="E12647">
            <v>0</v>
          </cell>
          <cell r="F12647">
            <v>890</v>
          </cell>
        </row>
        <row r="12648">
          <cell r="A12648" t="str">
            <v>Y0036-L</v>
          </cell>
          <cell r="B12648" t="str">
            <v>Y36</v>
          </cell>
          <cell r="C12648" t="str">
            <v>เยื่อไผ่ แขนยาวขายาว ตารางดำ ผู้ชาย L</v>
          </cell>
          <cell r="E12648">
            <v>0</v>
          </cell>
          <cell r="F12648">
            <v>950</v>
          </cell>
        </row>
        <row r="12649">
          <cell r="A12649" t="str">
            <v>Y0036-M</v>
          </cell>
          <cell r="B12649" t="str">
            <v>Y36</v>
          </cell>
          <cell r="C12649" t="str">
            <v>เยื่อไผ่ แขนยาวขายาว ตารางดำ ผู้ชาย M</v>
          </cell>
          <cell r="E12649">
            <v>0</v>
          </cell>
          <cell r="F12649">
            <v>950</v>
          </cell>
        </row>
        <row r="12650">
          <cell r="A12650" t="str">
            <v>Y0036-XL</v>
          </cell>
          <cell r="B12650" t="str">
            <v>Y36</v>
          </cell>
          <cell r="C12650" t="str">
            <v>เยื่อไผ่ แขนยาวขายาว ตารางดำ ผู้ชาย XL</v>
          </cell>
          <cell r="E12650">
            <v>0</v>
          </cell>
          <cell r="F12650">
            <v>950</v>
          </cell>
        </row>
        <row r="12651">
          <cell r="A12651" t="str">
            <v>Y0037-2XL</v>
          </cell>
          <cell r="B12651" t="str">
            <v>BY37</v>
          </cell>
          <cell r="C12651" t="str">
            <v>เยื่อไผ่ แขนสั้นขายาว ฟ้า ขอบขาว ชาย 2XL</v>
          </cell>
          <cell r="E12651">
            <v>0</v>
          </cell>
          <cell r="F12651">
            <v>890</v>
          </cell>
        </row>
        <row r="12652">
          <cell r="A12652" t="str">
            <v>Y0037-L</v>
          </cell>
          <cell r="B12652" t="str">
            <v>JY37</v>
          </cell>
          <cell r="C12652" t="str">
            <v>เยื่อไผ่ แขนสั้นขายาว ฟ้า ขอบขาว ชาย L ตัวโชว์</v>
          </cell>
          <cell r="E12652">
            <v>0</v>
          </cell>
          <cell r="F12652">
            <v>890</v>
          </cell>
        </row>
        <row r="12653">
          <cell r="A12653" t="str">
            <v>Y0037-M</v>
          </cell>
          <cell r="B12653" t="str">
            <v>JY37</v>
          </cell>
          <cell r="C12653" t="str">
            <v>เยื่อไผ่ แขนสั้นขายาว ฟ้า ขอบขาว ชาย M ตัวโชว์</v>
          </cell>
          <cell r="E12653">
            <v>0</v>
          </cell>
          <cell r="F12653">
            <v>890</v>
          </cell>
        </row>
        <row r="12654">
          <cell r="A12654" t="str">
            <v>Y0037-XL</v>
          </cell>
          <cell r="B12654" t="str">
            <v>Y37</v>
          </cell>
          <cell r="C12654" t="str">
            <v>เยื่อไผ่ แขนสั้นขายาว ฟา ขอบขาว ชาย XL</v>
          </cell>
          <cell r="E12654">
            <v>0</v>
          </cell>
          <cell r="F12654">
            <v>890</v>
          </cell>
        </row>
        <row r="12655">
          <cell r="A12655" t="str">
            <v>Y0038-2XL</v>
          </cell>
          <cell r="B12655" t="str">
            <v>Y38</v>
          </cell>
          <cell r="C12655" t="str">
            <v>เยื่อไผ่ แขนสั้นขายาว เทา ขอบขาว ชาย 2XL</v>
          </cell>
          <cell r="E12655">
            <v>0</v>
          </cell>
          <cell r="F12655">
            <v>890</v>
          </cell>
        </row>
        <row r="12656">
          <cell r="A12656" t="str">
            <v>Y0038-L</v>
          </cell>
          <cell r="B12656" t="str">
            <v>Y38</v>
          </cell>
          <cell r="C12656" t="str">
            <v>เยื่อไผ่ แขนสั้นขายาว เทา ขอบขาว ชาย L</v>
          </cell>
          <cell r="E12656">
            <v>0</v>
          </cell>
          <cell r="F12656">
            <v>890</v>
          </cell>
        </row>
        <row r="12657">
          <cell r="A12657" t="str">
            <v>Y0038-M</v>
          </cell>
          <cell r="B12657" t="str">
            <v>Y38</v>
          </cell>
          <cell r="C12657" t="str">
            <v>เยื่อไผ่ แขนสั้นขายาว เทา ขอบขาว ชาย M</v>
          </cell>
          <cell r="E12657">
            <v>0</v>
          </cell>
          <cell r="F12657">
            <v>890</v>
          </cell>
        </row>
        <row r="12658">
          <cell r="A12658" t="str">
            <v>Y0038-XL</v>
          </cell>
          <cell r="B12658" t="str">
            <v>Y38</v>
          </cell>
          <cell r="C12658" t="str">
            <v>เยื่อไผ่ แขนสั้นขายาว เทา ขอบขาว ชาย XL</v>
          </cell>
          <cell r="E12658">
            <v>0</v>
          </cell>
          <cell r="F12658">
            <v>890</v>
          </cell>
        </row>
        <row r="12659">
          <cell r="A12659" t="str">
            <v>Y0039-2XL</v>
          </cell>
          <cell r="B12659" t="str">
            <v>Y39</v>
          </cell>
          <cell r="C12659" t="str">
            <v>ชาติน แขนสั้นขาสั้น ฟ้า ขอบขาว 2XL</v>
          </cell>
          <cell r="E12659">
            <v>0</v>
          </cell>
          <cell r="F12659">
            <v>790</v>
          </cell>
        </row>
        <row r="12660">
          <cell r="A12660" t="str">
            <v>Y0039-L</v>
          </cell>
          <cell r="B12660" t="str">
            <v>Y39</v>
          </cell>
          <cell r="C12660" t="str">
            <v>ชาติน แขนสั้นขาสั้น ฟ้า ขอบขาว L</v>
          </cell>
          <cell r="E12660">
            <v>0</v>
          </cell>
          <cell r="F12660">
            <v>790</v>
          </cell>
        </row>
        <row r="12661">
          <cell r="A12661" t="str">
            <v>Y0039-M</v>
          </cell>
          <cell r="B12661" t="str">
            <v>Y39</v>
          </cell>
          <cell r="C12661" t="str">
            <v>ชาติน แขนสั้นขาสั้น ฟ้า ขอบขาว M</v>
          </cell>
          <cell r="E12661">
            <v>0</v>
          </cell>
          <cell r="F12661">
            <v>890</v>
          </cell>
        </row>
        <row r="12662">
          <cell r="A12662" t="str">
            <v>Y0039-XL</v>
          </cell>
          <cell r="B12662" t="str">
            <v>Y39</v>
          </cell>
          <cell r="C12662" t="str">
            <v>ชาติน แขนสั้นขาสั้น ฟ้า ขอบขาว XL</v>
          </cell>
          <cell r="E12662">
            <v>0</v>
          </cell>
          <cell r="F12662">
            <v>790</v>
          </cell>
        </row>
        <row r="12663">
          <cell r="A12663" t="str">
            <v>Y0040-2XL</v>
          </cell>
          <cell r="B12663" t="str">
            <v>Y40</v>
          </cell>
          <cell r="C12663" t="str">
            <v>ชาติน แขนสั้นขาสั้น กรม ขอบขาว 2XL</v>
          </cell>
          <cell r="E12663">
            <v>0</v>
          </cell>
          <cell r="F12663">
            <v>790</v>
          </cell>
        </row>
        <row r="12664">
          <cell r="A12664" t="str">
            <v>Y0040-L</v>
          </cell>
          <cell r="B12664" t="str">
            <v>Y40</v>
          </cell>
          <cell r="C12664" t="str">
            <v>ชาติน แขนสั้นขาสั้น กรม ขอบขาว L</v>
          </cell>
          <cell r="E12664">
            <v>0</v>
          </cell>
          <cell r="F12664">
            <v>790</v>
          </cell>
        </row>
        <row r="12665">
          <cell r="A12665" t="str">
            <v>Y0040-M</v>
          </cell>
          <cell r="B12665" t="str">
            <v>Y40</v>
          </cell>
          <cell r="C12665" t="str">
            <v>ชาติน แขนสั้นขาสั้น กรม ขอบขาว M</v>
          </cell>
          <cell r="E12665">
            <v>0</v>
          </cell>
          <cell r="F12665">
            <v>890</v>
          </cell>
        </row>
        <row r="12666">
          <cell r="A12666" t="str">
            <v>Y0040-XL</v>
          </cell>
          <cell r="B12666" t="str">
            <v>Y40</v>
          </cell>
          <cell r="C12666" t="str">
            <v>ชาติน แขนสั้นขาสั้น กรม ขอบขาว XL</v>
          </cell>
          <cell r="E12666">
            <v>0</v>
          </cell>
          <cell r="F12666">
            <v>790</v>
          </cell>
        </row>
        <row r="12667">
          <cell r="A12667" t="str">
            <v>Y0041-L</v>
          </cell>
          <cell r="B12667" t="str">
            <v>Y41</v>
          </cell>
          <cell r="C12667" t="str">
            <v>ซาติน แขนยาวขายาว สีกรม ขอบเงิน L</v>
          </cell>
          <cell r="E12667">
            <v>0</v>
          </cell>
          <cell r="F12667">
            <v>950</v>
          </cell>
        </row>
        <row r="12668">
          <cell r="A12668" t="str">
            <v>Y0041-M</v>
          </cell>
          <cell r="B12668" t="str">
            <v>Y41</v>
          </cell>
          <cell r="C12668" t="str">
            <v>ซาติน แขนยาวขายาว สีกรม ขอบเงิน M</v>
          </cell>
          <cell r="E12668">
            <v>0</v>
          </cell>
          <cell r="F12668">
            <v>950</v>
          </cell>
        </row>
        <row r="12669">
          <cell r="A12669" t="str">
            <v>Y0041-XL</v>
          </cell>
          <cell r="B12669" t="str">
            <v>Y41</v>
          </cell>
          <cell r="C12669" t="str">
            <v>ซาติน แขนยาวขายาว สีกรม ขอบเงิน XL</v>
          </cell>
          <cell r="E12669">
            <v>0</v>
          </cell>
          <cell r="F12669">
            <v>950</v>
          </cell>
        </row>
        <row r="12670">
          <cell r="A12670" t="str">
            <v>Y0042-L</v>
          </cell>
          <cell r="B12670" t="str">
            <v>Y42</v>
          </cell>
          <cell r="C12670" t="str">
            <v>เยื่อไผ่ แขนสั้นขายาว จุดเล็ก พื้นฟ้า ผู้ชาย L</v>
          </cell>
          <cell r="E12670">
            <v>0</v>
          </cell>
          <cell r="F12670">
            <v>890</v>
          </cell>
        </row>
        <row r="12671">
          <cell r="A12671" t="str">
            <v>Y0042-M</v>
          </cell>
          <cell r="B12671" t="str">
            <v>Y42</v>
          </cell>
          <cell r="C12671" t="str">
            <v>เยื่อไผ่ แขนสั้นขายาว จุดเล็ก พื้นฟ้า ผู้ชาย M</v>
          </cell>
          <cell r="E12671">
            <v>0</v>
          </cell>
          <cell r="F12671">
            <v>890</v>
          </cell>
        </row>
        <row r="12672">
          <cell r="A12672" t="str">
            <v>Y0042-XL</v>
          </cell>
          <cell r="B12672" t="str">
            <v>Y42</v>
          </cell>
          <cell r="C12672" t="str">
            <v>เยื่อไผ่ แขนสั้นขายาว จุดเล็ก พื้นฟ้า ผู้ชาย XL</v>
          </cell>
          <cell r="E12672">
            <v>0</v>
          </cell>
          <cell r="F12672">
            <v>890</v>
          </cell>
        </row>
        <row r="12673">
          <cell r="A12673" t="str">
            <v>Y0043-L</v>
          </cell>
          <cell r="B12673" t="str">
            <v>Y43</v>
          </cell>
          <cell r="C12673" t="str">
            <v>เยื่อไผ่ แขนยาวขายาว ลายทางเทา น้องหมา ผู้ชาย L</v>
          </cell>
          <cell r="E12673">
            <v>0</v>
          </cell>
          <cell r="F12673">
            <v>950</v>
          </cell>
        </row>
        <row r="12674">
          <cell r="A12674" t="str">
            <v>Y0043-XL</v>
          </cell>
          <cell r="B12674" t="str">
            <v>Y43</v>
          </cell>
          <cell r="C12674" t="str">
            <v>เยื่อไผ่ แขนยาวขายาว ลายทางเทา น้องหมา ผู้ชาย XL</v>
          </cell>
          <cell r="E12674">
            <v>0</v>
          </cell>
          <cell r="F12674">
            <v>950</v>
          </cell>
        </row>
        <row r="12675">
          <cell r="A12675" t="str">
            <v>Y0044-L</v>
          </cell>
          <cell r="B12675" t="str">
            <v>Y44</v>
          </cell>
          <cell r="C12675" t="str">
            <v>เยื่อไผ่ แขนสั้นขาสั้น พื้นฟ้า ผู้ชาย L</v>
          </cell>
          <cell r="E12675">
            <v>0</v>
          </cell>
          <cell r="F12675">
            <v>790</v>
          </cell>
        </row>
        <row r="12676">
          <cell r="A12676" t="str">
            <v>Y0044-M</v>
          </cell>
          <cell r="B12676" t="str">
            <v>Y44</v>
          </cell>
          <cell r="C12676" t="str">
            <v>เยื่อไผ่ แขนสั้นขาสั้น พื้นฟ้า ผู้ชาย M</v>
          </cell>
          <cell r="E12676">
            <v>0</v>
          </cell>
          <cell r="F12676">
            <v>790</v>
          </cell>
        </row>
        <row r="12677">
          <cell r="A12677" t="str">
            <v>Y0045-L</v>
          </cell>
          <cell r="B12677" t="str">
            <v>Y45</v>
          </cell>
          <cell r="C12677" t="str">
            <v>ซาติน แขนยาวขายาว STAR พื้นฟ้า L</v>
          </cell>
          <cell r="E12677">
            <v>0</v>
          </cell>
          <cell r="F12677">
            <v>950</v>
          </cell>
        </row>
        <row r="12678">
          <cell r="A12678" t="str">
            <v>Y0045-XL</v>
          </cell>
          <cell r="B12678" t="str">
            <v>Y45</v>
          </cell>
          <cell r="C12678" t="str">
            <v>ซาติน แขนยาวขายาว STAR พื้นฟ้า XL</v>
          </cell>
          <cell r="E12678">
            <v>0</v>
          </cell>
          <cell r="F12678">
            <v>950</v>
          </cell>
        </row>
        <row r="12679">
          <cell r="A12679" t="str">
            <v>Y0046-2XL</v>
          </cell>
          <cell r="B12679" t="str">
            <v>Y46</v>
          </cell>
          <cell r="C12679" t="str">
            <v>เยื่อไผ่ แขนสั้นขายาว พื้นดำ ลายทางแดงเลือดหมู ผู้ชาย 2XL</v>
          </cell>
          <cell r="E12679">
            <v>0</v>
          </cell>
          <cell r="F12679">
            <v>890</v>
          </cell>
        </row>
        <row r="12680">
          <cell r="A12680" t="str">
            <v>Y0046-L</v>
          </cell>
          <cell r="B12680" t="str">
            <v>Y46</v>
          </cell>
          <cell r="C12680" t="str">
            <v>เยื่อไผ่ แขนสั้นขายาว พื้นดำ ลายทางแดงเลือดหมู ผู้ชาย L</v>
          </cell>
          <cell r="E12680">
            <v>0</v>
          </cell>
          <cell r="F12680">
            <v>890</v>
          </cell>
        </row>
        <row r="12681">
          <cell r="A12681" t="str">
            <v>Y0046-M</v>
          </cell>
          <cell r="B12681" t="str">
            <v>JY46</v>
          </cell>
          <cell r="C12681" t="str">
            <v>เยื่อไผ่ แขนสั้นขายาว พื้นดำ ลายทางแดงเลือดหมู ผู้ชาย M ตัวโชว์</v>
          </cell>
          <cell r="E12681">
            <v>0</v>
          </cell>
          <cell r="F12681">
            <v>890</v>
          </cell>
        </row>
        <row r="12682">
          <cell r="A12682" t="str">
            <v>Y0046-XL</v>
          </cell>
          <cell r="B12682" t="str">
            <v>Y46</v>
          </cell>
          <cell r="C12682" t="str">
            <v>เยื่อไผ่ แขนสั้นขายาว พื้นดำ ลายทางแดงเลือดหมู ผู้ชาย XL</v>
          </cell>
          <cell r="E12682">
            <v>0</v>
          </cell>
          <cell r="F12682">
            <v>890</v>
          </cell>
        </row>
        <row r="12683">
          <cell r="A12683" t="str">
            <v>Y0047-2XL</v>
          </cell>
          <cell r="B12683" t="str">
            <v>Y47</v>
          </cell>
          <cell r="C12683" t="str">
            <v>ซาติน แขนยาวขายาว ลายตัวหนังสือ พื้นฟ้า 2XL</v>
          </cell>
          <cell r="E12683">
            <v>0</v>
          </cell>
          <cell r="F12683">
            <v>950</v>
          </cell>
        </row>
        <row r="12684">
          <cell r="A12684" t="str">
            <v>Y0047-L</v>
          </cell>
          <cell r="B12684" t="str">
            <v>Y47</v>
          </cell>
          <cell r="C12684" t="str">
            <v>ซาติน แขนยาวขายาว ลายตัวหนังสือ พื้นฟ้า L</v>
          </cell>
          <cell r="E12684">
            <v>0</v>
          </cell>
          <cell r="F12684">
            <v>750</v>
          </cell>
        </row>
        <row r="12685">
          <cell r="A12685" t="str">
            <v>Y0047-M</v>
          </cell>
          <cell r="B12685" t="str">
            <v>Y47</v>
          </cell>
          <cell r="C12685" t="str">
            <v>ซาติน แขนยาวขายาว ลายตัวหนังสือ พื้นฟ้า M</v>
          </cell>
          <cell r="E12685">
            <v>0</v>
          </cell>
          <cell r="F12685">
            <v>950</v>
          </cell>
        </row>
        <row r="12686">
          <cell r="A12686" t="str">
            <v>Y0047-XL</v>
          </cell>
          <cell r="B12686" t="str">
            <v>Y47</v>
          </cell>
          <cell r="C12686" t="str">
            <v>ซาติน แขนยาวขายาว ลายตัวหนังสือ พื้นฟ้า XL</v>
          </cell>
          <cell r="E12686">
            <v>0</v>
          </cell>
          <cell r="F12686">
            <v>950</v>
          </cell>
        </row>
        <row r="12687">
          <cell r="A12687" t="str">
            <v>Y0048-2XL</v>
          </cell>
          <cell r="B12687" t="str">
            <v>Y48</v>
          </cell>
          <cell r="C12687" t="str">
            <v>ซาติน แขนยาวขายาว ลายตัวหนังสือ พื้นกรม 2XL</v>
          </cell>
          <cell r="E12687">
            <v>0</v>
          </cell>
          <cell r="F12687">
            <v>950</v>
          </cell>
        </row>
        <row r="12688">
          <cell r="A12688" t="str">
            <v>Y0048-L</v>
          </cell>
          <cell r="B12688" t="str">
            <v>Y48</v>
          </cell>
          <cell r="C12688" t="str">
            <v>ซาติน แขนยาวขายาว ลายตัวหนังสือ พื้นกรม L</v>
          </cell>
          <cell r="E12688">
            <v>0</v>
          </cell>
          <cell r="F12688">
            <v>950</v>
          </cell>
        </row>
        <row r="12689">
          <cell r="A12689" t="str">
            <v>Y0048-M</v>
          </cell>
          <cell r="B12689" t="str">
            <v>Y48</v>
          </cell>
          <cell r="C12689" t="str">
            <v>ซาติน แขนยาวขายาว ลายตัวหนังสือ พื้นกรม M</v>
          </cell>
          <cell r="E12689">
            <v>0</v>
          </cell>
          <cell r="F12689">
            <v>950</v>
          </cell>
        </row>
        <row r="12690">
          <cell r="A12690" t="str">
            <v>Y0048-XL</v>
          </cell>
          <cell r="B12690" t="str">
            <v>Y48</v>
          </cell>
          <cell r="C12690" t="str">
            <v>ซาติน แขนยาวขายาว ลายตัวหนังสือ พื้นกรม XL</v>
          </cell>
          <cell r="E12690">
            <v>0</v>
          </cell>
          <cell r="F12690">
            <v>950</v>
          </cell>
        </row>
        <row r="12691">
          <cell r="A12691" t="str">
            <v>Y0049-2XL</v>
          </cell>
          <cell r="B12691" t="str">
            <v>JY49</v>
          </cell>
          <cell r="C12691" t="str">
            <v>ซาติน แขนยาวขายาว พื้นกรม ขอบเงิน 2XL ตัวโชว์</v>
          </cell>
          <cell r="E12691">
            <v>0</v>
          </cell>
          <cell r="F12691">
            <v>950</v>
          </cell>
        </row>
        <row r="12692">
          <cell r="A12692" t="str">
            <v>Y0049-L</v>
          </cell>
          <cell r="B12692" t="str">
            <v>Y49</v>
          </cell>
          <cell r="C12692" t="str">
            <v>ซาติน แขนยาวขายาว พื้นกรม ขอบเงิน L</v>
          </cell>
          <cell r="E12692">
            <v>0</v>
          </cell>
          <cell r="F12692">
            <v>950</v>
          </cell>
        </row>
        <row r="12693">
          <cell r="A12693" t="str">
            <v>Y0049-M</v>
          </cell>
          <cell r="B12693" t="str">
            <v>Y49</v>
          </cell>
          <cell r="C12693" t="str">
            <v>ซาติน แขนยาวขายาว พื้นกรม ขอบเงิน M</v>
          </cell>
          <cell r="E12693">
            <v>0</v>
          </cell>
          <cell r="F12693">
            <v>950</v>
          </cell>
        </row>
        <row r="12694">
          <cell r="A12694" t="str">
            <v>Y0049-XL</v>
          </cell>
          <cell r="B12694" t="str">
            <v>Y49</v>
          </cell>
          <cell r="C12694" t="str">
            <v>ซาติน แขนยาวขายาว พื้นกรม ขอบเงิน XL</v>
          </cell>
          <cell r="E12694">
            <v>0</v>
          </cell>
          <cell r="F12694">
            <v>950</v>
          </cell>
        </row>
        <row r="12695">
          <cell r="A12695" t="str">
            <v>Y0050-2XL</v>
          </cell>
          <cell r="B12695" t="str">
            <v>Y50</v>
          </cell>
          <cell r="C12695" t="str">
            <v>ซาติน แขนยาวขายาว พื้นฟ้า ขอบเงิน 2XL</v>
          </cell>
          <cell r="E12695">
            <v>0</v>
          </cell>
          <cell r="F12695">
            <v>950</v>
          </cell>
        </row>
        <row r="12696">
          <cell r="A12696" t="str">
            <v>Y0050-L</v>
          </cell>
          <cell r="B12696" t="str">
            <v>Y50</v>
          </cell>
          <cell r="C12696" t="str">
            <v>ซาติน แขนยาวขายาว พื้นฟ้า ขอบเงิน L</v>
          </cell>
          <cell r="E12696">
            <v>0</v>
          </cell>
          <cell r="F12696">
            <v>950</v>
          </cell>
        </row>
        <row r="12697">
          <cell r="A12697" t="str">
            <v>Y0050-M</v>
          </cell>
          <cell r="B12697" t="str">
            <v>JY50</v>
          </cell>
          <cell r="C12697" t="str">
            <v>ซาติน แขนยาวขายาว พื้นฟ้า ขอบเงิน M ตัวโชว์</v>
          </cell>
          <cell r="E12697">
            <v>0</v>
          </cell>
          <cell r="F12697">
            <v>950</v>
          </cell>
        </row>
        <row r="12698">
          <cell r="A12698" t="str">
            <v>Y0050-XL</v>
          </cell>
          <cell r="B12698" t="str">
            <v>JY50</v>
          </cell>
          <cell r="C12698" t="str">
            <v>ซาติน แขนยาวขายาว พื้นฟ้า ขอบเงิน XL ตัวโชว์</v>
          </cell>
          <cell r="E12698">
            <v>0</v>
          </cell>
          <cell r="F12698">
            <v>950</v>
          </cell>
        </row>
        <row r="12699">
          <cell r="A12699" t="str">
            <v>Y0051-L</v>
          </cell>
          <cell r="B12699" t="str">
            <v>Y51</v>
          </cell>
          <cell r="C12699" t="str">
            <v>เยื่อไผ่ แขนยาวขายาว แมวดำ พื้นขาว ผู้ชาย L</v>
          </cell>
          <cell r="E12699">
            <v>0</v>
          </cell>
          <cell r="F12699">
            <v>950</v>
          </cell>
        </row>
        <row r="12700">
          <cell r="A12700" t="str">
            <v>Y0051-XL</v>
          </cell>
          <cell r="B12700" t="str">
            <v>Y51</v>
          </cell>
          <cell r="C12700" t="str">
            <v>เยื่อไผ่ แขนยาวขายาว แมวดำ พื้นขาว ผู้ชาย XL</v>
          </cell>
          <cell r="E12700">
            <v>0</v>
          </cell>
          <cell r="F12700">
            <v>950</v>
          </cell>
        </row>
        <row r="12701">
          <cell r="A12701" t="str">
            <v>Y0052-2XL</v>
          </cell>
          <cell r="B12701" t="str">
            <v>Y52</v>
          </cell>
          <cell r="C12701" t="str">
            <v>ซาติน แขนยาวขายาว ชิโนริ พื้นเทา ผู้ชาย 2XL</v>
          </cell>
          <cell r="E12701">
            <v>0</v>
          </cell>
          <cell r="F12701">
            <v>950</v>
          </cell>
        </row>
        <row r="12702">
          <cell r="A12702" t="str">
            <v>Y0052-L</v>
          </cell>
          <cell r="B12702" t="str">
            <v>Y52</v>
          </cell>
          <cell r="C12702" t="str">
            <v>ซาติน แขนยาวขายาว ชิโนริ พื้นเทา ผู้ชาย L</v>
          </cell>
          <cell r="E12702">
            <v>0</v>
          </cell>
          <cell r="F12702">
            <v>950</v>
          </cell>
        </row>
        <row r="12703">
          <cell r="A12703" t="str">
            <v>Y0052-M</v>
          </cell>
          <cell r="B12703" t="str">
            <v>Y52</v>
          </cell>
          <cell r="C12703" t="str">
            <v>ซาติน แขนยาวขายาว ชิโนริ พื้นเทา ผู้ชาย M</v>
          </cell>
          <cell r="E12703">
            <v>0</v>
          </cell>
          <cell r="F12703">
            <v>950</v>
          </cell>
        </row>
        <row r="12704">
          <cell r="A12704" t="str">
            <v>Y0052-XL</v>
          </cell>
          <cell r="B12704" t="str">
            <v>Y52</v>
          </cell>
          <cell r="C12704" t="str">
            <v>ซาติน แขนยาวขายาว ชิโนริ พื้นเทา ผู้ชาย XL</v>
          </cell>
          <cell r="E12704">
            <v>0</v>
          </cell>
          <cell r="F12704">
            <v>950</v>
          </cell>
        </row>
        <row r="12705">
          <cell r="A12705" t="str">
            <v>Y0053-2XL</v>
          </cell>
          <cell r="B12705" t="str">
            <v>Y53</v>
          </cell>
          <cell r="C12705" t="str">
            <v>ซาติน แขนยาวขายาว ชิโนริ พื้นดำ ผู้ชาย 2XL</v>
          </cell>
          <cell r="E12705">
            <v>0</v>
          </cell>
          <cell r="F12705">
            <v>950</v>
          </cell>
        </row>
        <row r="12706">
          <cell r="A12706" t="str">
            <v>Y0053-L</v>
          </cell>
          <cell r="B12706" t="str">
            <v>Y53</v>
          </cell>
          <cell r="C12706" t="str">
            <v>ซาติน แขนยาวขายาว ชิโนริ พื้นดำ ผู้ชาย L</v>
          </cell>
          <cell r="E12706">
            <v>0</v>
          </cell>
          <cell r="F12706">
            <v>950</v>
          </cell>
        </row>
        <row r="12707">
          <cell r="A12707" t="str">
            <v>Y0053-M</v>
          </cell>
          <cell r="B12707" t="str">
            <v>Y53</v>
          </cell>
          <cell r="C12707" t="str">
            <v>ซาติน แขนยาวขายาว ชิโนริ พื้นดำ ผู้ชาย M</v>
          </cell>
          <cell r="E12707">
            <v>0</v>
          </cell>
          <cell r="F12707">
            <v>950</v>
          </cell>
        </row>
        <row r="12708">
          <cell r="A12708" t="str">
            <v>Y0053-XL</v>
          </cell>
          <cell r="B12708" t="str">
            <v>Y53</v>
          </cell>
          <cell r="C12708" t="str">
            <v>ซาติน แขนยาวขายาว ชิโนริ พื้นดำ ผู้ชาย XL</v>
          </cell>
          <cell r="E12708">
            <v>0</v>
          </cell>
          <cell r="F12708">
            <v>950</v>
          </cell>
        </row>
        <row r="12709">
          <cell r="A12709" t="str">
            <v>Y0054-2XL</v>
          </cell>
          <cell r="B12709" t="str">
            <v>Y54</v>
          </cell>
          <cell r="C12709" t="str">
            <v>ซาติน แขนยาวขายาว ชิโนริ พื้นน้ำเงิน ผู้ชาย 2XL</v>
          </cell>
          <cell r="E12709">
            <v>0</v>
          </cell>
          <cell r="F12709">
            <v>950</v>
          </cell>
        </row>
        <row r="12710">
          <cell r="A12710" t="str">
            <v>Y0054-L</v>
          </cell>
          <cell r="B12710" t="str">
            <v>Y54</v>
          </cell>
          <cell r="C12710" t="str">
            <v>ซาติน แขนยาวขายาว ชิโนริ พื้นน้ำเงิน ผู้ชาย L</v>
          </cell>
          <cell r="E12710">
            <v>0</v>
          </cell>
          <cell r="F12710">
            <v>950</v>
          </cell>
        </row>
        <row r="12711">
          <cell r="A12711" t="str">
            <v>Y0054-M</v>
          </cell>
          <cell r="B12711" t="str">
            <v>Y54</v>
          </cell>
          <cell r="C12711" t="str">
            <v>ซาติน แขนยาวขายาว ชิโนริ พื้นน้ำเงิน ผู้ชาย M</v>
          </cell>
          <cell r="E12711">
            <v>0</v>
          </cell>
          <cell r="F12711">
            <v>950</v>
          </cell>
        </row>
        <row r="12712">
          <cell r="A12712" t="str">
            <v>Y0054-XL</v>
          </cell>
          <cell r="B12712" t="str">
            <v>Y54</v>
          </cell>
          <cell r="C12712" t="str">
            <v>ซาติน แขนยาวขายาว ชิโนริ พื้นน้ำเงิน ผู้ชาย XL</v>
          </cell>
          <cell r="E12712">
            <v>0</v>
          </cell>
          <cell r="F12712">
            <v>950</v>
          </cell>
        </row>
        <row r="12713">
          <cell r="A12713" t="str">
            <v>Y0055-2XL</v>
          </cell>
          <cell r="B12713" t="str">
            <v>Y55</v>
          </cell>
          <cell r="C12713" t="str">
            <v>ซาติน แขนยาวขายาว ชิโนริ พื้นกรม กุ๊นขาว ผู้ชาย 2XL</v>
          </cell>
          <cell r="E12713">
            <v>0</v>
          </cell>
          <cell r="F12713">
            <v>950</v>
          </cell>
        </row>
        <row r="12714">
          <cell r="A12714" t="str">
            <v>Y0055-L</v>
          </cell>
          <cell r="B12714" t="str">
            <v>Y55</v>
          </cell>
          <cell r="C12714" t="str">
            <v>ซาติน แขนยาวขายาว ชิโนริ พื้นกรม กุ๊นขาว ผู้ชาย L</v>
          </cell>
          <cell r="E12714">
            <v>0</v>
          </cell>
          <cell r="F12714">
            <v>950</v>
          </cell>
        </row>
        <row r="12715">
          <cell r="A12715" t="str">
            <v>Y0055-M</v>
          </cell>
          <cell r="B12715" t="str">
            <v>Y55</v>
          </cell>
          <cell r="C12715" t="str">
            <v>ซาติน แขนยาวขายาว ชิโนริ พื้นกรม กุ๊นขาว ผู้ชาย M</v>
          </cell>
          <cell r="E12715">
            <v>0</v>
          </cell>
          <cell r="F12715">
            <v>950</v>
          </cell>
        </row>
        <row r="12716">
          <cell r="A12716" t="str">
            <v>Y0055-XL</v>
          </cell>
          <cell r="B12716" t="str">
            <v>Y55</v>
          </cell>
          <cell r="C12716" t="str">
            <v>ซาติน แขนยาวขายาว ชิโนริ พื้นกรม กุ๊นขาว ผู้ชาย XL</v>
          </cell>
          <cell r="E12716">
            <v>0</v>
          </cell>
          <cell r="F12716">
            <v>950</v>
          </cell>
        </row>
        <row r="12717">
          <cell r="A12717" t="str">
            <v>Y0056-2XL</v>
          </cell>
          <cell r="B12717" t="str">
            <v>Y56</v>
          </cell>
          <cell r="C12717" t="str">
            <v>ซาติน แขนยาวขายาว ชิโนริ พื้นเขียว กุ๊นขาว ผู้ชาย 2XL</v>
          </cell>
          <cell r="E12717">
            <v>0</v>
          </cell>
          <cell r="F12717">
            <v>950</v>
          </cell>
        </row>
        <row r="12718">
          <cell r="A12718" t="str">
            <v>Y0056-L</v>
          </cell>
          <cell r="B12718" t="str">
            <v>Y56</v>
          </cell>
          <cell r="C12718" t="str">
            <v>ซาติน แขนยาวขายาว ชิโนริ พื้นเขียว กุ๊นขาว ผู้ชาย L</v>
          </cell>
          <cell r="E12718">
            <v>0</v>
          </cell>
          <cell r="F12718">
            <v>950</v>
          </cell>
        </row>
        <row r="12719">
          <cell r="A12719" t="str">
            <v>Y0056-M</v>
          </cell>
          <cell r="B12719" t="str">
            <v>Y56</v>
          </cell>
          <cell r="C12719" t="str">
            <v>ซาติน แขนยาวขายาว ชิโนริ พื้นเขียว กุ๊นขาว ผู้ชาย M</v>
          </cell>
          <cell r="E12719">
            <v>0</v>
          </cell>
          <cell r="F12719">
            <v>950</v>
          </cell>
        </row>
        <row r="12720">
          <cell r="A12720" t="str">
            <v>Y0056-XL</v>
          </cell>
          <cell r="B12720" t="str">
            <v>Y56</v>
          </cell>
          <cell r="C12720" t="str">
            <v>ซาติน แขนยาวขายาว ชิโนริ พื้นเขียว กุ๊นขาว ผู้ชาย XL</v>
          </cell>
          <cell r="E12720">
            <v>0</v>
          </cell>
          <cell r="F12720">
            <v>950</v>
          </cell>
        </row>
        <row r="12721">
          <cell r="A12721" t="str">
            <v>Y0057-2XL</v>
          </cell>
          <cell r="B12721" t="str">
            <v>Y57</v>
          </cell>
          <cell r="C12721" t="str">
            <v>ซาติน แขนยาวขายาว ชิโนริ พื้นเทา กุ๊นเทา ผู้ชาย 2XL</v>
          </cell>
          <cell r="E12721">
            <v>0</v>
          </cell>
          <cell r="F12721">
            <v>950</v>
          </cell>
        </row>
        <row r="12722">
          <cell r="A12722" t="str">
            <v>Y0057-L</v>
          </cell>
          <cell r="B12722" t="str">
            <v>Y57</v>
          </cell>
          <cell r="C12722" t="str">
            <v>ซาติน แขนยาวขายาว ชิโนริ พื้นเทา กุ๊นเทา ผู้ชาย L</v>
          </cell>
          <cell r="E12722">
            <v>0</v>
          </cell>
          <cell r="F12722">
            <v>950</v>
          </cell>
        </row>
        <row r="12723">
          <cell r="A12723" t="str">
            <v>Y0057-M</v>
          </cell>
          <cell r="B12723" t="str">
            <v>Y57</v>
          </cell>
          <cell r="C12723" t="str">
            <v>ซาติน แขนยาวขายาว ชิโนริ พื้นเทา กุ๊นเทา ผู้ชาย M</v>
          </cell>
          <cell r="E12723">
            <v>0</v>
          </cell>
          <cell r="F12723">
            <v>950</v>
          </cell>
        </row>
        <row r="12724">
          <cell r="A12724" t="str">
            <v>Y0057-XL</v>
          </cell>
          <cell r="B12724" t="str">
            <v>Y57</v>
          </cell>
          <cell r="C12724" t="str">
            <v>ซาติน แขนยาวขายาว ชิโนริ พื้นเทา กุ๊นเทา ผู้ชาย XL</v>
          </cell>
          <cell r="E12724">
            <v>0</v>
          </cell>
          <cell r="F12724">
            <v>950</v>
          </cell>
        </row>
        <row r="12725">
          <cell r="A12725" t="str">
            <v>Y0058-L</v>
          </cell>
          <cell r="B12725" t="str">
            <v>Y58</v>
          </cell>
          <cell r="C12725" t="str">
            <v>ซาติน แขนสั้นขาสั้น ลายทาง กรม ขอบขาว L</v>
          </cell>
          <cell r="E12725">
            <v>0</v>
          </cell>
          <cell r="F12725">
            <v>890</v>
          </cell>
        </row>
        <row r="12726">
          <cell r="A12726" t="str">
            <v>Y0058-M</v>
          </cell>
          <cell r="B12726" t="str">
            <v>Y58</v>
          </cell>
          <cell r="C12726" t="str">
            <v>ซาติน แขนสั้นขาสั้น ลายทาง กรม ขอบขาว M</v>
          </cell>
          <cell r="E12726">
            <v>0</v>
          </cell>
          <cell r="F12726">
            <v>890</v>
          </cell>
        </row>
        <row r="12727">
          <cell r="A12727" t="str">
            <v>Y0058-XL</v>
          </cell>
          <cell r="B12727" t="str">
            <v>Y58</v>
          </cell>
          <cell r="C12727" t="str">
            <v>ซาติน แขนสั้นขาสั้น ลายทาง กรม ขอบขาว XL</v>
          </cell>
          <cell r="E12727">
            <v>0</v>
          </cell>
          <cell r="F12727">
            <v>890</v>
          </cell>
        </row>
        <row r="12728">
          <cell r="A12728" t="str">
            <v>Y0059-2XL</v>
          </cell>
          <cell r="B12728" t="str">
            <v>JY59</v>
          </cell>
          <cell r="C12728" t="str">
            <v>ผู้ชาย ซาติน แขนสั้นขาสั้น หมาชิบะ พื้นฟ้า 2XL (กปก) ตัวโชว์</v>
          </cell>
          <cell r="E12728">
            <v>0</v>
          </cell>
          <cell r="F12728">
            <v>890</v>
          </cell>
        </row>
        <row r="12729">
          <cell r="A12729" t="str">
            <v>Y0059-L</v>
          </cell>
          <cell r="B12729" t="str">
            <v>Y59</v>
          </cell>
          <cell r="C12729" t="str">
            <v>ผู้ชาย ซาติน แขนสั้นขาสั้น หมาชิบะ พื้นฟ้า L (กปก)</v>
          </cell>
          <cell r="E12729">
            <v>0</v>
          </cell>
          <cell r="F12729">
            <v>590</v>
          </cell>
        </row>
        <row r="12730">
          <cell r="A12730" t="str">
            <v>Y0059-XL</v>
          </cell>
          <cell r="B12730" t="str">
            <v>Y59</v>
          </cell>
          <cell r="C12730" t="str">
            <v>ผู้ชาย ซาติน แขนสั้นขาสั้น หมาชิบะ พื้นฟ้า XL (กปก)</v>
          </cell>
          <cell r="E12730">
            <v>0</v>
          </cell>
          <cell r="F12730">
            <v>790</v>
          </cell>
        </row>
        <row r="12731">
          <cell r="A12731" t="str">
            <v>Y0060-2XL</v>
          </cell>
          <cell r="B12731" t="str">
            <v>BY60</v>
          </cell>
          <cell r="C12731" t="str">
            <v>ผู้ชาย ซาติน แขนสั้นขายาว ชิโนริ เขียว ขอบม่วง 2XL</v>
          </cell>
          <cell r="E12731">
            <v>0</v>
          </cell>
          <cell r="F12731">
            <v>890</v>
          </cell>
        </row>
        <row r="12732">
          <cell r="A12732" t="str">
            <v>Y0060-3XL</v>
          </cell>
          <cell r="B12732" t="str">
            <v>Y60</v>
          </cell>
          <cell r="C12732" t="str">
            <v>ผู้ชาย ซาติน แขนสั้นขายาว ชิโนริ เขียว ขอบม่วง 3XL</v>
          </cell>
          <cell r="E12732">
            <v>0</v>
          </cell>
          <cell r="F12732">
            <v>890</v>
          </cell>
        </row>
        <row r="12733">
          <cell r="A12733" t="str">
            <v>Y0060-L</v>
          </cell>
          <cell r="B12733" t="str">
            <v>Y60</v>
          </cell>
          <cell r="C12733" t="str">
            <v>ผู้ชาย ซาติน แขนสั้นขายาว ชิโนริ เขียว ขอบม่วง L</v>
          </cell>
          <cell r="E12733">
            <v>0</v>
          </cell>
          <cell r="F12733">
            <v>890</v>
          </cell>
        </row>
        <row r="12734">
          <cell r="A12734" t="str">
            <v>Y0060-XL</v>
          </cell>
          <cell r="B12734" t="str">
            <v>Y60</v>
          </cell>
          <cell r="C12734" t="str">
            <v>ผู้ชาย ซาติน แขนสั้นขายาว ชิโนริ เขียว ขอบม่วง XL</v>
          </cell>
          <cell r="E12734">
            <v>0</v>
          </cell>
          <cell r="F12734">
            <v>890</v>
          </cell>
        </row>
        <row r="12735">
          <cell r="A12735" t="str">
            <v>Y0061-2XL</v>
          </cell>
          <cell r="B12735" t="str">
            <v>Y61</v>
          </cell>
          <cell r="C12735" t="str">
            <v>ผู้ชาย ซาติน แขนสั้นขายาว ชิโนริ ชมพู ขอบม่วง 2XL</v>
          </cell>
          <cell r="E12735">
            <v>0</v>
          </cell>
          <cell r="F12735">
            <v>890</v>
          </cell>
        </row>
        <row r="12736">
          <cell r="A12736" t="str">
            <v>Y0061-3XL</v>
          </cell>
          <cell r="B12736" t="str">
            <v>JY61</v>
          </cell>
          <cell r="C12736" t="str">
            <v>ผู้ชาย ซาติน แขนสั้นขายาว ชิโนริ ชมพู ขอบม่วง 3XL ตัวโชว์</v>
          </cell>
          <cell r="E12736">
            <v>0</v>
          </cell>
          <cell r="F12736">
            <v>890</v>
          </cell>
        </row>
        <row r="12737">
          <cell r="A12737" t="str">
            <v>Y0061-L</v>
          </cell>
          <cell r="B12737" t="str">
            <v>Y61</v>
          </cell>
          <cell r="C12737" t="str">
            <v>ผู้ชาย ซาติน แขนสั้นขายาว ชิโนริ ชมพู ขอบม่วง L</v>
          </cell>
          <cell r="E12737">
            <v>0</v>
          </cell>
          <cell r="F12737">
            <v>890</v>
          </cell>
        </row>
        <row r="12738">
          <cell r="A12738" t="str">
            <v>Y0061-XL</v>
          </cell>
          <cell r="B12738" t="str">
            <v>JY61</v>
          </cell>
          <cell r="C12738" t="str">
            <v>ผู้ชาย ซาติน แขนสั้นขายาว ชิโนริ ชมพู ขอบม่วง XL ตัวโชว์</v>
          </cell>
          <cell r="E12738">
            <v>0</v>
          </cell>
          <cell r="F12738">
            <v>890</v>
          </cell>
        </row>
        <row r="12739">
          <cell r="A12739" t="str">
            <v>Y0062-2XL</v>
          </cell>
          <cell r="B12739" t="str">
            <v>Y62</v>
          </cell>
          <cell r="C12739" t="str">
            <v>ผู้ชาย ซาติน แขนสั้นขายาว ชิโนริ ฟ้า ขอบม่วง 2XL</v>
          </cell>
          <cell r="E12739">
            <v>0</v>
          </cell>
          <cell r="F12739">
            <v>890</v>
          </cell>
        </row>
        <row r="12740">
          <cell r="A12740" t="str">
            <v>Y0062-3XL</v>
          </cell>
          <cell r="B12740" t="str">
            <v>Y62</v>
          </cell>
          <cell r="C12740" t="str">
            <v>ผู้ชาย ซาติน แขนสั้นขายาว ชิโนริ ฟ้า ขอบม่วง 3XL</v>
          </cell>
          <cell r="E12740">
            <v>0</v>
          </cell>
          <cell r="F12740">
            <v>890</v>
          </cell>
        </row>
        <row r="12741">
          <cell r="A12741" t="str">
            <v>Y0062-L</v>
          </cell>
          <cell r="B12741" t="str">
            <v>Y62</v>
          </cell>
          <cell r="C12741" t="str">
            <v>ผู้ชาย ซาติน แขนสั้นขายาว ชิโนริ ฟ้า ขอบม่วง L</v>
          </cell>
          <cell r="E12741">
            <v>0</v>
          </cell>
          <cell r="F12741">
            <v>890</v>
          </cell>
        </row>
        <row r="12742">
          <cell r="A12742" t="str">
            <v>Y0062-XL</v>
          </cell>
          <cell r="B12742" t="str">
            <v>Y62</v>
          </cell>
          <cell r="C12742" t="str">
            <v>ผู้ชาย ซาติน แขนสั้นขายาว ชิโนริ ฟ้า ขอบม่วง XL</v>
          </cell>
          <cell r="E12742">
            <v>0</v>
          </cell>
          <cell r="F12742">
            <v>890</v>
          </cell>
        </row>
        <row r="12743">
          <cell r="A12743" t="str">
            <v>Y0063-2XL</v>
          </cell>
          <cell r="B12743" t="str">
            <v>Y63</v>
          </cell>
          <cell r="C12743" t="str">
            <v>ผู้ชาย ซาติน แขนสั้นขายาว ชิโนริ ม่วง ขอบส้ม 2XL</v>
          </cell>
          <cell r="E12743">
            <v>0</v>
          </cell>
          <cell r="F12743">
            <v>890</v>
          </cell>
        </row>
        <row r="12744">
          <cell r="A12744" t="str">
            <v>Y0063-3XL</v>
          </cell>
          <cell r="B12744" t="str">
            <v>Y63</v>
          </cell>
          <cell r="C12744" t="str">
            <v>ผู้ชาย ซาติน แขนสั้นขายาว ชิโนริ ม่วง ขอบส้ม 3XL</v>
          </cell>
          <cell r="E12744">
            <v>0</v>
          </cell>
          <cell r="F12744">
            <v>890</v>
          </cell>
        </row>
        <row r="12745">
          <cell r="A12745" t="str">
            <v>Y0063-L</v>
          </cell>
          <cell r="B12745" t="str">
            <v>JY63</v>
          </cell>
          <cell r="C12745" t="str">
            <v>ผู้ชาย ซาติน แขนสั้นขายาว ชิโนริ ม่วง ขอบส้ม L ตัวโชว์</v>
          </cell>
          <cell r="E12745">
            <v>0</v>
          </cell>
          <cell r="F12745">
            <v>890</v>
          </cell>
        </row>
        <row r="12746">
          <cell r="A12746" t="str">
            <v>Y0063-XL</v>
          </cell>
          <cell r="B12746" t="str">
            <v>Y63</v>
          </cell>
          <cell r="C12746" t="str">
            <v>ผู้ชาย ซาติน แขนสั้นขายาว ชิโนริ ม่วง ขอบส้ม XL</v>
          </cell>
          <cell r="E12746">
            <v>0</v>
          </cell>
          <cell r="F12746">
            <v>890</v>
          </cell>
        </row>
        <row r="12747">
          <cell r="A12747" t="str">
            <v>Y0064-2XL</v>
          </cell>
          <cell r="B12747" t="str">
            <v>Y64</v>
          </cell>
          <cell r="C12747" t="str">
            <v>ผู้ชาย ซาติน แขนสั้นขาสั้น ลายทาง แมว พื้นเทา 2XL</v>
          </cell>
          <cell r="E12747">
            <v>0</v>
          </cell>
          <cell r="F12747">
            <v>850</v>
          </cell>
        </row>
        <row r="12748">
          <cell r="A12748" t="str">
            <v>Y0064-L</v>
          </cell>
          <cell r="B12748" t="str">
            <v>Y64</v>
          </cell>
          <cell r="C12748" t="str">
            <v>ผู้ชาย ซาติน แขนสั้นขาสั้น ลายทาง แมว พื้นเทา L</v>
          </cell>
          <cell r="E12748">
            <v>0</v>
          </cell>
          <cell r="F12748">
            <v>850</v>
          </cell>
        </row>
        <row r="12749">
          <cell r="A12749" t="str">
            <v>Y0064-M</v>
          </cell>
          <cell r="B12749" t="str">
            <v>Y64</v>
          </cell>
          <cell r="C12749" t="str">
            <v>ผู้ชาย ซาติน แขนสั้นขาสั้น ลายทาง แมว พื้นเทา M</v>
          </cell>
          <cell r="E12749">
            <v>0</v>
          </cell>
          <cell r="F12749">
            <v>850</v>
          </cell>
        </row>
        <row r="12750">
          <cell r="A12750" t="str">
            <v>Y0064-XL</v>
          </cell>
          <cell r="B12750" t="str">
            <v>Y64</v>
          </cell>
          <cell r="C12750" t="str">
            <v>ผู้ชาย ซาติน แขนสั้นขาสั้น ลายทาง แมว พื้นเทา XL</v>
          </cell>
          <cell r="E12750">
            <v>0</v>
          </cell>
          <cell r="F12750">
            <v>850</v>
          </cell>
        </row>
        <row r="12751">
          <cell r="A12751" t="str">
            <v>Y0065-2XL</v>
          </cell>
          <cell r="B12751" t="str">
            <v>JY65</v>
          </cell>
          <cell r="C12751" t="str">
            <v>ผู้ชาย ซาติน แขนสั้นขาสั้น ลายทาง หมา พื้นดำ 2XL ตัวโชว์</v>
          </cell>
          <cell r="E12751">
            <v>0</v>
          </cell>
          <cell r="F12751">
            <v>890</v>
          </cell>
        </row>
        <row r="12752">
          <cell r="A12752" t="str">
            <v>Y0065-L</v>
          </cell>
          <cell r="B12752" t="str">
            <v>Y65</v>
          </cell>
          <cell r="C12752" t="str">
            <v>ผู้ชาย ซาติน แขนสั้นขาสั้น ลายทาง หมา พื้นดำ L</v>
          </cell>
          <cell r="E12752">
            <v>0</v>
          </cell>
          <cell r="F12752">
            <v>850</v>
          </cell>
        </row>
        <row r="12753">
          <cell r="A12753" t="str">
            <v>Y0065-M</v>
          </cell>
          <cell r="B12753" t="str">
            <v>JY65</v>
          </cell>
          <cell r="C12753" t="str">
            <v>ผู้ชาย ซาติน แขนสั้นขาสั้น ลายทาง หมา พื้นดำ M ตัวโชว์</v>
          </cell>
          <cell r="E12753">
            <v>0</v>
          </cell>
          <cell r="F12753">
            <v>850</v>
          </cell>
        </row>
        <row r="12754">
          <cell r="A12754" t="str">
            <v>Y0065-XL</v>
          </cell>
          <cell r="B12754" t="str">
            <v>JY65</v>
          </cell>
          <cell r="C12754" t="str">
            <v>ผู้ชาย ซาติน แขนสั้นขาสั้น ลายทาง หมา พื้นดำ XL ตัวโชว์</v>
          </cell>
          <cell r="E12754">
            <v>0</v>
          </cell>
          <cell r="F12754">
            <v>890</v>
          </cell>
        </row>
        <row r="12755">
          <cell r="A12755" t="str">
            <v>Y0066-L</v>
          </cell>
          <cell r="B12755" t="str">
            <v>Y66</v>
          </cell>
          <cell r="C12755" t="str">
            <v>ผู้ชาย ซาติน แขนสั้นขาสั้น โลก เท้าหมี พื้นเขียวฟ้า L</v>
          </cell>
          <cell r="E12755">
            <v>0</v>
          </cell>
          <cell r="F12755">
            <v>890</v>
          </cell>
        </row>
        <row r="12756">
          <cell r="A12756" t="str">
            <v>Y0066-M</v>
          </cell>
          <cell r="B12756" t="str">
            <v>Y66</v>
          </cell>
          <cell r="C12756" t="str">
            <v>ผู้ชาย ซาติน แขนสั้นขาสั้น โลก เท้าหมี พื้นเขียวฟ้า M (กปก)</v>
          </cell>
          <cell r="E12756">
            <v>0</v>
          </cell>
          <cell r="F12756">
            <v>790</v>
          </cell>
        </row>
        <row r="12757">
          <cell r="A12757" t="str">
            <v>Y0066-XL</v>
          </cell>
          <cell r="B12757" t="str">
            <v>Y66</v>
          </cell>
          <cell r="C12757" t="str">
            <v>ผู้ชาย ซาติน แขนสั้นขาสั้น โลก เท้าหมี พื้นเขียวฟ้า XL (กปก)</v>
          </cell>
          <cell r="E12757">
            <v>0</v>
          </cell>
          <cell r="F12757">
            <v>890</v>
          </cell>
        </row>
        <row r="12758">
          <cell r="A12758" t="str">
            <v>Y0067-2XL</v>
          </cell>
          <cell r="B12758" t="str">
            <v>Y67</v>
          </cell>
          <cell r="C12758" t="str">
            <v>ผู้ชาย ซาติน แขนสั้นขาสั้น ชิโนริ ดำ 2XL</v>
          </cell>
          <cell r="E12758">
            <v>0</v>
          </cell>
          <cell r="F12758">
            <v>890</v>
          </cell>
        </row>
        <row r="12759">
          <cell r="A12759" t="str">
            <v>Y0067-L</v>
          </cell>
          <cell r="B12759" t="str">
            <v>Y67</v>
          </cell>
          <cell r="C12759" t="str">
            <v>ผู้ชาย ซาติน แขนสั้นขาสั้น ชิโนริ ดำ L</v>
          </cell>
          <cell r="E12759">
            <v>0</v>
          </cell>
          <cell r="F12759">
            <v>890</v>
          </cell>
        </row>
        <row r="12760">
          <cell r="A12760" t="str">
            <v>Y0067-M</v>
          </cell>
          <cell r="B12760" t="str">
            <v>Y67</v>
          </cell>
          <cell r="C12760" t="str">
            <v>ผู้ชาย ซาติน แขนสั้นขาสั้น ชิโนริ ดำ M</v>
          </cell>
          <cell r="E12760">
            <v>0</v>
          </cell>
          <cell r="F12760">
            <v>790</v>
          </cell>
        </row>
        <row r="12761">
          <cell r="A12761" t="str">
            <v>Y0067-XL</v>
          </cell>
          <cell r="B12761" t="str">
            <v>Y67</v>
          </cell>
          <cell r="C12761" t="str">
            <v>ผู้ชาย ซาติน แขนสั้นขาสั้น ชิโนริ ดำ XL</v>
          </cell>
          <cell r="E12761">
            <v>0</v>
          </cell>
          <cell r="F12761">
            <v>890</v>
          </cell>
        </row>
        <row r="12762">
          <cell r="A12762" t="str">
            <v>Y0068-2XL</v>
          </cell>
          <cell r="B12762" t="str">
            <v>ป5</v>
          </cell>
          <cell r="C12762" t="str">
            <v>ซาติน แขนสั้นขาสั้น ข้าวหลามตัด น้ำตาล ผู้ชาย 2XL</v>
          </cell>
          <cell r="E12762">
            <v>0</v>
          </cell>
          <cell r="F12762">
            <v>890</v>
          </cell>
        </row>
        <row r="12763">
          <cell r="A12763" t="str">
            <v>Y0068-3XL</v>
          </cell>
          <cell r="B12763" t="str">
            <v>Y68</v>
          </cell>
          <cell r="C12763" t="str">
            <v>ซาติน แขนสั้นขาสั้น ข้าวหลามตัด น้ำตาล ผู้ชาย 3XL</v>
          </cell>
          <cell r="E12763">
            <v>0</v>
          </cell>
          <cell r="F12763">
            <v>890</v>
          </cell>
        </row>
        <row r="12764">
          <cell r="A12764" t="str">
            <v>Y0068-L</v>
          </cell>
          <cell r="B12764" t="str">
            <v>Y68</v>
          </cell>
          <cell r="C12764" t="str">
            <v>ซาติน แขนสั้นขาสั้น ข้าวหลามตัด น้ำตาล ผู้ชาย L</v>
          </cell>
          <cell r="E12764">
            <v>0</v>
          </cell>
          <cell r="F12764">
            <v>790</v>
          </cell>
        </row>
        <row r="12765">
          <cell r="A12765" t="str">
            <v>Y0068-XL</v>
          </cell>
          <cell r="B12765" t="str">
            <v>Y68</v>
          </cell>
          <cell r="C12765" t="str">
            <v>ซาติน แขนสั้นขาสั้น ข้าวหลามตัด น้ำตาล ผู้ชาย XL</v>
          </cell>
          <cell r="E12765">
            <v>0</v>
          </cell>
          <cell r="F12765">
            <v>890</v>
          </cell>
        </row>
        <row r="12766">
          <cell r="A12766" t="str">
            <v>Y0069-2XL</v>
          </cell>
          <cell r="B12766" t="str">
            <v>Y69</v>
          </cell>
          <cell r="C12766" t="str">
            <v>ซาติน แขนสั้นขาสั้น ข้าวหลามตัด ครีม ผู้ชาย 2XL</v>
          </cell>
          <cell r="E12766">
            <v>0</v>
          </cell>
          <cell r="F12766">
            <v>790</v>
          </cell>
        </row>
        <row r="12767">
          <cell r="A12767" t="str">
            <v>Y0069-3XL</v>
          </cell>
          <cell r="B12767" t="str">
            <v>Y69</v>
          </cell>
          <cell r="C12767" t="str">
            <v>ซาติน แขนสั้นขาสั้น ข้าวหลามตัด ครีม ผู้ชาย 3XL</v>
          </cell>
          <cell r="E12767">
            <v>0</v>
          </cell>
          <cell r="F12767">
            <v>790</v>
          </cell>
        </row>
        <row r="12768">
          <cell r="A12768" t="str">
            <v>Y0069-L</v>
          </cell>
          <cell r="B12768" t="str">
            <v>JY69</v>
          </cell>
          <cell r="C12768" t="str">
            <v>ซาติน แขนสั้นขาสั้น ข้าวหลามตัด ครีม ผู้ชาย L ตัวโชว์</v>
          </cell>
          <cell r="E12768">
            <v>0</v>
          </cell>
          <cell r="F12768">
            <v>890</v>
          </cell>
        </row>
        <row r="12769">
          <cell r="A12769" t="str">
            <v>Y0069-XL</v>
          </cell>
          <cell r="B12769" t="str">
            <v>Y69</v>
          </cell>
          <cell r="C12769" t="str">
            <v>ซาติน แขนสั้นขาสั้น ข้าวหลามตัด ครีม ผู้ชาย XL</v>
          </cell>
          <cell r="E12769">
            <v>0</v>
          </cell>
          <cell r="F12769">
            <v>890</v>
          </cell>
        </row>
        <row r="12770">
          <cell r="A12770" t="str">
            <v>Y0070-2XL</v>
          </cell>
          <cell r="B12770" t="str">
            <v>JY70</v>
          </cell>
          <cell r="C12770" t="str">
            <v>ซาติน แขนสั้นขาสั้น ข้าวหลามตัด เทาอ่อน ผู้ชาย 2XL ตัวโชว์</v>
          </cell>
          <cell r="E12770">
            <v>0</v>
          </cell>
          <cell r="F12770">
            <v>890</v>
          </cell>
        </row>
        <row r="12771">
          <cell r="A12771" t="str">
            <v>Y0070-3XL</v>
          </cell>
          <cell r="B12771" t="str">
            <v>JY70</v>
          </cell>
          <cell r="C12771" t="str">
            <v>ซาติน แขนสั้นขาสั้น ข้าวหลามตัด เทาอ่อน ผู้ชาย 3XL ตัวโชว์</v>
          </cell>
          <cell r="E12771">
            <v>0</v>
          </cell>
          <cell r="F12771">
            <v>890</v>
          </cell>
        </row>
        <row r="12772">
          <cell r="A12772" t="str">
            <v>Y0070-L</v>
          </cell>
          <cell r="B12772" t="str">
            <v>Y70</v>
          </cell>
          <cell r="C12772" t="str">
            <v>ซาติน แขนสั้นขาสั้น ข้าวหลามตัด เทาอ่อน ผู้ชาย L</v>
          </cell>
          <cell r="E12772">
            <v>0</v>
          </cell>
          <cell r="F12772">
            <v>790</v>
          </cell>
        </row>
        <row r="12773">
          <cell r="A12773" t="str">
            <v>Y0070-XL</v>
          </cell>
          <cell r="B12773" t="str">
            <v>Y70</v>
          </cell>
          <cell r="C12773" t="str">
            <v>ซาติน แขนสั้นขาสั้น ข้าวหลามตัด เทาอ่อน ผู้ชาย XL</v>
          </cell>
          <cell r="E12773">
            <v>0</v>
          </cell>
          <cell r="F12773">
            <v>790</v>
          </cell>
        </row>
        <row r="12774">
          <cell r="A12774" t="str">
            <v>Y0071-2XL</v>
          </cell>
          <cell r="B12774" t="str">
            <v>Y71</v>
          </cell>
          <cell r="C12774" t="str">
            <v>ซาติน แขนสั้นขาสั้น ข้าวหลามตัด เทาเข้ม ผู้ชาย 2XL</v>
          </cell>
          <cell r="E12774">
            <v>0</v>
          </cell>
          <cell r="F12774">
            <v>890</v>
          </cell>
        </row>
        <row r="12775">
          <cell r="A12775" t="str">
            <v>Y0071-3XL</v>
          </cell>
          <cell r="B12775" t="str">
            <v>Y71</v>
          </cell>
          <cell r="C12775" t="str">
            <v>ซาติน แขนสั้นขาสั้น ข้าวหลามตัด เทาเข้ม ผู้ชาย 3XL</v>
          </cell>
          <cell r="E12775">
            <v>0</v>
          </cell>
          <cell r="F12775">
            <v>890</v>
          </cell>
        </row>
        <row r="12776">
          <cell r="A12776" t="str">
            <v>Y0071-L</v>
          </cell>
          <cell r="B12776" t="str">
            <v>JY71</v>
          </cell>
          <cell r="C12776" t="str">
            <v>ซาติน แขนสั้นขาสั้น ข้าวหลามตัด เทาเข้ม ผู้ชาย L ตัวโชว์</v>
          </cell>
          <cell r="E12776">
            <v>0</v>
          </cell>
          <cell r="F12776">
            <v>890</v>
          </cell>
        </row>
        <row r="12777">
          <cell r="A12777" t="str">
            <v>Y0071-XL</v>
          </cell>
          <cell r="B12777" t="str">
            <v>Y71</v>
          </cell>
          <cell r="C12777" t="str">
            <v>ซาติน แขนสั้นขาสั้น ข้าวหลามตัด เทาเข้ม ผู้ชาย XL</v>
          </cell>
          <cell r="E12777">
            <v>0</v>
          </cell>
          <cell r="F12777">
            <v>890</v>
          </cell>
        </row>
        <row r="12778">
          <cell r="A12778" t="str">
            <v>Y0072-2XL</v>
          </cell>
          <cell r="B12778" t="str">
            <v>Y72</v>
          </cell>
          <cell r="C12778" t="str">
            <v>ซาติน แขนสั้นขาสั้น ชิโนริ พื้นเทา 2XL</v>
          </cell>
          <cell r="E12778">
            <v>0</v>
          </cell>
          <cell r="F12778">
            <v>890</v>
          </cell>
        </row>
        <row r="12779">
          <cell r="A12779" t="str">
            <v>Y0072-L</v>
          </cell>
          <cell r="B12779" t="str">
            <v>JY72</v>
          </cell>
          <cell r="C12779" t="str">
            <v>ซาติน แขนสั้นขาสั้น ชิโนริ พื้นเทา L ตัวโชว์</v>
          </cell>
          <cell r="E12779">
            <v>0</v>
          </cell>
          <cell r="F12779">
            <v>890</v>
          </cell>
        </row>
        <row r="12780">
          <cell r="A12780" t="str">
            <v>Y0072-XL</v>
          </cell>
          <cell r="B12780" t="str">
            <v>Y72</v>
          </cell>
          <cell r="C12780" t="str">
            <v>ซาติน แขนสั้นขาสั้น ชิโนริ พื้นเทา XL</v>
          </cell>
          <cell r="E12780">
            <v>0</v>
          </cell>
          <cell r="F12780">
            <v>890</v>
          </cell>
        </row>
        <row r="12781">
          <cell r="A12781" t="str">
            <v>Y0073-2XL</v>
          </cell>
          <cell r="B12781" t="str">
            <v>Y73</v>
          </cell>
          <cell r="C12781" t="str">
            <v>ซาติน แขนสั้นขาสั้น ชิโนริ พื้นกรม 2XL</v>
          </cell>
          <cell r="E12781">
            <v>0</v>
          </cell>
          <cell r="F12781">
            <v>890</v>
          </cell>
        </row>
        <row r="12782">
          <cell r="A12782" t="str">
            <v>Y0073-L</v>
          </cell>
          <cell r="B12782" t="str">
            <v>JY73</v>
          </cell>
          <cell r="C12782" t="str">
            <v>ซาติน แขนสั้นขาสั้น ชิโนริ พื้นกรม L ตัวโชว์</v>
          </cell>
          <cell r="E12782">
            <v>0</v>
          </cell>
          <cell r="F12782">
            <v>890</v>
          </cell>
        </row>
        <row r="12783">
          <cell r="A12783" t="str">
            <v>Y0073-XL</v>
          </cell>
          <cell r="B12783" t="str">
            <v>Y73</v>
          </cell>
          <cell r="C12783" t="str">
            <v>ซาติน แขนสั้นขาสั้น ชิโนริ พื้นกรม XL</v>
          </cell>
          <cell r="E12783">
            <v>0</v>
          </cell>
          <cell r="F12783">
            <v>890</v>
          </cell>
        </row>
        <row r="12784">
          <cell r="A12784" t="str">
            <v>Y0074-2XL</v>
          </cell>
          <cell r="B12784" t="str">
            <v>JY74</v>
          </cell>
          <cell r="C12784" t="str">
            <v>ซาติน แขนสั้นขาสั้น ลายเสือ พื้นเทา 2XL (กปก) ตัวโชว์</v>
          </cell>
          <cell r="E12784">
            <v>0</v>
          </cell>
          <cell r="F12784">
            <v>890</v>
          </cell>
        </row>
        <row r="12785">
          <cell r="A12785" t="str">
            <v>Y0074-L</v>
          </cell>
          <cell r="B12785" t="str">
            <v>Y74</v>
          </cell>
          <cell r="C12785" t="str">
            <v>ซาติน แขนสั้นขาสั้น ลายเสือ พื้นเทา L (กปก)</v>
          </cell>
          <cell r="E12785">
            <v>0</v>
          </cell>
          <cell r="F12785">
            <v>790</v>
          </cell>
        </row>
        <row r="12786">
          <cell r="A12786" t="str">
            <v>Y0074-XL</v>
          </cell>
          <cell r="B12786" t="str">
            <v>JY74</v>
          </cell>
          <cell r="C12786" t="str">
            <v>ซาติน แขนสั้นขาสั้น ลายเสือ พื้นเทา XL (กปก) ตัวโชว์</v>
          </cell>
          <cell r="E12786">
            <v>0</v>
          </cell>
          <cell r="F12786">
            <v>890</v>
          </cell>
        </row>
        <row r="12787">
          <cell r="A12787" t="str">
            <v>Y0075-2XL</v>
          </cell>
          <cell r="B12787" t="str">
            <v>Y75</v>
          </cell>
          <cell r="C12787" t="str">
            <v>เยื่อไผ่ แขนสั้นขายาว ตาราง ครีมดำ ผู้ชาย 2XL</v>
          </cell>
          <cell r="E12787">
            <v>0</v>
          </cell>
          <cell r="F12787">
            <v>890</v>
          </cell>
        </row>
        <row r="12788">
          <cell r="A12788" t="str">
            <v>Y0075-XL</v>
          </cell>
          <cell r="B12788" t="str">
            <v>Y75</v>
          </cell>
          <cell r="C12788" t="str">
            <v>เยื่อไผ่ แขนสั้นขายาว ตาราง ครีมดำ ผู้ชาย XL</v>
          </cell>
          <cell r="E12788">
            <v>0</v>
          </cell>
          <cell r="F12788">
            <v>890</v>
          </cell>
        </row>
        <row r="12789">
          <cell r="A12789" t="str">
            <v>Y0076-2XL</v>
          </cell>
          <cell r="B12789" t="str">
            <v>Y76</v>
          </cell>
          <cell r="C12789" t="str">
            <v>เยื่อไผ่ แขนสั้นขายาว ตาราง ครีมเขียว ผู้ชาย 2XL</v>
          </cell>
          <cell r="E12789">
            <v>0</v>
          </cell>
          <cell r="F12789">
            <v>890</v>
          </cell>
        </row>
        <row r="12790">
          <cell r="A12790" t="str">
            <v>Y0076-L</v>
          </cell>
          <cell r="B12790" t="str">
            <v>Y76</v>
          </cell>
          <cell r="C12790" t="str">
            <v>เยื่อไผ่ แขนสั้นขายาว ตาราง ครีมเขียว ผู้ชาย L</v>
          </cell>
          <cell r="E12790">
            <v>0</v>
          </cell>
          <cell r="F12790">
            <v>990</v>
          </cell>
        </row>
        <row r="12791">
          <cell r="A12791" t="str">
            <v>Y0076-XL</v>
          </cell>
          <cell r="B12791" t="str">
            <v>Y76</v>
          </cell>
          <cell r="C12791" t="str">
            <v>เยื่อไผ่ แขนสั้นขายาว ตาราง ครีมเขียว ผู้ชาย XL</v>
          </cell>
          <cell r="E12791">
            <v>0</v>
          </cell>
          <cell r="F12791">
            <v>890</v>
          </cell>
        </row>
        <row r="12792">
          <cell r="A12792" t="str">
            <v>Y0077-2XL</v>
          </cell>
          <cell r="B12792" t="str">
            <v>Y77</v>
          </cell>
          <cell r="C12792" t="str">
            <v>ซาติน แขนสั้นขาสั้น พื้นกรมล้วน ขอบขาว ผู้ชาย 2XL</v>
          </cell>
          <cell r="E12792">
            <v>0</v>
          </cell>
          <cell r="F12792">
            <v>890</v>
          </cell>
        </row>
        <row r="12793">
          <cell r="A12793" t="str">
            <v>Y0077-L</v>
          </cell>
          <cell r="B12793" t="str">
            <v>Y77</v>
          </cell>
          <cell r="C12793" t="str">
            <v>ซาติน แขนสั้นขาสั้น พื้นกรมล้วน ขอบขาว ผู้ชาย L</v>
          </cell>
          <cell r="E12793">
            <v>0</v>
          </cell>
          <cell r="F12793">
            <v>890</v>
          </cell>
        </row>
        <row r="12794">
          <cell r="A12794" t="str">
            <v>Y0077-M</v>
          </cell>
          <cell r="B12794" t="str">
            <v>Y77</v>
          </cell>
          <cell r="C12794" t="str">
            <v>ซาติน แขนสั้นขาสั้น พื้นกรมล้วน ขอบขาว ผู้ชาย M</v>
          </cell>
          <cell r="E12794">
            <v>0</v>
          </cell>
          <cell r="F12794">
            <v>890</v>
          </cell>
        </row>
        <row r="12795">
          <cell r="A12795" t="str">
            <v>Y0077-XL</v>
          </cell>
          <cell r="B12795" t="str">
            <v>Y77</v>
          </cell>
          <cell r="C12795" t="str">
            <v>ซาติน แขนสั้นขาสั้น พื้นกรมล้วน ขอบขาว ผู้ชาย XL</v>
          </cell>
          <cell r="E12795">
            <v>0</v>
          </cell>
          <cell r="F12795">
            <v>890</v>
          </cell>
        </row>
        <row r="12796">
          <cell r="A12796" t="str">
            <v>Y0078-2XL</v>
          </cell>
          <cell r="B12796" t="str">
            <v>JY78</v>
          </cell>
          <cell r="C12796" t="str">
            <v>เยื่อไผ่ แขนสั้นขาสี่ส่วน พื้นดำ กระเป๋าแพนด้า 2XL ตัวโชว์</v>
          </cell>
          <cell r="E12796">
            <v>0</v>
          </cell>
          <cell r="F12796">
            <v>890</v>
          </cell>
        </row>
        <row r="12797">
          <cell r="A12797" t="str">
            <v>Y0078-L</v>
          </cell>
          <cell r="B12797" t="str">
            <v>Y78</v>
          </cell>
          <cell r="C12797" t="str">
            <v>เยื่อไผ่ แขนสั้นขาสี่ส่วน พื้นดำ กระเป๋าแพนด้า L</v>
          </cell>
          <cell r="E12797">
            <v>0</v>
          </cell>
          <cell r="F12797">
            <v>890</v>
          </cell>
        </row>
        <row r="12798">
          <cell r="A12798" t="str">
            <v>Y0078-M</v>
          </cell>
          <cell r="B12798" t="str">
            <v>Y78</v>
          </cell>
          <cell r="C12798" t="str">
            <v>เยื่อไผ่ แขนสั้นขาสี่ส่วน พื้นดำ กระเป๋าแพนด้า M</v>
          </cell>
          <cell r="E12798">
            <v>0</v>
          </cell>
          <cell r="F12798">
            <v>890</v>
          </cell>
        </row>
        <row r="12799">
          <cell r="A12799" t="str">
            <v>Y0078-XL</v>
          </cell>
          <cell r="B12799" t="str">
            <v>BY78</v>
          </cell>
          <cell r="C12799" t="str">
            <v>เยื่อไผ่ แขนสั้นขาสี่ส่วน พื้นดำ กระเป๋าแพนด้า XL</v>
          </cell>
          <cell r="E12799">
            <v>0</v>
          </cell>
          <cell r="F12799">
            <v>890</v>
          </cell>
        </row>
        <row r="12800">
          <cell r="A12800" t="str">
            <v>Y0079-2XL</v>
          </cell>
          <cell r="B12800" t="str">
            <v>Y79</v>
          </cell>
          <cell r="C12800" t="str">
            <v>ซาติน แขนสั้นขายาว Totoro สีฟ้า ผช 2XL</v>
          </cell>
          <cell r="E12800">
            <v>0</v>
          </cell>
          <cell r="F12800">
            <v>990</v>
          </cell>
        </row>
        <row r="12801">
          <cell r="A12801" t="str">
            <v>Y0079-L</v>
          </cell>
          <cell r="B12801" t="str">
            <v>Y79</v>
          </cell>
          <cell r="C12801" t="str">
            <v>ซาติน แขนสั้นขายาว Totoro สีฟ้า ผช L</v>
          </cell>
          <cell r="E12801">
            <v>0</v>
          </cell>
          <cell r="F12801">
            <v>990</v>
          </cell>
        </row>
        <row r="12802">
          <cell r="A12802" t="str">
            <v>Y0079-M</v>
          </cell>
          <cell r="B12802" t="str">
            <v>Y79</v>
          </cell>
          <cell r="C12802" t="str">
            <v>ซาติน แขนสั้นขายาว Totoro สีฟ้า ผช M</v>
          </cell>
          <cell r="E12802">
            <v>0</v>
          </cell>
          <cell r="F12802">
            <v>990</v>
          </cell>
        </row>
        <row r="12803">
          <cell r="A12803" t="str">
            <v>Y0079-XL</v>
          </cell>
          <cell r="B12803" t="str">
            <v>Y79</v>
          </cell>
          <cell r="C12803" t="str">
            <v>ซาติน แขนสั้นขายาว Totoro สีฟ้า ผช XL</v>
          </cell>
          <cell r="E12803">
            <v>0</v>
          </cell>
          <cell r="F12803">
            <v>990</v>
          </cell>
        </row>
        <row r="12804">
          <cell r="A12804" t="str">
            <v>Y0080-2XL</v>
          </cell>
          <cell r="B12804" t="str">
            <v>Y80</v>
          </cell>
          <cell r="C12804" t="str">
            <v>ซาติน แขนสั้นขายาว Stripe Indigo 2XL</v>
          </cell>
          <cell r="E12804">
            <v>0</v>
          </cell>
          <cell r="F12804">
            <v>990</v>
          </cell>
        </row>
        <row r="12805">
          <cell r="A12805" t="str">
            <v>Y0080-L</v>
          </cell>
          <cell r="B12805" t="str">
            <v>QY80</v>
          </cell>
          <cell r="C12805" t="str">
            <v>ซาติน แขนสั้นขายาว Stripe Indigo L QC</v>
          </cell>
          <cell r="E12805">
            <v>0</v>
          </cell>
          <cell r="F12805">
            <v>990</v>
          </cell>
        </row>
        <row r="12806">
          <cell r="A12806" t="str">
            <v>Y0080-M</v>
          </cell>
          <cell r="B12806" t="str">
            <v>Y80</v>
          </cell>
          <cell r="C12806" t="str">
            <v>ซาติน แขนสั้นขายาว Stripe Indigo M</v>
          </cell>
          <cell r="E12806">
            <v>8</v>
          </cell>
          <cell r="F12806">
            <v>990</v>
          </cell>
        </row>
        <row r="12807">
          <cell r="A12807" t="str">
            <v>Y0080-XL</v>
          </cell>
          <cell r="B12807" t="str">
            <v>Y80</v>
          </cell>
          <cell r="C12807" t="str">
            <v>ซาติน แขนสั้นขายาว Stripe Indigo XL</v>
          </cell>
          <cell r="E12807">
            <v>2</v>
          </cell>
          <cell r="F12807">
            <v>990</v>
          </cell>
        </row>
        <row r="12808">
          <cell r="A12808" t="str">
            <v>Y0081-2XL</v>
          </cell>
          <cell r="B12808" t="str">
            <v>Y81</v>
          </cell>
          <cell r="C12808" t="str">
            <v>ซาติน แขนสั้นขายาว Stripe Cobalt 2XL</v>
          </cell>
          <cell r="E12808">
            <v>6</v>
          </cell>
          <cell r="F12808">
            <v>990</v>
          </cell>
        </row>
        <row r="12809">
          <cell r="A12809" t="str">
            <v>Y0081-L</v>
          </cell>
          <cell r="B12809" t="str">
            <v>Y81</v>
          </cell>
          <cell r="C12809" t="str">
            <v>ซาติน แขนสั้นขายาว Stripe Cobalt L</v>
          </cell>
          <cell r="E12809">
            <v>0</v>
          </cell>
          <cell r="F12809">
            <v>990</v>
          </cell>
        </row>
        <row r="12810">
          <cell r="A12810" t="str">
            <v>Y0081-M</v>
          </cell>
          <cell r="B12810" t="str">
            <v>Y81</v>
          </cell>
          <cell r="C12810" t="str">
            <v>ซาติน แขนสั้นขายาว Stripe Cobalt M</v>
          </cell>
          <cell r="E12810">
            <v>21</v>
          </cell>
          <cell r="F12810">
            <v>990</v>
          </cell>
        </row>
        <row r="12811">
          <cell r="A12811" t="str">
            <v>Y0081-XL</v>
          </cell>
          <cell r="B12811" t="str">
            <v>Y81</v>
          </cell>
          <cell r="C12811" t="str">
            <v>ซาติน แขนสั้นขายาว Stripe Cobalt XL</v>
          </cell>
          <cell r="E12811">
            <v>5</v>
          </cell>
          <cell r="F12811">
            <v>990</v>
          </cell>
        </row>
        <row r="12812">
          <cell r="A12812" t="str">
            <v>Y0082-2XL</v>
          </cell>
          <cell r="B12812" t="str">
            <v>Y82</v>
          </cell>
          <cell r="C12812" t="str">
            <v>ซาติน แขนสั้นขาสั้น Stripe Cobalt 2XL</v>
          </cell>
          <cell r="E12812">
            <v>0</v>
          </cell>
          <cell r="F12812">
            <v>890</v>
          </cell>
        </row>
        <row r="12813">
          <cell r="A12813" t="str">
            <v>Y0082-L</v>
          </cell>
          <cell r="B12813" t="str">
            <v>Y82</v>
          </cell>
          <cell r="C12813" t="str">
            <v>ซาติน แขนสั้นขาสั้น Stripe Cobalt L</v>
          </cell>
          <cell r="E12813">
            <v>0</v>
          </cell>
          <cell r="F12813">
            <v>890</v>
          </cell>
        </row>
        <row r="12814">
          <cell r="A12814" t="str">
            <v>Y0082-M</v>
          </cell>
          <cell r="B12814" t="str">
            <v>Y82</v>
          </cell>
          <cell r="C12814" t="str">
            <v>ซาติน แขนสั้นขาสั้น Stripe Cobalt M</v>
          </cell>
          <cell r="E12814">
            <v>18</v>
          </cell>
          <cell r="F12814">
            <v>890</v>
          </cell>
        </row>
        <row r="12815">
          <cell r="A12815" t="str">
            <v>Y0082-XL</v>
          </cell>
          <cell r="B12815" t="str">
            <v>Y82</v>
          </cell>
          <cell r="C12815" t="str">
            <v>ซาติน แขนสั้นขาสั้น Stripe Cobalt XL</v>
          </cell>
          <cell r="E12815">
            <v>0</v>
          </cell>
          <cell r="F12815">
            <v>890</v>
          </cell>
        </row>
        <row r="12816">
          <cell r="A12816" t="str">
            <v>Y0083-2XL</v>
          </cell>
          <cell r="B12816" t="str">
            <v>Y83</v>
          </cell>
          <cell r="C12816" t="str">
            <v>ซาติน แขนสั้นขาสั้น Stripe Indigo 2XL</v>
          </cell>
          <cell r="E12816">
            <v>0</v>
          </cell>
          <cell r="F12816">
            <v>890</v>
          </cell>
        </row>
        <row r="12817">
          <cell r="A12817" t="str">
            <v>Y0083-L</v>
          </cell>
          <cell r="B12817" t="str">
            <v>Y83</v>
          </cell>
          <cell r="C12817" t="str">
            <v>ซาติน แขนสั้นขาสั้น Stripe Indigo L</v>
          </cell>
          <cell r="E12817">
            <v>0</v>
          </cell>
          <cell r="F12817">
            <v>890</v>
          </cell>
        </row>
        <row r="12818">
          <cell r="A12818" t="str">
            <v>Y0083-M</v>
          </cell>
          <cell r="B12818" t="str">
            <v>Y83</v>
          </cell>
          <cell r="C12818" t="str">
            <v>ซาติน แขนสั้นขาสั้น Stripe Indigo M</v>
          </cell>
          <cell r="E12818">
            <v>13</v>
          </cell>
          <cell r="F12818">
            <v>890</v>
          </cell>
        </row>
        <row r="12819">
          <cell r="A12819" t="str">
            <v>Y0083-XL</v>
          </cell>
          <cell r="B12819" t="str">
            <v>Y83</v>
          </cell>
          <cell r="C12819" t="str">
            <v>ซาติน แขนสั้นขาสั้น Stripe Indigo XL</v>
          </cell>
          <cell r="E12819">
            <v>0</v>
          </cell>
          <cell r="F12819">
            <v>890</v>
          </cell>
        </row>
        <row r="12820">
          <cell r="A12820" t="str">
            <v>Y0084-L</v>
          </cell>
          <cell r="B12820" t="str">
            <v>Y84</v>
          </cell>
          <cell r="C12820" t="str">
            <v>ซาติน แขนยาวขายาว ลายทาง ขาว ดำ ผู้ชาย (กปก) L</v>
          </cell>
          <cell r="E12820">
            <v>0</v>
          </cell>
          <cell r="F12820">
            <v>890</v>
          </cell>
        </row>
        <row r="12821">
          <cell r="A12821" t="str">
            <v>Y0084-M</v>
          </cell>
          <cell r="B12821" t="str">
            <v>Y84</v>
          </cell>
          <cell r="C12821" t="str">
            <v>ซาติน แขนยาวขายาว ลายทาง ขาว ดำ ผู้ชาย (กปก) M</v>
          </cell>
          <cell r="E12821">
            <v>0</v>
          </cell>
          <cell r="F12821">
            <v>890</v>
          </cell>
        </row>
        <row r="12822">
          <cell r="A12822" t="str">
            <v>Y0084-XL</v>
          </cell>
          <cell r="B12822" t="str">
            <v>Y84</v>
          </cell>
          <cell r="C12822" t="str">
            <v>ซาติน แขนยาวขายาว ลายทาง ขาว ดำ ผู้ชาย (กปก) XL</v>
          </cell>
          <cell r="E12822">
            <v>0</v>
          </cell>
          <cell r="F12822">
            <v>890</v>
          </cell>
        </row>
        <row r="12823">
          <cell r="A12823" t="str">
            <v>Y0085-2XL</v>
          </cell>
          <cell r="B12823" t="str">
            <v>Y85</v>
          </cell>
          <cell r="C12823" t="str">
            <v>เยื่อไผ่ แขนยาวขายาว ลายทาง gloomy ผู้ชาย 2XL</v>
          </cell>
          <cell r="E12823">
            <v>0</v>
          </cell>
          <cell r="F12823">
            <v>890</v>
          </cell>
        </row>
        <row r="12824">
          <cell r="A12824" t="str">
            <v>Y0085-L</v>
          </cell>
          <cell r="B12824" t="str">
            <v>Y85</v>
          </cell>
          <cell r="C12824" t="str">
            <v>เยื่อไผ่ แขนยาวขายาว ลายทาง gloomy ผู้ชาย L</v>
          </cell>
          <cell r="E12824">
            <v>0</v>
          </cell>
          <cell r="F12824">
            <v>990</v>
          </cell>
        </row>
        <row r="12825">
          <cell r="A12825" t="str">
            <v>Y0085-XL</v>
          </cell>
          <cell r="B12825" t="str">
            <v>Y85</v>
          </cell>
          <cell r="C12825" t="str">
            <v>เยื่อไผ่ แขนยาวขายาว ลายทาง gloomy ผู้ชาย XL</v>
          </cell>
          <cell r="E12825">
            <v>0</v>
          </cell>
          <cell r="F12825">
            <v>990</v>
          </cell>
        </row>
        <row r="12826">
          <cell r="A12826" t="str">
            <v>Y0086-2XL</v>
          </cell>
          <cell r="B12826" t="str">
            <v>Y86</v>
          </cell>
          <cell r="C12826" t="str">
            <v>ซาติน แขนสั้นขายาว ลายทางขาว พื้นดำ ผู้ชาย 2XL (กปก)</v>
          </cell>
          <cell r="E12826">
            <v>0</v>
          </cell>
          <cell r="F12826">
            <v>990</v>
          </cell>
        </row>
        <row r="12827">
          <cell r="A12827" t="str">
            <v>Y0086-L</v>
          </cell>
          <cell r="B12827" t="str">
            <v>Y86</v>
          </cell>
          <cell r="C12827" t="str">
            <v>ซาติน แขนสั้นขายาว ลายทางขาว พื้นดำ ผู้ชาย L (กปก)</v>
          </cell>
          <cell r="E12827">
            <v>0</v>
          </cell>
          <cell r="F12827">
            <v>990</v>
          </cell>
        </row>
        <row r="12828">
          <cell r="A12828" t="str">
            <v>Y0086-M</v>
          </cell>
          <cell r="B12828" t="str">
            <v>Y86</v>
          </cell>
          <cell r="C12828" t="str">
            <v>ซาติน แขนสั้นขายาว ลายทางขาว พื้นดำ ผู้ชาย M (กปก)</v>
          </cell>
          <cell r="E12828">
            <v>0</v>
          </cell>
          <cell r="F12828">
            <v>990</v>
          </cell>
        </row>
        <row r="12829">
          <cell r="A12829" t="str">
            <v>Y0086-XL</v>
          </cell>
          <cell r="B12829" t="str">
            <v>Y86</v>
          </cell>
          <cell r="C12829" t="str">
            <v>ซาติน แขนสั้นขายาว ลายทางขาว พื้นดำ ผู้ชาย XL (กปก)</v>
          </cell>
          <cell r="E12829">
            <v>0</v>
          </cell>
          <cell r="F12829">
            <v>990</v>
          </cell>
        </row>
        <row r="12830">
          <cell r="A12830" t="str">
            <v>Y0087-2XL</v>
          </cell>
          <cell r="B12830" t="str">
            <v>Y87</v>
          </cell>
          <cell r="C12830" t="str">
            <v>ซาติน แขนสั้นขาสั้น ริ้วขาว ดำ ผู้ชาย 2XL</v>
          </cell>
          <cell r="E12830">
            <v>0</v>
          </cell>
          <cell r="F12830">
            <v>890</v>
          </cell>
        </row>
        <row r="12831">
          <cell r="A12831" t="str">
            <v>Y0087-L</v>
          </cell>
          <cell r="B12831" t="str">
            <v>Y87</v>
          </cell>
          <cell r="C12831" t="str">
            <v>ซาติน แขนสั้นขาสั้น ริ้วขาว ดำ ผู้ชาย L</v>
          </cell>
          <cell r="E12831">
            <v>0</v>
          </cell>
          <cell r="F12831">
            <v>890</v>
          </cell>
        </row>
        <row r="12832">
          <cell r="A12832" t="str">
            <v>Y0087-M</v>
          </cell>
          <cell r="B12832" t="str">
            <v>Y87</v>
          </cell>
          <cell r="C12832" t="str">
            <v>ซาติน แขนสั้นขาสั้น ริ้วขาว ดำ ผู้ชาย M</v>
          </cell>
          <cell r="E12832">
            <v>0</v>
          </cell>
          <cell r="F12832">
            <v>590</v>
          </cell>
        </row>
        <row r="12833">
          <cell r="A12833" t="str">
            <v>Y0087-XL</v>
          </cell>
          <cell r="B12833" t="str">
            <v>Y87</v>
          </cell>
          <cell r="C12833" t="str">
            <v>ซาติน แขนสั้นขาสั้น ริ้วขาว ดำ ผู้ชาย XL</v>
          </cell>
          <cell r="E12833">
            <v>0</v>
          </cell>
          <cell r="F12833">
            <v>890</v>
          </cell>
        </row>
        <row r="12834">
          <cell r="A12834" t="str">
            <v>Y0088-2XL</v>
          </cell>
          <cell r="B12834" t="str">
            <v>Y88</v>
          </cell>
          <cell r="C12834" t="str">
            <v>ซาติน แขนสั้นขาสั้น ลายทางขาว พื้นดำ ผู้ชาย 2XL (กปก)</v>
          </cell>
          <cell r="E12834">
            <v>0</v>
          </cell>
          <cell r="F12834">
            <v>890</v>
          </cell>
        </row>
        <row r="12835">
          <cell r="A12835" t="str">
            <v>Y0088-L</v>
          </cell>
          <cell r="B12835" t="str">
            <v>Y88</v>
          </cell>
          <cell r="C12835" t="str">
            <v>ซาติน แขนสั้นขาสั้น ลายทางขาว พื้นดำ ผู้ชาย L (กปก)</v>
          </cell>
          <cell r="E12835">
            <v>0</v>
          </cell>
          <cell r="F12835">
            <v>890</v>
          </cell>
        </row>
        <row r="12836">
          <cell r="A12836" t="str">
            <v>Y0088-M</v>
          </cell>
          <cell r="B12836" t="str">
            <v>Y88</v>
          </cell>
          <cell r="C12836" t="str">
            <v>ซาติน แขนสั้นขาสั้น ลายทางขาว พื้นดำ ผู้ชาย M (กปก)</v>
          </cell>
          <cell r="E12836">
            <v>0</v>
          </cell>
          <cell r="F12836">
            <v>590</v>
          </cell>
        </row>
        <row r="12837">
          <cell r="A12837" t="str">
            <v>Y0088-XL</v>
          </cell>
          <cell r="B12837" t="str">
            <v>Y88</v>
          </cell>
          <cell r="C12837" t="str">
            <v>ซาติน แขนสั้นขาสั้น ลายทางขาว พื้นดำ ผู้ชาย XL (กปก)</v>
          </cell>
          <cell r="E12837">
            <v>0</v>
          </cell>
          <cell r="F12837">
            <v>890</v>
          </cell>
        </row>
        <row r="12838">
          <cell r="A12838" t="str">
            <v>Y0089-2XL</v>
          </cell>
          <cell r="B12838" t="str">
            <v>Y89</v>
          </cell>
          <cell r="C12838" t="str">
            <v>ซาติน แขนสั้นขายาว ริ้วขาว ดำ ผู้ชาย 2XL</v>
          </cell>
          <cell r="E12838">
            <v>0</v>
          </cell>
          <cell r="F12838">
            <v>990</v>
          </cell>
        </row>
        <row r="12839">
          <cell r="A12839" t="str">
            <v>Y0089-L</v>
          </cell>
          <cell r="B12839" t="str">
            <v>Y89</v>
          </cell>
          <cell r="C12839" t="str">
            <v>ซาติน แขนสั้นขายาว ริ้วขาว ดำ ผู้ชาย L</v>
          </cell>
          <cell r="E12839">
            <v>0</v>
          </cell>
          <cell r="F12839">
            <v>990</v>
          </cell>
        </row>
        <row r="12840">
          <cell r="A12840" t="str">
            <v>Y0089-M</v>
          </cell>
          <cell r="B12840" t="str">
            <v>Y89</v>
          </cell>
          <cell r="C12840" t="str">
            <v>ซาติน แขนสั้นขายาว ริ้วขาว ดำ ผู้ชาย M</v>
          </cell>
          <cell r="E12840">
            <v>0</v>
          </cell>
          <cell r="F12840">
            <v>990</v>
          </cell>
        </row>
        <row r="12841">
          <cell r="A12841" t="str">
            <v>Y0089-XL</v>
          </cell>
          <cell r="B12841" t="str">
            <v>Y89</v>
          </cell>
          <cell r="C12841" t="str">
            <v>ซาติน แขนสั้นขายาว ริ้วขาว ดำ ผู้ชาย XL</v>
          </cell>
          <cell r="E12841">
            <v>0</v>
          </cell>
          <cell r="F12841">
            <v>990</v>
          </cell>
        </row>
        <row r="12842">
          <cell r="A12842" t="str">
            <v>Y0090-2XL</v>
          </cell>
          <cell r="B12842" t="str">
            <v>Y90</v>
          </cell>
          <cell r="C12842" t="str">
            <v>ซาติน แขนสั้นขายาว ลายทางดำ พื้นครีม 2XL ผู้ชาย</v>
          </cell>
          <cell r="E12842">
            <v>0</v>
          </cell>
          <cell r="F12842">
            <v>990</v>
          </cell>
        </row>
        <row r="12843">
          <cell r="A12843" t="str">
            <v>Y0090-L</v>
          </cell>
          <cell r="B12843" t="str">
            <v>Y90</v>
          </cell>
          <cell r="C12843" t="str">
            <v>ซาติน แขนสั้นขายาว ลายทางดำ พื้นครีม L ผู้ชาย</v>
          </cell>
          <cell r="E12843">
            <v>0</v>
          </cell>
          <cell r="F12843">
            <v>990</v>
          </cell>
        </row>
        <row r="12844">
          <cell r="A12844" t="str">
            <v>Y0090-M</v>
          </cell>
          <cell r="B12844" t="str">
            <v>QY90</v>
          </cell>
          <cell r="C12844" t="str">
            <v>ซาติน แขนสั้นขายาว ลายทางดำ พื้นครีม M ผู้ชาย QC</v>
          </cell>
          <cell r="E12844">
            <v>0</v>
          </cell>
          <cell r="F12844">
            <v>990</v>
          </cell>
        </row>
        <row r="12845">
          <cell r="A12845" t="str">
            <v>Y0090-XL</v>
          </cell>
          <cell r="B12845" t="str">
            <v>Y90</v>
          </cell>
          <cell r="C12845" t="str">
            <v>ซาติน แขนสั้นขายาว ลายทางดำ พื้นครีม XL ผู้ชาย</v>
          </cell>
          <cell r="E12845">
            <v>0</v>
          </cell>
          <cell r="F12845">
            <v>990</v>
          </cell>
        </row>
        <row r="12846">
          <cell r="A12846" t="str">
            <v>Y0091-2XL</v>
          </cell>
          <cell r="B12846" t="str">
            <v>Y91</v>
          </cell>
          <cell r="C12846" t="str">
            <v>ซาติน แขนสั้นขาสั้น ลายทางดำ พื้นครีม 2XL (กปก) ผู้ชาย</v>
          </cell>
          <cell r="E12846">
            <v>0</v>
          </cell>
          <cell r="F12846">
            <v>890</v>
          </cell>
        </row>
        <row r="12847">
          <cell r="A12847" t="str">
            <v>Y0091-L</v>
          </cell>
          <cell r="B12847" t="str">
            <v>Y91</v>
          </cell>
          <cell r="C12847" t="str">
            <v>ซาติน แขนสั้นขาสั้น ลายทางดำ พื้นครีม L (กปก) ผู้ชาย</v>
          </cell>
          <cell r="E12847">
            <v>0</v>
          </cell>
          <cell r="F12847">
            <v>890</v>
          </cell>
        </row>
        <row r="12848">
          <cell r="A12848" t="str">
            <v>Y0091-M</v>
          </cell>
          <cell r="B12848" t="str">
            <v>QY91</v>
          </cell>
          <cell r="C12848" t="str">
            <v>ซาติน แขนสั้นขาสั้น ลายทางดำ พื้นครีม M (กปก) ผู้ชาย QC</v>
          </cell>
          <cell r="E12848">
            <v>0</v>
          </cell>
          <cell r="F12848">
            <v>890</v>
          </cell>
        </row>
        <row r="12849">
          <cell r="A12849" t="str">
            <v>Y0091-XL</v>
          </cell>
          <cell r="B12849" t="str">
            <v>Y91</v>
          </cell>
          <cell r="C12849" t="str">
            <v>ซาติน แขนสั้นขาสั้น ลายทางดำ พื้นครีม XL (กปก) ผู้ชาย</v>
          </cell>
          <cell r="E12849">
            <v>0</v>
          </cell>
          <cell r="F12849">
            <v>890</v>
          </cell>
        </row>
        <row r="12850">
          <cell r="A12850" t="str">
            <v>Y0092-2XL</v>
          </cell>
          <cell r="B12850" t="str">
            <v>Y92</v>
          </cell>
          <cell r="C12850" t="str">
            <v>ซาติน แขนสั้นขายาว ลายทางครีม พื้นดำ 2XL ผู้ชาย</v>
          </cell>
          <cell r="E12850">
            <v>0</v>
          </cell>
          <cell r="F12850">
            <v>990</v>
          </cell>
        </row>
        <row r="12851">
          <cell r="A12851" t="str">
            <v>Y0092-L</v>
          </cell>
          <cell r="B12851" t="str">
            <v>Y92</v>
          </cell>
          <cell r="C12851" t="str">
            <v>ซาติน แขนสั้นขายาว ลายทางครีม พื้นดำ L ผู้ชาย</v>
          </cell>
          <cell r="E12851">
            <v>0</v>
          </cell>
          <cell r="F12851">
            <v>990</v>
          </cell>
        </row>
        <row r="12852">
          <cell r="A12852" t="str">
            <v>Y0092-M</v>
          </cell>
          <cell r="B12852" t="str">
            <v>Y92</v>
          </cell>
          <cell r="C12852" t="str">
            <v>ซาติน แขนสั้นขายาว ลายทางครีม พื้นดำ M ผู้ชาย</v>
          </cell>
          <cell r="E12852">
            <v>0</v>
          </cell>
          <cell r="F12852">
            <v>990</v>
          </cell>
        </row>
        <row r="12853">
          <cell r="A12853" t="str">
            <v>Y0092-XL</v>
          </cell>
          <cell r="B12853" t="str">
            <v>Y92</v>
          </cell>
          <cell r="C12853" t="str">
            <v>ซาติน แขนสั้นขายาว ลายทางครีม พื้นดำ XL ผู้ชาย</v>
          </cell>
          <cell r="E12853">
            <v>0</v>
          </cell>
          <cell r="F12853">
            <v>990</v>
          </cell>
        </row>
        <row r="12854">
          <cell r="A12854" t="str">
            <v>Y0093-2XL</v>
          </cell>
          <cell r="B12854" t="str">
            <v>Y93</v>
          </cell>
          <cell r="C12854" t="str">
            <v>ซาติน แขนสั้นขาสั้น ลายทางครีม พื้นดำ 2XL ผู้ชาย</v>
          </cell>
          <cell r="E12854">
            <v>0</v>
          </cell>
          <cell r="F12854">
            <v>890</v>
          </cell>
        </row>
        <row r="12855">
          <cell r="A12855" t="str">
            <v>Y0093-L</v>
          </cell>
          <cell r="B12855" t="str">
            <v>Y93</v>
          </cell>
          <cell r="C12855" t="str">
            <v>ซาติน แขนสั้นขาสั้น ลายทางครีม พื้นดำ L ผู้ชาย</v>
          </cell>
          <cell r="E12855">
            <v>0</v>
          </cell>
          <cell r="F12855">
            <v>890</v>
          </cell>
        </row>
        <row r="12856">
          <cell r="A12856" t="str">
            <v>Y0093-M</v>
          </cell>
          <cell r="B12856" t="str">
            <v>QY93</v>
          </cell>
          <cell r="C12856" t="str">
            <v>ซาติน แขนสั้นขาสั้น ลายทางครีม พื้นดำ M ผู้ชาย QC</v>
          </cell>
          <cell r="E12856">
            <v>0</v>
          </cell>
          <cell r="F12856">
            <v>890</v>
          </cell>
        </row>
        <row r="12857">
          <cell r="A12857" t="str">
            <v>Y0093-XL</v>
          </cell>
          <cell r="B12857" t="str">
            <v>Y93</v>
          </cell>
          <cell r="C12857" t="str">
            <v>ซาติน แขนสั้นขาสั้น ลายทางครีม พื้นดำ XL ผู้ชาย</v>
          </cell>
          <cell r="E12857">
            <v>0</v>
          </cell>
          <cell r="F12857">
            <v>890</v>
          </cell>
        </row>
        <row r="12858">
          <cell r="A12858" t="str">
            <v>Y0094-2XL</v>
          </cell>
          <cell r="B12858" t="str">
            <v>Y94</v>
          </cell>
          <cell r="C12858" t="str">
            <v>ซาติน แขนสั้นขาสั้น ลายทางกรม แดง กระเป๋านกฮูก 2XL ผู้ชาย</v>
          </cell>
          <cell r="E12858">
            <v>0</v>
          </cell>
          <cell r="F12858">
            <v>890</v>
          </cell>
        </row>
        <row r="12859">
          <cell r="A12859" t="str">
            <v>Y0094-L</v>
          </cell>
          <cell r="B12859" t="str">
            <v>Y94</v>
          </cell>
          <cell r="C12859" t="str">
            <v>ซาติน แขนสั้นขาสั้น ลายทางกรม แดง กระเป๋านกฮูก L ผู้ชาย</v>
          </cell>
          <cell r="E12859">
            <v>0</v>
          </cell>
          <cell r="F12859">
            <v>890</v>
          </cell>
        </row>
        <row r="12860">
          <cell r="A12860" t="str">
            <v>Y0094-M</v>
          </cell>
          <cell r="B12860" t="str">
            <v>Y94</v>
          </cell>
          <cell r="C12860" t="str">
            <v>ซาติน แขนสั้นขาสั้น ลายทางกรม แดง กระเป๋านกฮูก M ผู้ชาย</v>
          </cell>
          <cell r="E12860">
            <v>0</v>
          </cell>
          <cell r="F12860">
            <v>590</v>
          </cell>
        </row>
        <row r="12861">
          <cell r="A12861" t="str">
            <v>Y0094-XL</v>
          </cell>
          <cell r="B12861" t="str">
            <v>Y94</v>
          </cell>
          <cell r="C12861" t="str">
            <v>ซาติน แขนสั้นขาสั้น ลายทางกรม แดง กระเป๋านกฮูก XL ผู้ชาย</v>
          </cell>
          <cell r="E12861">
            <v>0</v>
          </cell>
          <cell r="F12861">
            <v>890</v>
          </cell>
        </row>
        <row r="12862">
          <cell r="A12862" t="str">
            <v>Y0095-2XL</v>
          </cell>
          <cell r="B12862" t="str">
            <v>QY95</v>
          </cell>
          <cell r="C12862" t="str">
            <v>ซาติน แขนสั้นขายาว ลายทางกรม แดง กระเป๋านกฮูก 2XL (กปก) ผู้ชาย QC</v>
          </cell>
          <cell r="E12862">
            <v>0</v>
          </cell>
          <cell r="F12862">
            <v>990</v>
          </cell>
        </row>
        <row r="12863">
          <cell r="A12863" t="str">
            <v>Y0095-L</v>
          </cell>
          <cell r="B12863" t="str">
            <v>Y95</v>
          </cell>
          <cell r="C12863" t="str">
            <v>ซาติน แขนสั้นขายาว ลายทางกรม แดง กระเป๋านกฮูก L (กปก) ผู้ชาย</v>
          </cell>
          <cell r="E12863">
            <v>0</v>
          </cell>
          <cell r="F12863">
            <v>990</v>
          </cell>
        </row>
        <row r="12864">
          <cell r="A12864" t="str">
            <v>Y0095-M</v>
          </cell>
          <cell r="B12864" t="str">
            <v>Y95</v>
          </cell>
          <cell r="C12864" t="str">
            <v>ซาติน แขนสั้นขายาว ลายทางกรม แดง กระเป๋านกฮูก M (กปก) ผู้ชาย</v>
          </cell>
          <cell r="E12864">
            <v>0</v>
          </cell>
          <cell r="F12864">
            <v>590</v>
          </cell>
        </row>
        <row r="12865">
          <cell r="A12865" t="str">
            <v>Y0095-XL</v>
          </cell>
          <cell r="B12865" t="str">
            <v>Y95</v>
          </cell>
          <cell r="C12865" t="str">
            <v>ซาติน แขนสั้นขายาว ลายทางกรม แดง กระเป๋านกฮูก XL (กปก) ผู้ชาย</v>
          </cell>
          <cell r="E12865">
            <v>0</v>
          </cell>
          <cell r="F12865">
            <v>990</v>
          </cell>
        </row>
        <row r="12866">
          <cell r="A12866" t="str">
            <v>Y0096-2XL</v>
          </cell>
          <cell r="B12866" t="str">
            <v>Y96</v>
          </cell>
          <cell r="C12866" t="str">
            <v>ซาติน แขนสั้นขาสั้น เทา กระเป๋าหมา 2XL (กปก) ผู้ชาย</v>
          </cell>
          <cell r="E12866">
            <v>0</v>
          </cell>
          <cell r="F12866">
            <v>890</v>
          </cell>
        </row>
        <row r="12867">
          <cell r="A12867" t="str">
            <v>Y0096-L</v>
          </cell>
          <cell r="B12867" t="str">
            <v>Y96</v>
          </cell>
          <cell r="C12867" t="str">
            <v>ซาติน แขนสั้นขาสั้น เทา กระเป๋าหมา L (กปก) ผู้ชาย</v>
          </cell>
          <cell r="E12867">
            <v>0</v>
          </cell>
          <cell r="F12867">
            <v>890</v>
          </cell>
        </row>
        <row r="12868">
          <cell r="A12868" t="str">
            <v>Y0096-XL</v>
          </cell>
          <cell r="B12868" t="str">
            <v>Y96</v>
          </cell>
          <cell r="C12868" t="str">
            <v>ซาติน แขนสั้นขาสั้น เทา กระเป๋าหมา XL (กปก) ผู้ชาย</v>
          </cell>
          <cell r="E12868">
            <v>0</v>
          </cell>
          <cell r="F12868">
            <v>890</v>
          </cell>
        </row>
        <row r="12869">
          <cell r="A12869" t="str">
            <v>Y0097-2XL</v>
          </cell>
          <cell r="B12869" t="str">
            <v>Y97</v>
          </cell>
          <cell r="C12869" t="str">
            <v>ซาติน แขนสั้นขาสั้น น้ำตาล หรู 2XL (กปก) ผู้ชาย</v>
          </cell>
          <cell r="E12869">
            <v>0</v>
          </cell>
          <cell r="F12869">
            <v>590</v>
          </cell>
        </row>
        <row r="12870">
          <cell r="A12870" t="str">
            <v>Y0097-L</v>
          </cell>
          <cell r="B12870" t="str">
            <v>Y97</v>
          </cell>
          <cell r="C12870" t="str">
            <v>ซาติน แขนสั้นขาสั้น น้ำตาล หรู L (กปก) ผู้ชาย</v>
          </cell>
          <cell r="E12870">
            <v>0</v>
          </cell>
          <cell r="F12870">
            <v>890</v>
          </cell>
        </row>
        <row r="12871">
          <cell r="A12871" t="str">
            <v>Y0097-XL</v>
          </cell>
          <cell r="B12871" t="str">
            <v>Y97</v>
          </cell>
          <cell r="C12871" t="str">
            <v>ซาติน แขนสั้นขาสั้น น้ำตาล หรู XL (กปก) ผู้ชาย</v>
          </cell>
          <cell r="E12871">
            <v>0</v>
          </cell>
          <cell r="F12871">
            <v>890</v>
          </cell>
        </row>
        <row r="12872">
          <cell r="A12872" t="str">
            <v>Y0098-2XL</v>
          </cell>
          <cell r="B12872" t="str">
            <v>Y98</v>
          </cell>
          <cell r="C12872" t="str">
            <v>ซาติน แขนสั้นขาสั้น กรม ขอบน้ำตาล 2XL (กปก) ผู้ชาย</v>
          </cell>
          <cell r="E12872">
            <v>0</v>
          </cell>
          <cell r="F12872">
            <v>890</v>
          </cell>
        </row>
        <row r="12873">
          <cell r="A12873" t="str">
            <v>Y0098-L</v>
          </cell>
          <cell r="B12873" t="str">
            <v>Y98</v>
          </cell>
          <cell r="C12873" t="str">
            <v>ซาติน แขนสั้นขาสั้น กรม ขอบน้ำตาล L (กปก) ผู้ชาย</v>
          </cell>
          <cell r="E12873">
            <v>0</v>
          </cell>
          <cell r="F12873">
            <v>890</v>
          </cell>
        </row>
        <row r="12874">
          <cell r="A12874" t="str">
            <v>Y0098-XL</v>
          </cell>
          <cell r="B12874" t="str">
            <v>Y98</v>
          </cell>
          <cell r="C12874" t="str">
            <v>ซาติน แขนสั้นขาสั้น กรม ขอบน้ำตาล XL (กปก) ผู้ชาย</v>
          </cell>
          <cell r="E12874">
            <v>0</v>
          </cell>
          <cell r="F12874">
            <v>890</v>
          </cell>
        </row>
        <row r="12875">
          <cell r="A12875" t="str">
            <v>Y0099-2XL</v>
          </cell>
          <cell r="B12875" t="str">
            <v>Y99</v>
          </cell>
          <cell r="C12875" t="str">
            <v>ซาติน แขนสั้นขาสั้น V NEW ชมพู ฟ้า คราม 2XL (กปก) ผู้ชาย</v>
          </cell>
          <cell r="E12875">
            <v>0</v>
          </cell>
          <cell r="F12875">
            <v>890</v>
          </cell>
        </row>
        <row r="12876">
          <cell r="A12876" t="str">
            <v>Y0099-L</v>
          </cell>
          <cell r="B12876" t="str">
            <v>Y99</v>
          </cell>
          <cell r="C12876" t="str">
            <v>ซาติน แขนสั้นขาสั้น V NEW ชมพู ฟ้า คราม L (กปก) ผู้ชาย</v>
          </cell>
          <cell r="E12876">
            <v>0</v>
          </cell>
          <cell r="F12876">
            <v>890</v>
          </cell>
        </row>
        <row r="12877">
          <cell r="A12877" t="str">
            <v>Y0099-XL</v>
          </cell>
          <cell r="B12877" t="str">
            <v>Y99</v>
          </cell>
          <cell r="C12877" t="str">
            <v>ซาติน แขนสั้นขาสั้น V NEW ชมพู ฟ้า คราม XL (กปก) ผู้ชาย</v>
          </cell>
          <cell r="E12877">
            <v>0</v>
          </cell>
          <cell r="F12877">
            <v>890</v>
          </cell>
        </row>
        <row r="12878">
          <cell r="A12878" t="str">
            <v>Y0100-2XL</v>
          </cell>
          <cell r="B12878" t="str">
            <v>Y100</v>
          </cell>
          <cell r="C12878" t="str">
            <v>ซาติน แขนสั้นขายาว เทา ไทเทเนียม ผู้ชาย 2XL (กปก)</v>
          </cell>
          <cell r="E12878">
            <v>0</v>
          </cell>
          <cell r="F12878">
            <v>890</v>
          </cell>
        </row>
        <row r="12879">
          <cell r="A12879" t="str">
            <v>Y0100-L</v>
          </cell>
          <cell r="B12879" t="str">
            <v>Y100</v>
          </cell>
          <cell r="C12879" t="str">
            <v>ซาติน แขนสั้นขายาว เทา ไทเทเนียม ผู้ชาย L (กปก)</v>
          </cell>
          <cell r="E12879">
            <v>0</v>
          </cell>
          <cell r="F12879">
            <v>890</v>
          </cell>
        </row>
        <row r="12880">
          <cell r="A12880" t="str">
            <v>Y0100-XL</v>
          </cell>
          <cell r="B12880" t="str">
            <v>Y100</v>
          </cell>
          <cell r="C12880" t="str">
            <v>ซาติน แขนสั้นขายาว เทา ไทเทเนียม ผู้ชาย XL (กปก)</v>
          </cell>
          <cell r="E12880">
            <v>0</v>
          </cell>
          <cell r="F12880">
            <v>890</v>
          </cell>
        </row>
        <row r="12881">
          <cell r="A12881" t="str">
            <v>Y0101-2XL</v>
          </cell>
          <cell r="B12881" t="str">
            <v>Y101</v>
          </cell>
          <cell r="C12881" t="str">
            <v>ซาติน แขนสั้นขาสั้น น้ำเงิน ลายไม้ 2XL (กปก) ผู้ชาย</v>
          </cell>
          <cell r="E12881">
            <v>0</v>
          </cell>
          <cell r="F12881">
            <v>890</v>
          </cell>
        </row>
        <row r="12882">
          <cell r="A12882" t="str">
            <v>Y0101-L</v>
          </cell>
          <cell r="B12882" t="str">
            <v>Y101</v>
          </cell>
          <cell r="C12882" t="str">
            <v>ซาติน แขนสั้นขาสั้น น้ำเงิน ลายไม้ L (กปก) ผู้ชาย</v>
          </cell>
          <cell r="E12882">
            <v>0</v>
          </cell>
          <cell r="F12882">
            <v>890</v>
          </cell>
        </row>
        <row r="12883">
          <cell r="A12883" t="str">
            <v>Y0101-M</v>
          </cell>
          <cell r="B12883" t="str">
            <v>Y101</v>
          </cell>
          <cell r="C12883" t="str">
            <v>ซาติน แขนสั้นขาสั้น น้ำเงิน ลายไม้ M (กปก) ผู้ชาย</v>
          </cell>
          <cell r="E12883">
            <v>0</v>
          </cell>
          <cell r="F12883">
            <v>890</v>
          </cell>
        </row>
        <row r="12884">
          <cell r="A12884" t="str">
            <v>Y0101-XL</v>
          </cell>
          <cell r="B12884" t="str">
            <v>Y101</v>
          </cell>
          <cell r="C12884" t="str">
            <v>ซาติน แขนสั้นขาสั้น น้ำเงิน ลายไม้ XL (กปก) ผู้ชาย</v>
          </cell>
          <cell r="E12884">
            <v>0</v>
          </cell>
          <cell r="F12884">
            <v>890</v>
          </cell>
        </row>
        <row r="12885">
          <cell r="A12885" t="str">
            <v>Y0102-2XL</v>
          </cell>
          <cell r="B12885" t="str">
            <v>Y102</v>
          </cell>
          <cell r="C12885" t="str">
            <v>ซาติน แขนสั้นขาสั้น สีเทา ไทเทเนียม ลายขาว T-RUN ผู้ชาย 2XL (กปก)</v>
          </cell>
          <cell r="E12885">
            <v>0</v>
          </cell>
          <cell r="F12885">
            <v>890</v>
          </cell>
        </row>
        <row r="12886">
          <cell r="A12886" t="str">
            <v>Y0102-L</v>
          </cell>
          <cell r="B12886" t="str">
            <v>Y102</v>
          </cell>
          <cell r="C12886" t="str">
            <v>ซาติน แขนสั้นขาสั้น สีเทา ไทเทเนียม ลายขาว T-RUN ผู้ชาย L (กปก)</v>
          </cell>
          <cell r="E12886">
            <v>0</v>
          </cell>
          <cell r="F12886">
            <v>890</v>
          </cell>
        </row>
        <row r="12887">
          <cell r="A12887" t="str">
            <v>Y0102-M</v>
          </cell>
          <cell r="B12887" t="str">
            <v>Y102</v>
          </cell>
          <cell r="C12887" t="str">
            <v>ซาติน แขนสั้นขาสั้น สีเทา ไทเทเนียม ลายขาว T-RUN ผู้ชาย M (กปก)</v>
          </cell>
          <cell r="E12887">
            <v>0</v>
          </cell>
          <cell r="F12887">
            <v>890</v>
          </cell>
        </row>
        <row r="12888">
          <cell r="A12888" t="str">
            <v>Y0102-XL</v>
          </cell>
          <cell r="B12888" t="str">
            <v>Y102</v>
          </cell>
          <cell r="C12888" t="str">
            <v>ซาติน แขนสั้นขาสั้น สีเทา ไทเทเนียม ลายขาว T-RUN ผู้ชาย XL (กปก)</v>
          </cell>
          <cell r="E12888">
            <v>0</v>
          </cell>
          <cell r="F12888">
            <v>890</v>
          </cell>
        </row>
        <row r="12889">
          <cell r="A12889" t="str">
            <v>Y0103-2XL</v>
          </cell>
          <cell r="B12889" t="str">
            <v>Y103</v>
          </cell>
          <cell r="C12889" t="str">
            <v>เยื่อไผ่ แขนสั้นขายาว ลายทาง gloomy ผู้ชาย 2XL</v>
          </cell>
          <cell r="E12889">
            <v>0</v>
          </cell>
          <cell r="F12889">
            <v>990</v>
          </cell>
        </row>
        <row r="12890">
          <cell r="A12890" t="str">
            <v>Y0103-L</v>
          </cell>
          <cell r="B12890" t="str">
            <v>QY103</v>
          </cell>
          <cell r="C12890" t="str">
            <v>เยื่อไผ่ แขนสั้นขายาว ลายทาง gloomy ผู้ชาย L QC</v>
          </cell>
          <cell r="E12890">
            <v>0</v>
          </cell>
          <cell r="F12890">
            <v>990</v>
          </cell>
        </row>
        <row r="12891">
          <cell r="A12891" t="str">
            <v>Y0103-XL</v>
          </cell>
          <cell r="B12891" t="str">
            <v>Y103</v>
          </cell>
          <cell r="C12891" t="str">
            <v>เยื่อไผ่ แขนสั้นขายาว ลายทาง gloomy ผู้ชาย XL</v>
          </cell>
          <cell r="E12891">
            <v>0</v>
          </cell>
          <cell r="F12891">
            <v>990</v>
          </cell>
        </row>
        <row r="12892">
          <cell r="A12892" t="str">
            <v>Y0104-L</v>
          </cell>
          <cell r="B12892" t="str">
            <v>QY104</v>
          </cell>
          <cell r="C12892" t="str">
            <v>เยื่อไผ่ แขนสั้นขาสั้น ลายทาง blue gloomy L ผู้ชาย QC</v>
          </cell>
          <cell r="E12892">
            <v>0</v>
          </cell>
          <cell r="F12892">
            <v>890</v>
          </cell>
        </row>
        <row r="12893">
          <cell r="A12893" t="str">
            <v>Y0104-XL</v>
          </cell>
          <cell r="B12893" t="str">
            <v>Y104</v>
          </cell>
          <cell r="C12893" t="str">
            <v>เยื่อไผ่ แขนสั้นขาสั้น ลายทาง blue gloomy XL ผู้ชาย</v>
          </cell>
          <cell r="E12893">
            <v>0</v>
          </cell>
          <cell r="F12893">
            <v>890</v>
          </cell>
        </row>
        <row r="12894">
          <cell r="A12894" t="str">
            <v>Y0105-2XL</v>
          </cell>
          <cell r="B12894" t="str">
            <v>Y105</v>
          </cell>
          <cell r="C12894" t="str">
            <v>ซิลค์แจ็คการ์ด แขนยาวขายาว black shine (กปก) ผู้ชาย 2XL</v>
          </cell>
          <cell r="E12894">
            <v>0</v>
          </cell>
          <cell r="F12894">
            <v>1090</v>
          </cell>
        </row>
        <row r="12895">
          <cell r="A12895" t="str">
            <v>Y0105-L</v>
          </cell>
          <cell r="B12895" t="str">
            <v>Y105</v>
          </cell>
          <cell r="C12895" t="str">
            <v>ซิลค์แจ็คการ์ด แขนยาวขายาว black shine (กปก) ผู้ชาย L</v>
          </cell>
          <cell r="E12895">
            <v>0</v>
          </cell>
          <cell r="F12895">
            <v>1090</v>
          </cell>
        </row>
        <row r="12896">
          <cell r="A12896" t="str">
            <v>Y0105-M</v>
          </cell>
          <cell r="B12896" t="str">
            <v>Y105</v>
          </cell>
          <cell r="C12896" t="str">
            <v>ซิลค์แจ็คการ์ด แขนยาวขายาว black shine (กปก) ผู้ชาย M</v>
          </cell>
          <cell r="E12896">
            <v>0</v>
          </cell>
          <cell r="F12896">
            <v>1090</v>
          </cell>
        </row>
        <row r="12897">
          <cell r="A12897" t="str">
            <v>Y0105-XL</v>
          </cell>
          <cell r="B12897" t="str">
            <v>Y105</v>
          </cell>
          <cell r="C12897" t="str">
            <v>ซิลค์แจ็คการ์ด แขนยาวขายาว black shine (กปก) ผู้ชาย XL</v>
          </cell>
          <cell r="E12897">
            <v>0</v>
          </cell>
          <cell r="F12897">
            <v>1090</v>
          </cell>
        </row>
        <row r="12898">
          <cell r="A12898" t="str">
            <v>Y0106-2XL</v>
          </cell>
          <cell r="B12898" t="str">
            <v>Y106</v>
          </cell>
          <cell r="C12898" t="str">
            <v>ซิลค์แจ็คการ์ด แขนยาวขายาว blue shine (กปก) ผู้ชาย 2XL</v>
          </cell>
          <cell r="E12898">
            <v>0</v>
          </cell>
          <cell r="F12898">
            <v>1090</v>
          </cell>
        </row>
        <row r="12899">
          <cell r="A12899" t="str">
            <v>Y0106-L</v>
          </cell>
          <cell r="B12899" t="str">
            <v>Y106</v>
          </cell>
          <cell r="C12899" t="str">
            <v>ซิลค์แจ็คการ์ด แขนยาวขายาว blue shine (กปก) ผู้ชาย L</v>
          </cell>
          <cell r="E12899">
            <v>0</v>
          </cell>
          <cell r="F12899">
            <v>1090</v>
          </cell>
        </row>
        <row r="12900">
          <cell r="A12900" t="str">
            <v>Y0106-M</v>
          </cell>
          <cell r="B12900" t="str">
            <v>Y106</v>
          </cell>
          <cell r="C12900" t="str">
            <v>ซิลค์แจ็คการ์ด แขนยาวขายาว blue shine (กปก) ผู้ชาย M</v>
          </cell>
          <cell r="E12900">
            <v>2</v>
          </cell>
          <cell r="F12900">
            <v>1090</v>
          </cell>
        </row>
        <row r="12901">
          <cell r="A12901" t="str">
            <v>Y0106-XL</v>
          </cell>
          <cell r="B12901" t="str">
            <v>Y106</v>
          </cell>
          <cell r="C12901" t="str">
            <v>ซิลค์แจ็คการ์ด แขนยาวขายาว blue shine (กปก) ผู้ชาย XL</v>
          </cell>
          <cell r="E12901">
            <v>0</v>
          </cell>
          <cell r="F12901">
            <v>1090</v>
          </cell>
        </row>
        <row r="12902">
          <cell r="A12902" t="str">
            <v>Y0107-2XL</v>
          </cell>
          <cell r="B12902" t="str">
            <v>Y107</v>
          </cell>
          <cell r="C12902" t="str">
            <v>ซิลค์แจ็คการ์ด แขนยาวขายาว grey shine (กปก) ผู้ชาย 2XL</v>
          </cell>
          <cell r="E12902">
            <v>0</v>
          </cell>
          <cell r="F12902">
            <v>1090</v>
          </cell>
        </row>
        <row r="12903">
          <cell r="A12903" t="str">
            <v>Y0107-L</v>
          </cell>
          <cell r="B12903" t="str">
            <v>Y107</v>
          </cell>
          <cell r="C12903" t="str">
            <v>ซิลค์แจ็คการ์ด แขนยาวขายาว grey shine (กปก) ผู้ชาย L</v>
          </cell>
          <cell r="E12903">
            <v>0</v>
          </cell>
          <cell r="F12903">
            <v>1090</v>
          </cell>
        </row>
        <row r="12904">
          <cell r="A12904" t="str">
            <v>Y0107-M</v>
          </cell>
          <cell r="B12904" t="str">
            <v>Y107</v>
          </cell>
          <cell r="C12904" t="str">
            <v>ซิลค์แจ็คการ์ด แขนยาวขายาว grey shine (กปก) ผู้ชาย M</v>
          </cell>
          <cell r="E12904">
            <v>2</v>
          </cell>
          <cell r="F12904">
            <v>1090</v>
          </cell>
        </row>
        <row r="12905">
          <cell r="A12905" t="str">
            <v>Y0107-XL</v>
          </cell>
          <cell r="B12905" t="str">
            <v>Y107</v>
          </cell>
          <cell r="C12905" t="str">
            <v>ซิลค์แจ็คการ์ด แขนยาวขายาว grey shine (กปก) ผู้ชาย XL</v>
          </cell>
          <cell r="E12905">
            <v>1</v>
          </cell>
          <cell r="F12905">
            <v>1090</v>
          </cell>
        </row>
        <row r="12906">
          <cell r="A12906" t="str">
            <v>Y0108-2XL</v>
          </cell>
          <cell r="B12906" t="str">
            <v>Y108</v>
          </cell>
          <cell r="C12906" t="str">
            <v>ซิลค์แจ็คการ์ด แขนยาวขายาว blue marcel (กปก) ผู้ชาย 2XL</v>
          </cell>
          <cell r="E12906">
            <v>2</v>
          </cell>
          <cell r="F12906">
            <v>1090</v>
          </cell>
        </row>
        <row r="12907">
          <cell r="A12907" t="str">
            <v>Y0108-L</v>
          </cell>
          <cell r="B12907" t="str">
            <v>Y108</v>
          </cell>
          <cell r="C12907" t="str">
            <v>ซิลค์แจ็คการ์ด แขนยาวขายาว blue marcel (กปก) ผู้ชาย L</v>
          </cell>
          <cell r="E12907">
            <v>3</v>
          </cell>
          <cell r="F12907">
            <v>1090</v>
          </cell>
        </row>
        <row r="12908">
          <cell r="A12908" t="str">
            <v>Y0108-M</v>
          </cell>
          <cell r="B12908" t="str">
            <v>Y108</v>
          </cell>
          <cell r="C12908" t="str">
            <v>ซิลค์แจ็คการ์ด แขนยาวขายาว blue marcel (กปก) ผู้ชาย M</v>
          </cell>
          <cell r="E12908">
            <v>5</v>
          </cell>
          <cell r="F12908">
            <v>1090</v>
          </cell>
        </row>
        <row r="12909">
          <cell r="A12909" t="str">
            <v>Y0108-XL</v>
          </cell>
          <cell r="B12909" t="str">
            <v>Y108</v>
          </cell>
          <cell r="C12909" t="str">
            <v>ซิลค์แจ็คการ์ด แขนยาวขายาว blue marcel (กปก) ผู้ชาย XL</v>
          </cell>
          <cell r="E12909">
            <v>0</v>
          </cell>
          <cell r="F12909">
            <v>1090</v>
          </cell>
        </row>
        <row r="12910">
          <cell r="A12910" t="str">
            <v>Y0109-2XL</v>
          </cell>
          <cell r="B12910" t="str">
            <v>Y109</v>
          </cell>
          <cell r="C12910" t="str">
            <v>ซิลค์แจ็คการ์ด แขนสั้นขาสั้น lion flamel พื้นน้ำตาล (กปก) ผู้ชาย 2XL</v>
          </cell>
          <cell r="E12910">
            <v>0</v>
          </cell>
          <cell r="F12910">
            <v>890</v>
          </cell>
        </row>
        <row r="12911">
          <cell r="A12911" t="str">
            <v>Y0109-L</v>
          </cell>
          <cell r="B12911" t="str">
            <v>Y109</v>
          </cell>
          <cell r="C12911" t="str">
            <v>ซิลค์แจ็คการ์ด แขนสั้นขาสั้น lion flamel พื้นน้ำตาล (กปก) ผู้ชาย L</v>
          </cell>
          <cell r="E12911">
            <v>0</v>
          </cell>
          <cell r="F12911">
            <v>890</v>
          </cell>
        </row>
        <row r="12912">
          <cell r="A12912" t="str">
            <v>Y0109-M</v>
          </cell>
          <cell r="B12912" t="str">
            <v>Y109</v>
          </cell>
          <cell r="C12912" t="str">
            <v>ซิลค์แจ็คการ์ด แขนสั้นขาสั้น lion flamel พื้นน้ำตาล (กปก) ผู้ชาย M</v>
          </cell>
          <cell r="E12912">
            <v>0</v>
          </cell>
          <cell r="F12912">
            <v>890</v>
          </cell>
        </row>
        <row r="12913">
          <cell r="A12913" t="str">
            <v>Y0109-XL</v>
          </cell>
          <cell r="B12913" t="str">
            <v>Y109</v>
          </cell>
          <cell r="C12913" t="str">
            <v>ซิลค์แจ็คการ์ด แขนสั้นขาสั้น lion flamel พื้นน้ำตาล (กปก) ผู้ชาย XL</v>
          </cell>
          <cell r="E12913">
            <v>0</v>
          </cell>
          <cell r="F12913">
            <v>890</v>
          </cell>
        </row>
        <row r="12914">
          <cell r="A12914" t="str">
            <v>Y0110-2XL</v>
          </cell>
          <cell r="B12914" t="str">
            <v>Y110</v>
          </cell>
          <cell r="C12914" t="str">
            <v>ซิลค์แจ็คการ์ด แขนยาวขายาว lion flamel พื้นน้ำตาล (กปก) ผู้ชาย 2XL</v>
          </cell>
          <cell r="E12914">
            <v>0</v>
          </cell>
          <cell r="F12914">
            <v>1090</v>
          </cell>
        </row>
        <row r="12915">
          <cell r="A12915" t="str">
            <v>Y0110-L</v>
          </cell>
          <cell r="B12915" t="str">
            <v>Y110</v>
          </cell>
          <cell r="C12915" t="str">
            <v>ซิลค์แจ็คการ์ด แขนยาวขายาว lion flamel พื้นน้ำตาล (กปก) ผู้ชาย L</v>
          </cell>
          <cell r="E12915">
            <v>0</v>
          </cell>
          <cell r="F12915">
            <v>1090</v>
          </cell>
        </row>
        <row r="12916">
          <cell r="A12916" t="str">
            <v>Y0110-M</v>
          </cell>
          <cell r="B12916" t="str">
            <v>Y110</v>
          </cell>
          <cell r="C12916" t="str">
            <v>ซิลค์แจ็คการ์ด แขนยาวขายาว lion flamel พื้นน้ำตาล (กปก) ผู้ชาย M</v>
          </cell>
          <cell r="E12916">
            <v>0</v>
          </cell>
          <cell r="F12916">
            <v>1090</v>
          </cell>
        </row>
        <row r="12917">
          <cell r="A12917" t="str">
            <v>Y0110-XL</v>
          </cell>
          <cell r="B12917" t="str">
            <v>Y110</v>
          </cell>
          <cell r="C12917" t="str">
            <v>ซิลค์แจ็คการ์ด แขนยาวขายาว lion flamel พื้นน้ำตาล (กปก) ผู้ชาย XL</v>
          </cell>
          <cell r="E12917">
            <v>0</v>
          </cell>
          <cell r="F12917">
            <v>1090</v>
          </cell>
        </row>
        <row r="12918">
          <cell r="A12918" t="str">
            <v>Y0111-2XL</v>
          </cell>
          <cell r="B12918" t="str">
            <v>Y111</v>
          </cell>
          <cell r="C12918" t="str">
            <v>ซิลค์แจ็คการ์ด แขนสั้นขาสั้น lion flamel พื้นเขียว (กปก) ผู้ชาย 2XL</v>
          </cell>
          <cell r="E12918">
            <v>0</v>
          </cell>
          <cell r="F12918">
            <v>890</v>
          </cell>
        </row>
        <row r="12919">
          <cell r="A12919" t="str">
            <v>Y0111-L</v>
          </cell>
          <cell r="B12919" t="str">
            <v>Y111</v>
          </cell>
          <cell r="C12919" t="str">
            <v>ซิลค์แจ็คการ์ด แขนสั้นขาสั้น lion flamel พื้นเขียว (กปก) ผู้ชาย L</v>
          </cell>
          <cell r="E12919">
            <v>0</v>
          </cell>
          <cell r="F12919">
            <v>890</v>
          </cell>
        </row>
        <row r="12920">
          <cell r="A12920" t="str">
            <v>Y0111-M</v>
          </cell>
          <cell r="B12920" t="str">
            <v>Y111</v>
          </cell>
          <cell r="C12920" t="str">
            <v>ซิลค์แจ็คการ์ด แขนสั้นขาสั้น lion flamel พื้นเขียว (กปก) ผู้ชาย M</v>
          </cell>
          <cell r="E12920">
            <v>0</v>
          </cell>
          <cell r="F12920">
            <v>890</v>
          </cell>
        </row>
        <row r="12921">
          <cell r="A12921" t="str">
            <v>Y0111-XL</v>
          </cell>
          <cell r="B12921" t="str">
            <v>Y111</v>
          </cell>
          <cell r="C12921" t="str">
            <v>ซิลค์แจ็คการ์ด แขนสั้นขาสั้น lion flamel พื้นเขียว (กปก) ผู้ชาย XL</v>
          </cell>
          <cell r="E12921">
            <v>0</v>
          </cell>
          <cell r="F12921">
            <v>890</v>
          </cell>
        </row>
        <row r="12922">
          <cell r="A12922" t="str">
            <v>Y0112-2XL</v>
          </cell>
          <cell r="B12922" t="str">
            <v>Y112</v>
          </cell>
          <cell r="C12922" t="str">
            <v>ซิลค์แจ็คการ์ด แขนยาวขายาว lion flamel พื้นเขียว (กปก) ผู้ชาย 2XL</v>
          </cell>
          <cell r="E12922">
            <v>0</v>
          </cell>
          <cell r="F12922">
            <v>1090</v>
          </cell>
        </row>
        <row r="12923">
          <cell r="A12923" t="str">
            <v>Y0112-L</v>
          </cell>
          <cell r="B12923" t="str">
            <v>Y112</v>
          </cell>
          <cell r="C12923" t="str">
            <v>ซิลค์แจ็คการ์ด แขนยาวขายาว lion flamel พื้นเขียว (กปก) ผู้ชาย L</v>
          </cell>
          <cell r="E12923">
            <v>0</v>
          </cell>
          <cell r="F12923">
            <v>1090</v>
          </cell>
        </row>
        <row r="12924">
          <cell r="A12924" t="str">
            <v>Y0112-M</v>
          </cell>
          <cell r="B12924" t="str">
            <v>Y112</v>
          </cell>
          <cell r="C12924" t="str">
            <v>ซิลค์แจ็คการ์ด แขนยาวขายาว lion flamel พื้นเขียว (กปก) ผู้ชาย M</v>
          </cell>
          <cell r="E12924">
            <v>0</v>
          </cell>
          <cell r="F12924">
            <v>1090</v>
          </cell>
        </row>
        <row r="12925">
          <cell r="A12925" t="str">
            <v>Y0112-XL</v>
          </cell>
          <cell r="B12925" t="str">
            <v>Y112</v>
          </cell>
          <cell r="C12925" t="str">
            <v>ซิลค์แจ็คการ์ด แขนยาวขายาว lion flamel พื้นเขียว (กปก) ผู้ชาย XL</v>
          </cell>
          <cell r="E12925">
            <v>0</v>
          </cell>
          <cell r="F12925">
            <v>1090</v>
          </cell>
        </row>
        <row r="12926">
          <cell r="A12926" t="str">
            <v>Y1239-F</v>
          </cell>
          <cell r="B12926" t="str">
            <v>Y1239</v>
          </cell>
          <cell r="C12926" t="str">
            <v>ชาย แขนสั้นขาสั้น KAKAO ไข่ดาวไรอัน โอรส (กปก) F</v>
          </cell>
          <cell r="E12926">
            <v>0</v>
          </cell>
          <cell r="F12926">
            <v>1290</v>
          </cell>
        </row>
        <row r="12927">
          <cell r="A12927" t="str">
            <v>Y3027-2XL</v>
          </cell>
          <cell r="B12927" t="str">
            <v>Y3027</v>
          </cell>
          <cell r="C12927" t="str">
            <v>ซาติน แขนสั้นขาสั้น ลายทางขาว พื้นฟ้า 2XL (กปก) ผู้ชาย</v>
          </cell>
          <cell r="E12927">
            <v>0</v>
          </cell>
          <cell r="F12927">
            <v>890</v>
          </cell>
        </row>
        <row r="12928">
          <cell r="A12928" t="str">
            <v>Y3027-L</v>
          </cell>
          <cell r="B12928" t="str">
            <v>Y3027</v>
          </cell>
          <cell r="C12928" t="str">
            <v>ซาติน แขนสั้นขาสั้น ลายทางขาว พื้นฟ้า L (กปก) ผู้ชาย</v>
          </cell>
          <cell r="E12928">
            <v>0</v>
          </cell>
          <cell r="F12928">
            <v>890</v>
          </cell>
        </row>
        <row r="12929">
          <cell r="A12929" t="str">
            <v>Y3027-M</v>
          </cell>
          <cell r="B12929" t="str">
            <v>QY3027</v>
          </cell>
          <cell r="C12929" t="str">
            <v>ซาติน แขนสั้นขาสั้น ลายทางขาว พื้นฟ้า M (กปก) ผู้ชาย QC</v>
          </cell>
          <cell r="E12929">
            <v>0</v>
          </cell>
          <cell r="F12929">
            <v>890</v>
          </cell>
        </row>
        <row r="12930">
          <cell r="A12930" t="str">
            <v>Y3027-XL</v>
          </cell>
          <cell r="B12930" t="str">
            <v>Y3027</v>
          </cell>
          <cell r="C12930" t="str">
            <v>ซาติน แขนสั้นขาสั้น ลายทางขาว พื้นฟ้า XL (กปก) ผู้ชาย</v>
          </cell>
          <cell r="E12930">
            <v>0</v>
          </cell>
          <cell r="F12930">
            <v>890</v>
          </cell>
        </row>
        <row r="12931">
          <cell r="A12931" t="str">
            <v>Y3028-2XL</v>
          </cell>
          <cell r="B12931" t="str">
            <v>QY3028</v>
          </cell>
          <cell r="C12931" t="str">
            <v>ซาติน แขนสั้นขายาว ลายทางขาว พื้นฟ้า 2XL (กปก) ผู้ชาย QC</v>
          </cell>
          <cell r="E12931">
            <v>0</v>
          </cell>
          <cell r="F12931">
            <v>990</v>
          </cell>
        </row>
        <row r="12932">
          <cell r="A12932" t="str">
            <v>Y3028-L</v>
          </cell>
          <cell r="B12932" t="str">
            <v>Y3028</v>
          </cell>
          <cell r="C12932" t="str">
            <v>ซาติน แขนสั้นขายาว ลายทางขาว พื้นฟ้า L (กปก) ผู้ชาย</v>
          </cell>
          <cell r="E12932">
            <v>0</v>
          </cell>
          <cell r="F12932">
            <v>990</v>
          </cell>
        </row>
        <row r="12933">
          <cell r="A12933" t="str">
            <v>Y3028-M</v>
          </cell>
          <cell r="B12933" t="str">
            <v>Y3028</v>
          </cell>
          <cell r="C12933" t="str">
            <v>ซาติน แขนสั้นขายาว ลายทางขาว พื้นฟ้า M (กปก) ผู้ชาย</v>
          </cell>
          <cell r="E12933">
            <v>0</v>
          </cell>
          <cell r="F12933">
            <v>990</v>
          </cell>
        </row>
        <row r="12934">
          <cell r="A12934" t="str">
            <v>Y3028-XL</v>
          </cell>
          <cell r="B12934" t="str">
            <v>Y3028</v>
          </cell>
          <cell r="C12934" t="str">
            <v>ซาติน แขนสั้นขายาว ลายทางขาว พื้นฟ้า XL (กปก) ผู้ชาย</v>
          </cell>
          <cell r="E12934">
            <v>0</v>
          </cell>
          <cell r="F12934">
            <v>990</v>
          </cell>
        </row>
        <row r="12935">
          <cell r="A12935" t="str">
            <v>Y3034-2XL</v>
          </cell>
          <cell r="B12935" t="str">
            <v>Y3034</v>
          </cell>
          <cell r="C12935" t="str">
            <v>ซาติน แขนสั้นขาสั้น Monogrey ff 2XL (กปก) ผู้ชาย</v>
          </cell>
          <cell r="E12935">
            <v>0</v>
          </cell>
          <cell r="F12935">
            <v>890</v>
          </cell>
        </row>
        <row r="12936">
          <cell r="A12936" t="str">
            <v>Y3034-L</v>
          </cell>
          <cell r="B12936" t="str">
            <v>Y3034</v>
          </cell>
          <cell r="C12936" t="str">
            <v>ซาติน แขนสั้นขาสั้น Monogrey ff L (กปก) ผู้ชาย</v>
          </cell>
          <cell r="E12936">
            <v>0</v>
          </cell>
          <cell r="F12936">
            <v>890</v>
          </cell>
        </row>
        <row r="12937">
          <cell r="A12937" t="str">
            <v>Y3034-M</v>
          </cell>
          <cell r="B12937" t="str">
            <v>Y3034</v>
          </cell>
          <cell r="C12937" t="str">
            <v>ซาติน แขนสั้นขาสั้น Monogrey ff M (กปก) ผู้ชาย</v>
          </cell>
          <cell r="E12937">
            <v>8</v>
          </cell>
          <cell r="F12937">
            <v>890</v>
          </cell>
        </row>
        <row r="12938">
          <cell r="A12938" t="str">
            <v>Y3034-XL</v>
          </cell>
          <cell r="B12938" t="str">
            <v>Y3034</v>
          </cell>
          <cell r="C12938" t="str">
            <v>ซาติน แขนสั้นขาสั้น Monogrey ff XL (กปก) ผู้ชาย</v>
          </cell>
          <cell r="E12938">
            <v>6</v>
          </cell>
          <cell r="F12938">
            <v>890</v>
          </cell>
        </row>
        <row r="12939">
          <cell r="A12939" t="str">
            <v>Y3035-2XL</v>
          </cell>
          <cell r="B12939" t="str">
            <v>Y3035</v>
          </cell>
          <cell r="C12939" t="str">
            <v>ซาติน แขนสั้นขายาว Monogrey ff 2XL (กปก) ผู้ชาย</v>
          </cell>
          <cell r="E12939">
            <v>8</v>
          </cell>
          <cell r="F12939">
            <v>990</v>
          </cell>
        </row>
        <row r="12940">
          <cell r="A12940" t="str">
            <v>Y3035-L</v>
          </cell>
          <cell r="B12940" t="str">
            <v>Y3035</v>
          </cell>
          <cell r="C12940" t="str">
            <v>ซาติน แขนสั้นขายาว Monogrey ff L (กปก) ผู้ชาย</v>
          </cell>
          <cell r="E12940">
            <v>7</v>
          </cell>
          <cell r="F12940">
            <v>990</v>
          </cell>
        </row>
        <row r="12941">
          <cell r="A12941" t="str">
            <v>Y3035-M</v>
          </cell>
          <cell r="B12941" t="str">
            <v>Y3035</v>
          </cell>
          <cell r="C12941" t="str">
            <v>ซาติน แขนสั้นขายาว Monogrey ff M (กปก) ผู้ชาย</v>
          </cell>
          <cell r="E12941">
            <v>7</v>
          </cell>
          <cell r="F12941">
            <v>990</v>
          </cell>
        </row>
        <row r="12942">
          <cell r="A12942" t="str">
            <v>Y3035-XL</v>
          </cell>
          <cell r="B12942" t="str">
            <v>Y3035</v>
          </cell>
          <cell r="C12942" t="str">
            <v>ซาติน แขนสั้นขายาว Monogrey ff XL (กปก) ผู้ชาย</v>
          </cell>
          <cell r="E12942">
            <v>0</v>
          </cell>
          <cell r="F12942">
            <v>990</v>
          </cell>
        </row>
        <row r="12943">
          <cell r="A12943" t="str">
            <v>Y4007-2XL</v>
          </cell>
          <cell r="B12943" t="str">
            <v>Y4007</v>
          </cell>
          <cell r="C12943" t="str">
            <v>ซาติน แขนสั้นขาสั้น Muslin man ligth blue 2XL</v>
          </cell>
          <cell r="E12943">
            <v>0</v>
          </cell>
          <cell r="F12943">
            <v>890</v>
          </cell>
        </row>
        <row r="12944">
          <cell r="A12944" t="str">
            <v>Y4007-L</v>
          </cell>
          <cell r="B12944" t="str">
            <v>Y4007</v>
          </cell>
          <cell r="C12944" t="str">
            <v>ซาติน แขนสั้นขาสั้น Muslin man ligth blue L</v>
          </cell>
          <cell r="E12944">
            <v>0</v>
          </cell>
          <cell r="F12944">
            <v>890</v>
          </cell>
        </row>
        <row r="12945">
          <cell r="A12945" t="str">
            <v>Y4007-M</v>
          </cell>
          <cell r="B12945" t="str">
            <v>QY4007</v>
          </cell>
          <cell r="C12945" t="str">
            <v>ซาติน แขนสั้นขาสั้น Muslin man ligth blue M QC</v>
          </cell>
          <cell r="E12945">
            <v>0</v>
          </cell>
          <cell r="F12945">
            <v>890</v>
          </cell>
        </row>
        <row r="12946">
          <cell r="A12946" t="str">
            <v>Y4007-XL</v>
          </cell>
          <cell r="B12946" t="str">
            <v>Y4007</v>
          </cell>
          <cell r="C12946" t="str">
            <v>ซาติน แขนสั้นขาสั้น Muslin man ligth blue XL</v>
          </cell>
          <cell r="E12946">
            <v>0</v>
          </cell>
          <cell r="F12946">
            <v>890</v>
          </cell>
        </row>
        <row r="12947">
          <cell r="A12947" t="str">
            <v>Y4008-2XL</v>
          </cell>
          <cell r="B12947" t="str">
            <v>Y4008</v>
          </cell>
          <cell r="C12947" t="str">
            <v>ซาติน แขนสั้นขายาว Bare Midnight 2XL (กปก)</v>
          </cell>
          <cell r="E12947">
            <v>7</v>
          </cell>
          <cell r="F12947">
            <v>990</v>
          </cell>
        </row>
        <row r="12948">
          <cell r="A12948" t="str">
            <v>Y4008-L</v>
          </cell>
          <cell r="B12948" t="str">
            <v>Y4008</v>
          </cell>
          <cell r="C12948" t="str">
            <v>ซาติน แขนสั้นขายาว Bare Midnight L (กปก)</v>
          </cell>
          <cell r="E12948">
            <v>0</v>
          </cell>
          <cell r="F12948">
            <v>990</v>
          </cell>
        </row>
        <row r="12949">
          <cell r="A12949" t="str">
            <v>Y4008-M</v>
          </cell>
          <cell r="B12949" t="str">
            <v>Y4008</v>
          </cell>
          <cell r="C12949" t="str">
            <v>ซาติน แขนสั้นขายาว Bare Midnight M (กปก)</v>
          </cell>
          <cell r="E12949">
            <v>7</v>
          </cell>
          <cell r="F12949">
            <v>990</v>
          </cell>
        </row>
        <row r="12950">
          <cell r="A12950" t="str">
            <v>Y4008-XL</v>
          </cell>
          <cell r="B12950" t="str">
            <v>Y4008</v>
          </cell>
          <cell r="C12950" t="str">
            <v>ซาติน แขนสั้นขายาว Bare Midnight XL (กปก)</v>
          </cell>
          <cell r="E12950">
            <v>0</v>
          </cell>
          <cell r="F12950">
            <v>990</v>
          </cell>
        </row>
        <row r="12951">
          <cell r="A12951" t="str">
            <v>Y4009-2XL</v>
          </cell>
          <cell r="B12951" t="str">
            <v>Y4009</v>
          </cell>
          <cell r="C12951" t="str">
            <v>ซาติน แขนสั้นขาสั้น Bare Midnight 2XL (กปก)</v>
          </cell>
          <cell r="E12951">
            <v>0</v>
          </cell>
          <cell r="F12951">
            <v>890</v>
          </cell>
        </row>
        <row r="12952">
          <cell r="A12952" t="str">
            <v>Y4009-L</v>
          </cell>
          <cell r="B12952" t="str">
            <v>Y4009</v>
          </cell>
          <cell r="C12952" t="str">
            <v>ซาติน แขนสั้นขาสั้น Bare Midnight L (กปก)</v>
          </cell>
          <cell r="E12952">
            <v>0</v>
          </cell>
          <cell r="F12952">
            <v>890</v>
          </cell>
        </row>
        <row r="12953">
          <cell r="A12953" t="str">
            <v>Y4009-M</v>
          </cell>
          <cell r="B12953" t="str">
            <v>Y4009</v>
          </cell>
          <cell r="C12953" t="str">
            <v>ซาติน แขนสั้นขาสั้น Bare Midnight M (กปก)</v>
          </cell>
          <cell r="E12953">
            <v>12</v>
          </cell>
          <cell r="F12953">
            <v>890</v>
          </cell>
        </row>
        <row r="12954">
          <cell r="A12954" t="str">
            <v>Y4009-XL</v>
          </cell>
          <cell r="B12954" t="str">
            <v>Y4009</v>
          </cell>
          <cell r="C12954" t="str">
            <v>ซาติน แขนสั้นขาสั้น Bare Midnight XL (กปก)</v>
          </cell>
          <cell r="E12954">
            <v>2</v>
          </cell>
          <cell r="F12954">
            <v>890</v>
          </cell>
        </row>
        <row r="12955">
          <cell r="A12955" t="str">
            <v>Y4010-2XL</v>
          </cell>
          <cell r="B12955" t="str">
            <v>Y4010</v>
          </cell>
          <cell r="C12955" t="str">
            <v>ซาติน แขนสั้นขายาว man green mermaid 2XL (กปก)</v>
          </cell>
          <cell r="E12955">
            <v>0</v>
          </cell>
          <cell r="F12955">
            <v>990</v>
          </cell>
        </row>
        <row r="12956">
          <cell r="A12956" t="str">
            <v>Y4010-L</v>
          </cell>
          <cell r="B12956" t="str">
            <v>Y4010</v>
          </cell>
          <cell r="C12956" t="str">
            <v>ซาติน แขนสั้นขายาว man green mermaid L (กปก)</v>
          </cell>
          <cell r="E12956">
            <v>0</v>
          </cell>
          <cell r="F12956">
            <v>990</v>
          </cell>
        </row>
        <row r="12957">
          <cell r="A12957" t="str">
            <v>Y4010-M</v>
          </cell>
          <cell r="B12957" t="str">
            <v>Y4010</v>
          </cell>
          <cell r="C12957" t="str">
            <v>ซาติน แขนสั้นขายาว man green mermaid M (กปก)</v>
          </cell>
          <cell r="E12957">
            <v>0</v>
          </cell>
          <cell r="F12957">
            <v>990</v>
          </cell>
        </row>
        <row r="12958">
          <cell r="A12958" t="str">
            <v>Y4010-XL</v>
          </cell>
          <cell r="B12958" t="str">
            <v>Y4010</v>
          </cell>
          <cell r="C12958" t="str">
            <v>ซาติน แขนสั้นขายาว man green mermaid XL (กปก)</v>
          </cell>
          <cell r="E12958">
            <v>0</v>
          </cell>
          <cell r="F12958">
            <v>990</v>
          </cell>
        </row>
        <row r="12959">
          <cell r="A12959" t="str">
            <v>Y4011-2XL</v>
          </cell>
          <cell r="B12959" t="str">
            <v>QY4011</v>
          </cell>
          <cell r="C12959" t="str">
            <v>ซาติน แขนสั้นขายาว Muslin ligth blue 2XL (กปก) QC</v>
          </cell>
          <cell r="E12959">
            <v>0</v>
          </cell>
          <cell r="F12959">
            <v>990</v>
          </cell>
        </row>
        <row r="12960">
          <cell r="A12960" t="str">
            <v>Y4011-L</v>
          </cell>
          <cell r="B12960" t="str">
            <v>Y4011</v>
          </cell>
          <cell r="C12960" t="str">
            <v>ซาติน แขนสั้นขายาว Muslin ligth blue L (กปก)</v>
          </cell>
          <cell r="E12960">
            <v>0</v>
          </cell>
          <cell r="F12960">
            <v>990</v>
          </cell>
        </row>
        <row r="12961">
          <cell r="A12961" t="str">
            <v>Y4011-M</v>
          </cell>
          <cell r="B12961" t="str">
            <v>Y4011</v>
          </cell>
          <cell r="C12961" t="str">
            <v>ซาติน แขนสั้นขายาว Muslin ligth blue M (กปก)</v>
          </cell>
          <cell r="E12961">
            <v>0</v>
          </cell>
          <cell r="F12961">
            <v>990</v>
          </cell>
        </row>
        <row r="12962">
          <cell r="A12962" t="str">
            <v>Y4011-XL</v>
          </cell>
          <cell r="B12962" t="str">
            <v>Y4011</v>
          </cell>
          <cell r="C12962" t="str">
            <v>ซาติน แขนสั้นขายาว Muslin ligth blue XL (กปก)</v>
          </cell>
          <cell r="E12962">
            <v>0</v>
          </cell>
          <cell r="F12962">
            <v>990</v>
          </cell>
        </row>
        <row r="12963">
          <cell r="A12963" t="str">
            <v>Y4012-2XL</v>
          </cell>
          <cell r="B12963" t="str">
            <v>Y4012</v>
          </cell>
          <cell r="C12963" t="str">
            <v>ซาติน แขนสั้นขาสั้น Muslin green mermaid 2XL (กปก)</v>
          </cell>
          <cell r="E12963">
            <v>0</v>
          </cell>
          <cell r="F12963">
            <v>890</v>
          </cell>
        </row>
        <row r="12964">
          <cell r="A12964" t="str">
            <v>Y4012-L</v>
          </cell>
          <cell r="B12964" t="str">
            <v>Y4012</v>
          </cell>
          <cell r="C12964" t="str">
            <v>ซาติน แขนสั้นขาสั้น Muslin green mermaid L (กปก)</v>
          </cell>
          <cell r="E12964">
            <v>0</v>
          </cell>
          <cell r="F12964">
            <v>890</v>
          </cell>
        </row>
        <row r="12965">
          <cell r="A12965" t="str">
            <v>Y4012-M</v>
          </cell>
          <cell r="B12965" t="str">
            <v>QY4012</v>
          </cell>
          <cell r="C12965" t="str">
            <v>ซาติน แขนสั้นขาสั้น Muslin green mermaid M (กปก) QC</v>
          </cell>
          <cell r="E12965">
            <v>0</v>
          </cell>
          <cell r="F12965">
            <v>890</v>
          </cell>
        </row>
        <row r="12966">
          <cell r="A12966" t="str">
            <v>Y4012-XL</v>
          </cell>
          <cell r="B12966" t="str">
            <v>QY4012</v>
          </cell>
          <cell r="C12966" t="str">
            <v>ซาติน แขนสั้นขาสั้น Muslin green mermaid XL (กปก) QC</v>
          </cell>
          <cell r="E12966">
            <v>0</v>
          </cell>
          <cell r="F12966">
            <v>890</v>
          </cell>
        </row>
        <row r="12967">
          <cell r="A12967" t="str">
            <v>Z0001-L</v>
          </cell>
          <cell r="B12967" t="str">
            <v>Z1</v>
          </cell>
          <cell r="C12967" t="str">
            <v>เท็นเซล แขนสั้นขาสั้น พื้นเหลืองครีม L</v>
          </cell>
          <cell r="E12967">
            <v>0</v>
          </cell>
          <cell r="F12967">
            <v>890</v>
          </cell>
        </row>
        <row r="12968">
          <cell r="A12968" t="str">
            <v>Z0001-M</v>
          </cell>
          <cell r="B12968" t="str">
            <v>Z1</v>
          </cell>
          <cell r="C12968" t="str">
            <v>เท็นเซล แขนสั้นขาสั้น พื้นเหลืองครีม M</v>
          </cell>
          <cell r="E12968">
            <v>0</v>
          </cell>
          <cell r="F12968">
            <v>890</v>
          </cell>
        </row>
        <row r="12969">
          <cell r="A12969" t="str">
            <v>Z0001-XL</v>
          </cell>
          <cell r="B12969" t="str">
            <v>Z1</v>
          </cell>
          <cell r="C12969" t="str">
            <v>เท็นเซล แขนสั้นขาสั้น พื้นเหลืองครีม XL</v>
          </cell>
          <cell r="E12969">
            <v>0</v>
          </cell>
          <cell r="F12969">
            <v>890</v>
          </cell>
        </row>
        <row r="12970">
          <cell r="A12970" t="str">
            <v>Z00010-2XL</v>
          </cell>
          <cell r="B12970" t="str">
            <v>Z10</v>
          </cell>
          <cell r="C12970" t="str">
            <v>เท็นเซล แขนสั้นขายาว พลุฟ้าชมพู ขอบทอง 2XL</v>
          </cell>
          <cell r="E12970">
            <v>0</v>
          </cell>
          <cell r="F12970">
            <v>0</v>
          </cell>
        </row>
        <row r="12971">
          <cell r="A12971" t="str">
            <v>Z00010-L</v>
          </cell>
          <cell r="B12971" t="str">
            <v>Z10</v>
          </cell>
          <cell r="C12971" t="str">
            <v>เท็นเซล  แขนสั้นขายาว พลุฟ้าชมพู ขอบทอง L</v>
          </cell>
          <cell r="E12971">
            <v>0</v>
          </cell>
          <cell r="F12971">
            <v>0</v>
          </cell>
        </row>
        <row r="12972">
          <cell r="A12972" t="str">
            <v>Z00010-M</v>
          </cell>
          <cell r="B12972" t="str">
            <v>Z10</v>
          </cell>
          <cell r="C12972" t="str">
            <v>เท็นเซล แขนสั้นขายาว พลุฟ้าชมพู ขอบทอง M</v>
          </cell>
          <cell r="E12972">
            <v>0</v>
          </cell>
          <cell r="F12972">
            <v>0</v>
          </cell>
        </row>
        <row r="12973">
          <cell r="A12973" t="str">
            <v>Z00010-XL</v>
          </cell>
          <cell r="B12973" t="str">
            <v>Z10</v>
          </cell>
          <cell r="C12973" t="str">
            <v>เท็นเซล แขนสั้นขายาว พลุฟ้าชมพู ขอบทอง XL</v>
          </cell>
          <cell r="E12973">
            <v>0</v>
          </cell>
          <cell r="F12973">
            <v>0</v>
          </cell>
        </row>
        <row r="12974">
          <cell r="A12974" t="str">
            <v>Z0002-L</v>
          </cell>
          <cell r="B12974" t="str">
            <v>Z2</v>
          </cell>
          <cell r="C12974" t="str">
            <v>เท็นเซล แขนสั้นขาสั้น พื้นชมพู L</v>
          </cell>
          <cell r="E12974">
            <v>0</v>
          </cell>
          <cell r="F12974">
            <v>890</v>
          </cell>
        </row>
        <row r="12975">
          <cell r="A12975" t="str">
            <v>Z0002-M</v>
          </cell>
          <cell r="B12975" t="str">
            <v>Z2</v>
          </cell>
          <cell r="C12975" t="str">
            <v>เท็นเซล แขนสั้นขาสั้น พื้นชมพู M</v>
          </cell>
          <cell r="E12975">
            <v>0</v>
          </cell>
          <cell r="F12975">
            <v>890</v>
          </cell>
        </row>
        <row r="12976">
          <cell r="A12976" t="str">
            <v>Z0002-XL</v>
          </cell>
          <cell r="B12976" t="str">
            <v>Z2</v>
          </cell>
          <cell r="C12976" t="str">
            <v>เท็นเซล แขนสั้นขาสั้น พื้นชมพู XL</v>
          </cell>
          <cell r="E12976">
            <v>0</v>
          </cell>
          <cell r="F12976">
            <v>890</v>
          </cell>
        </row>
        <row r="12977">
          <cell r="A12977" t="str">
            <v>Z0003-L</v>
          </cell>
          <cell r="B12977" t="str">
            <v>Z3</v>
          </cell>
          <cell r="C12977" t="str">
            <v>เท็นเซล แขนสั้นขาสั้น พื้นครีม L</v>
          </cell>
          <cell r="E12977">
            <v>0</v>
          </cell>
          <cell r="F12977">
            <v>890</v>
          </cell>
        </row>
        <row r="12978">
          <cell r="A12978" t="str">
            <v>Z0003-M</v>
          </cell>
          <cell r="B12978" t="str">
            <v>Z3</v>
          </cell>
          <cell r="C12978" t="str">
            <v>เท็นเซล แขนสั้นขาสั้น พื้นครีม M</v>
          </cell>
          <cell r="E12978">
            <v>0</v>
          </cell>
          <cell r="F12978">
            <v>890</v>
          </cell>
        </row>
        <row r="12979">
          <cell r="A12979" t="str">
            <v>Z0003-XL</v>
          </cell>
          <cell r="B12979" t="str">
            <v>Z3</v>
          </cell>
          <cell r="C12979" t="str">
            <v>เท็นเซล แขนสั้นขาสั้น พื้นครีม XL</v>
          </cell>
          <cell r="E12979">
            <v>0</v>
          </cell>
          <cell r="F12979">
            <v>890</v>
          </cell>
        </row>
        <row r="12980">
          <cell r="A12980" t="str">
            <v>Z0005-L</v>
          </cell>
          <cell r="B12980" t="str">
            <v>Z5</v>
          </cell>
          <cell r="C12980" t="str">
            <v>เท็นเซล แขนสั้นขาสั้น ชมพู ลายทาง L</v>
          </cell>
          <cell r="E12980">
            <v>0</v>
          </cell>
          <cell r="F12980">
            <v>890</v>
          </cell>
        </row>
        <row r="12981">
          <cell r="A12981" t="str">
            <v>Z0005-M</v>
          </cell>
          <cell r="B12981" t="str">
            <v>Z5</v>
          </cell>
          <cell r="C12981" t="str">
            <v>เท็นเซล แขนสั้นขาสั้น ชมพู ลายทาง M</v>
          </cell>
          <cell r="E12981">
            <v>0</v>
          </cell>
          <cell r="F12981">
            <v>890</v>
          </cell>
        </row>
        <row r="12982">
          <cell r="A12982" t="str">
            <v>Z0006-2XL</v>
          </cell>
          <cell r="B12982" t="str">
            <v>Z6</v>
          </cell>
          <cell r="C12982" t="str">
            <v>เท็นเซล แขนสั้นขายาว brown bear พื้นขาว 2XL</v>
          </cell>
          <cell r="E12982">
            <v>0</v>
          </cell>
          <cell r="F12982">
            <v>990</v>
          </cell>
        </row>
        <row r="12983">
          <cell r="A12983" t="str">
            <v>Z0006-L</v>
          </cell>
          <cell r="B12983" t="str">
            <v>Z6</v>
          </cell>
          <cell r="C12983" t="str">
            <v>เท็นเซล แขนสั้นขายาว brown bear พื้นขาว L</v>
          </cell>
          <cell r="E12983">
            <v>0</v>
          </cell>
          <cell r="F12983">
            <v>990</v>
          </cell>
        </row>
        <row r="12984">
          <cell r="A12984" t="str">
            <v>Z0006-M</v>
          </cell>
          <cell r="B12984" t="str">
            <v>Z6</v>
          </cell>
          <cell r="C12984" t="str">
            <v>เท็นเซล แขนสั้นขายาว brown bear พื้นขาว M</v>
          </cell>
          <cell r="E12984">
            <v>0</v>
          </cell>
          <cell r="F12984">
            <v>990</v>
          </cell>
        </row>
        <row r="12985">
          <cell r="A12985" t="str">
            <v>Z0006-XL</v>
          </cell>
          <cell r="B12985" t="str">
            <v>Z6</v>
          </cell>
          <cell r="C12985" t="str">
            <v>เท็นเซล แขนสั้นขายาว brown bear พื้นขาว XL</v>
          </cell>
          <cell r="E12985">
            <v>0</v>
          </cell>
          <cell r="F12985">
            <v>990</v>
          </cell>
        </row>
        <row r="12986">
          <cell r="A12986" t="str">
            <v>Z0007-2XL</v>
          </cell>
          <cell r="B12986" t="str">
            <v>Z7</v>
          </cell>
          <cell r="C12986" t="str">
            <v>เท็นเซล แขนสั้นขายาว ดอกอัญชันฟ้า ขอบเขียว พื้นขาว 2XL</v>
          </cell>
          <cell r="E12986">
            <v>0</v>
          </cell>
          <cell r="F12986">
            <v>990</v>
          </cell>
        </row>
        <row r="12987">
          <cell r="A12987" t="str">
            <v>Z0007-L</v>
          </cell>
          <cell r="B12987" t="str">
            <v>Z7</v>
          </cell>
          <cell r="C12987" t="str">
            <v>เท็นเซล แขนสั้นขายาว ดอกอัญชันฟ้า ขอบเขียว พื้นขาว L</v>
          </cell>
          <cell r="E12987">
            <v>0</v>
          </cell>
          <cell r="F12987">
            <v>990</v>
          </cell>
        </row>
        <row r="12988">
          <cell r="A12988" t="str">
            <v>Z0007-M</v>
          </cell>
          <cell r="B12988" t="str">
            <v>Z7</v>
          </cell>
          <cell r="C12988" t="str">
            <v>เท็นเซล แขนสั้นขายาว ดอกอัญชันฟ้า ขอบเขียว พื้นขาว M</v>
          </cell>
          <cell r="E12988">
            <v>0</v>
          </cell>
          <cell r="F12988">
            <v>990</v>
          </cell>
        </row>
        <row r="12989">
          <cell r="A12989" t="str">
            <v>Z0007-XL</v>
          </cell>
          <cell r="B12989" t="str">
            <v>Z7</v>
          </cell>
          <cell r="C12989" t="str">
            <v>เท็นเซล แขนสั้นขายาว ดอกอัญชันฟ้า ขอบเขียว พื้นขาว XL</v>
          </cell>
          <cell r="E12989">
            <v>0</v>
          </cell>
          <cell r="F12989">
            <v>990</v>
          </cell>
        </row>
        <row r="12990">
          <cell r="A12990" t="str">
            <v>Z0008-2XL</v>
          </cell>
          <cell r="B12990" t="str">
            <v>Z8</v>
          </cell>
          <cell r="C12990" t="str">
            <v>เท็นเซล แขนสั้นขาสั้น แกะ ขอบน้ำตาล พื้นขาว  2XL</v>
          </cell>
          <cell r="E12990">
            <v>0</v>
          </cell>
          <cell r="F12990">
            <v>890</v>
          </cell>
        </row>
        <row r="12991">
          <cell r="A12991" t="str">
            <v>Z0008-L</v>
          </cell>
          <cell r="B12991" t="str">
            <v>Z8</v>
          </cell>
          <cell r="C12991" t="str">
            <v>เท็นเซล แขนสั้นขาสั้น แกะ ขอบน้ำตาล พื้นขาว  L</v>
          </cell>
          <cell r="E12991">
            <v>0</v>
          </cell>
          <cell r="F12991">
            <v>890</v>
          </cell>
        </row>
        <row r="12992">
          <cell r="A12992" t="str">
            <v>Z0008-M</v>
          </cell>
          <cell r="B12992" t="str">
            <v>Z8</v>
          </cell>
          <cell r="C12992" t="str">
            <v>เท็นเซล แขนสั้นขาสั้น แกะ ขอบน้ำตาล พื้นขาว  M</v>
          </cell>
          <cell r="E12992">
            <v>0</v>
          </cell>
          <cell r="F12992">
            <v>890</v>
          </cell>
        </row>
        <row r="12993">
          <cell r="A12993" t="str">
            <v>Z0008-XL</v>
          </cell>
          <cell r="B12993" t="str">
            <v>Z8</v>
          </cell>
          <cell r="C12993" t="str">
            <v>เท็นเซล แขนสั้นขาสั้น แกะ ขอบน้ำตาล พื้นขาว  XL</v>
          </cell>
          <cell r="E12993">
            <v>0</v>
          </cell>
          <cell r="F12993">
            <v>890</v>
          </cell>
        </row>
        <row r="12994">
          <cell r="A12994" t="str">
            <v>Z0009-2XL</v>
          </cell>
          <cell r="B12994" t="str">
            <v>Z9</v>
          </cell>
          <cell r="C12994" t="str">
            <v>เท็นเซล แขนสั้นขายาว พลุเหลืองเทาม่วง ขอบทอง 2XL</v>
          </cell>
          <cell r="E12994">
            <v>0</v>
          </cell>
          <cell r="F12994">
            <v>990</v>
          </cell>
        </row>
        <row r="12995">
          <cell r="A12995" t="str">
            <v>Z0009-L</v>
          </cell>
          <cell r="B12995" t="str">
            <v>Z9</v>
          </cell>
          <cell r="C12995" t="str">
            <v>เท็นเซล แขนสั้นขายาว พลุเหลืองเทาม่วง ขอบทอง L</v>
          </cell>
          <cell r="E12995">
            <v>0</v>
          </cell>
          <cell r="F12995">
            <v>990</v>
          </cell>
        </row>
        <row r="12996">
          <cell r="A12996" t="str">
            <v>Z0009-M</v>
          </cell>
          <cell r="B12996" t="str">
            <v>Z9</v>
          </cell>
          <cell r="C12996" t="str">
            <v>เท็นเซล แขนสั้นขายาว พลุเหลืองเทาม่วง ขอบทอง M</v>
          </cell>
          <cell r="E12996">
            <v>0</v>
          </cell>
          <cell r="F12996">
            <v>990</v>
          </cell>
        </row>
        <row r="12997">
          <cell r="A12997" t="str">
            <v>Z0009-XL</v>
          </cell>
          <cell r="B12997" t="str">
            <v>Z9</v>
          </cell>
          <cell r="C12997" t="str">
            <v>เท็นเซล แขนสั้นขายาว พลุเหลืองเทาม่วง ขอบทอง XL</v>
          </cell>
          <cell r="E12997">
            <v>0</v>
          </cell>
          <cell r="F12997">
            <v>990</v>
          </cell>
        </row>
        <row r="12998">
          <cell r="A12998" t="str">
            <v>Z0010-2XL</v>
          </cell>
          <cell r="B12998" t="str">
            <v>Z10</v>
          </cell>
          <cell r="C12998" t="str">
            <v>เท็นเซล แขนสั้นขายาว พลุฟ้าชมพู ขอบทอง 2XL</v>
          </cell>
          <cell r="E12998">
            <v>0</v>
          </cell>
          <cell r="F12998">
            <v>990</v>
          </cell>
        </row>
        <row r="12999">
          <cell r="A12999" t="str">
            <v>Z0010-L</v>
          </cell>
          <cell r="B12999" t="str">
            <v>Z10</v>
          </cell>
          <cell r="C12999" t="str">
            <v>เท็นเซล  แขนสั้นขายาว พลุฟ้าชมพู ขอบทอง L</v>
          </cell>
          <cell r="E12999">
            <v>0</v>
          </cell>
          <cell r="F12999">
            <v>990</v>
          </cell>
        </row>
        <row r="13000">
          <cell r="A13000" t="str">
            <v>Z0010-M</v>
          </cell>
          <cell r="B13000" t="str">
            <v>Z10</v>
          </cell>
          <cell r="C13000" t="str">
            <v>เท็นเซล แขนสั้นขายาว พลุฟ้าชมพู ขอบทอง M</v>
          </cell>
          <cell r="E13000">
            <v>0</v>
          </cell>
          <cell r="F13000">
            <v>990</v>
          </cell>
        </row>
        <row r="13001">
          <cell r="A13001" t="str">
            <v>Z0010-XL</v>
          </cell>
          <cell r="B13001" t="str">
            <v>Z10</v>
          </cell>
          <cell r="C13001" t="str">
            <v>เท็นเซล แขนสั้นขายาว พลุฟ้าชมพู ขอบทอง XL</v>
          </cell>
          <cell r="E13001">
            <v>0</v>
          </cell>
          <cell r="F13001">
            <v>990</v>
          </cell>
        </row>
        <row r="13002">
          <cell r="A13002" t="str">
            <v>sp0433-xl</v>
          </cell>
          <cell r="B13002" t="str">
            <v>p433</v>
          </cell>
          <cell r="E13002">
            <v>0</v>
          </cell>
          <cell r="F13002">
            <v>0</v>
          </cell>
        </row>
        <row r="13003">
          <cell r="A13003" t="str">
            <v>ช1-M</v>
          </cell>
          <cell r="B13003" t="str">
            <v>ช1</v>
          </cell>
          <cell r="C13003" t="str">
            <v>ซาติน แขนสั้นขาสั้น ช1-M</v>
          </cell>
          <cell r="E13003">
            <v>0</v>
          </cell>
          <cell r="F13003">
            <v>999</v>
          </cell>
        </row>
        <row r="13004">
          <cell r="A13004" t="str">
            <v>ช2-M</v>
          </cell>
          <cell r="B13004" t="str">
            <v>ช2</v>
          </cell>
          <cell r="C13004" t="str">
            <v>ซาติน แขนสั้นขาสั้น ช2-M</v>
          </cell>
          <cell r="E13004">
            <v>0</v>
          </cell>
          <cell r="F13004">
            <v>999</v>
          </cell>
        </row>
        <row r="13005">
          <cell r="A13005" t="str">
            <v>ช3-M</v>
          </cell>
          <cell r="B13005" t="str">
            <v>ช3</v>
          </cell>
          <cell r="C13005" t="str">
            <v>ซาติน แขนสั้นขาสั้น ช3-M</v>
          </cell>
          <cell r="E13005">
            <v>0</v>
          </cell>
          <cell r="F13005">
            <v>999</v>
          </cell>
        </row>
        <row r="13006">
          <cell r="A13006" t="str">
            <v>ช4-M</v>
          </cell>
          <cell r="B13006" t="str">
            <v>ช4</v>
          </cell>
          <cell r="C13006" t="str">
            <v>ซาติน แขนสั้นขาสั้น ช4-M</v>
          </cell>
          <cell r="E13006">
            <v>0</v>
          </cell>
          <cell r="F13006">
            <v>999</v>
          </cell>
        </row>
        <row r="13007">
          <cell r="A13007" t="str">
            <v>ช5-M</v>
          </cell>
          <cell r="B13007" t="str">
            <v>ช5</v>
          </cell>
          <cell r="C13007" t="str">
            <v>ซาติน แขนสั้นขาสั้น ช5-M</v>
          </cell>
          <cell r="E13007">
            <v>0</v>
          </cell>
          <cell r="F13007">
            <v>999</v>
          </cell>
        </row>
        <row r="13008">
          <cell r="A13008" t="str">
            <v>ช6-L</v>
          </cell>
          <cell r="B13008" t="str">
            <v>ช6</v>
          </cell>
          <cell r="C13008" t="str">
            <v>ซาติน แขนสั้นขาสั้น ช6-L</v>
          </cell>
          <cell r="E13008">
            <v>0</v>
          </cell>
          <cell r="F13008">
            <v>999</v>
          </cell>
        </row>
        <row r="13009">
          <cell r="A13009" t="str">
            <v>ช7-M</v>
          </cell>
          <cell r="B13009" t="str">
            <v>ช7</v>
          </cell>
          <cell r="C13009" t="str">
            <v>ซาติน แขนสั้นขาสั้น ช7-M</v>
          </cell>
          <cell r="E13009">
            <v>0</v>
          </cell>
          <cell r="F13009">
            <v>999</v>
          </cell>
        </row>
        <row r="13010">
          <cell r="A13010" t="str">
            <v>ช8-M</v>
          </cell>
          <cell r="B13010" t="str">
            <v>ช8</v>
          </cell>
          <cell r="C13010" t="str">
            <v>ซาติน แขนสั้นขาสั้น ช8-M</v>
          </cell>
          <cell r="E13010">
            <v>0</v>
          </cell>
          <cell r="F13010">
            <v>999</v>
          </cell>
        </row>
        <row r="13011">
          <cell r="A13011" t="str">
            <v>ช9-M</v>
          </cell>
          <cell r="B13011" t="str">
            <v>ช9</v>
          </cell>
          <cell r="C13011" t="str">
            <v>ซาติน แขนสั้นขาสั้น ช9-M</v>
          </cell>
          <cell r="E13011">
            <v>0</v>
          </cell>
          <cell r="F13011">
            <v>999</v>
          </cell>
        </row>
        <row r="13012">
          <cell r="A13012" t="str">
            <v>ช10-M</v>
          </cell>
          <cell r="B13012" t="str">
            <v>ช10</v>
          </cell>
          <cell r="C13012" t="str">
            <v>ซาติน แขนสั้นขาสั้น ช10-M</v>
          </cell>
          <cell r="E13012">
            <v>0</v>
          </cell>
          <cell r="F13012">
            <v>999</v>
          </cell>
        </row>
        <row r="13013">
          <cell r="A13013" t="str">
            <v>ช11-L</v>
          </cell>
          <cell r="B13013" t="str">
            <v>ช11</v>
          </cell>
          <cell r="C13013" t="str">
            <v>ซาติน แขนสั้นขาสั้น ช11-L</v>
          </cell>
          <cell r="E13013">
            <v>0</v>
          </cell>
          <cell r="F13013">
            <v>999</v>
          </cell>
        </row>
        <row r="13014">
          <cell r="A13014" t="str">
            <v>ช12-L</v>
          </cell>
          <cell r="B13014" t="str">
            <v>ช12</v>
          </cell>
          <cell r="C13014" t="str">
            <v>ซาติน แขนสั้นขาสั้น ช12-L</v>
          </cell>
          <cell r="E13014">
            <v>0</v>
          </cell>
          <cell r="F13014">
            <v>999</v>
          </cell>
        </row>
        <row r="13015">
          <cell r="A13015" t="str">
            <v>ช13-M</v>
          </cell>
          <cell r="B13015" t="str">
            <v>ช13</v>
          </cell>
          <cell r="C13015" t="str">
            <v>ซาติน แขนสั้นขาสั้น ช13-M</v>
          </cell>
          <cell r="E13015">
            <v>0</v>
          </cell>
          <cell r="F13015">
            <v>999</v>
          </cell>
        </row>
        <row r="13016">
          <cell r="A13016" t="str">
            <v>ช14-M</v>
          </cell>
          <cell r="B13016" t="str">
            <v>ช14</v>
          </cell>
          <cell r="C13016" t="str">
            <v>ซาติน แขนสั้นขาสั้น ช14-M</v>
          </cell>
          <cell r="E13016">
            <v>0</v>
          </cell>
          <cell r="F13016">
            <v>999</v>
          </cell>
        </row>
        <row r="13017">
          <cell r="A13017" t="str">
            <v>ช15-M</v>
          </cell>
          <cell r="B13017" t="str">
            <v>ช15</v>
          </cell>
          <cell r="C13017" t="str">
            <v>ซาติน แขนสั้นขาสั้น ช15-M</v>
          </cell>
          <cell r="E13017">
            <v>0</v>
          </cell>
          <cell r="F13017">
            <v>999</v>
          </cell>
        </row>
        <row r="13018">
          <cell r="A13018" t="str">
            <v>ช16-M</v>
          </cell>
          <cell r="B13018" t="str">
            <v>ช16</v>
          </cell>
          <cell r="C13018" t="str">
            <v>ซาติน แขนสั้นขาสั้น ช16-M</v>
          </cell>
          <cell r="E13018">
            <v>0</v>
          </cell>
          <cell r="F13018">
            <v>999</v>
          </cell>
        </row>
        <row r="13019">
          <cell r="A13019" t="str">
            <v>ช17-L</v>
          </cell>
          <cell r="B13019" t="str">
            <v>ช17</v>
          </cell>
          <cell r="C13019" t="str">
            <v>ซาติน แขนสั้นขาสั้น ช17-L</v>
          </cell>
          <cell r="E13019">
            <v>0</v>
          </cell>
          <cell r="F13019">
            <v>999</v>
          </cell>
        </row>
        <row r="13020">
          <cell r="A13020" t="str">
            <v>ช18-M</v>
          </cell>
          <cell r="B13020" t="str">
            <v>ช18</v>
          </cell>
          <cell r="C13020" t="str">
            <v>ซาติน แขนสั้นขาสั้น ช18-M</v>
          </cell>
          <cell r="E13020">
            <v>0</v>
          </cell>
          <cell r="F13020">
            <v>999</v>
          </cell>
        </row>
        <row r="13021">
          <cell r="A13021" t="str">
            <v>ช19-M</v>
          </cell>
          <cell r="B13021" t="str">
            <v>ช19</v>
          </cell>
          <cell r="C13021" t="str">
            <v>ซาติน แขนสั้นขาสั้น ช19-M</v>
          </cell>
          <cell r="E13021">
            <v>0</v>
          </cell>
          <cell r="F13021">
            <v>999</v>
          </cell>
        </row>
        <row r="13022">
          <cell r="A13022" t="str">
            <v>ช20-L</v>
          </cell>
          <cell r="B13022" t="str">
            <v>ช20</v>
          </cell>
          <cell r="C13022" t="str">
            <v>ซาติน แขนสั้นขาสั้น ช20-L</v>
          </cell>
          <cell r="E13022">
            <v>0</v>
          </cell>
          <cell r="F13022">
            <v>999</v>
          </cell>
        </row>
        <row r="13023">
          <cell r="A13023" t="str">
            <v>ช21-M</v>
          </cell>
          <cell r="B13023" t="str">
            <v>ช21</v>
          </cell>
          <cell r="C13023" t="str">
            <v>ซาติน แขนสั้นขาสั้น ช21-M</v>
          </cell>
          <cell r="E13023">
            <v>0</v>
          </cell>
          <cell r="F13023">
            <v>999</v>
          </cell>
        </row>
        <row r="13024">
          <cell r="A13024" t="str">
            <v>ช22-M</v>
          </cell>
          <cell r="B13024" t="str">
            <v>ช22</v>
          </cell>
          <cell r="C13024" t="str">
            <v>ซาติน แขนสั้นขาสั้น ช22-M</v>
          </cell>
          <cell r="E13024">
            <v>0</v>
          </cell>
          <cell r="F13024">
            <v>999</v>
          </cell>
        </row>
        <row r="13025">
          <cell r="A13025" t="str">
            <v>ช23-L</v>
          </cell>
          <cell r="B13025" t="str">
            <v>ช23</v>
          </cell>
          <cell r="C13025" t="str">
            <v>ซาติน แขนสั้นขาสั้น ช23-L</v>
          </cell>
          <cell r="E13025">
            <v>0</v>
          </cell>
          <cell r="F13025">
            <v>999</v>
          </cell>
        </row>
        <row r="13026">
          <cell r="A13026" t="str">
            <v>ช24-M</v>
          </cell>
          <cell r="B13026" t="str">
            <v>ช24</v>
          </cell>
          <cell r="C13026" t="str">
            <v>ซาติน แขนสั้นขาสั้น ช24-M</v>
          </cell>
          <cell r="E13026">
            <v>0</v>
          </cell>
          <cell r="F13026">
            <v>999</v>
          </cell>
        </row>
        <row r="13027">
          <cell r="A13027" t="str">
            <v>ช25-M</v>
          </cell>
          <cell r="B13027" t="str">
            <v>ช25</v>
          </cell>
          <cell r="C13027" t="str">
            <v>ซาติน แขนสั้นขาสั้น ช25-M</v>
          </cell>
          <cell r="E13027">
            <v>0</v>
          </cell>
          <cell r="F13027">
            <v>999</v>
          </cell>
        </row>
        <row r="13028">
          <cell r="A13028" t="str">
            <v>ช26-M</v>
          </cell>
          <cell r="B13028" t="str">
            <v>ช26</v>
          </cell>
          <cell r="C13028" t="str">
            <v>ซาติน แขนสั้นขาสั้น ช26-M</v>
          </cell>
          <cell r="E13028">
            <v>0</v>
          </cell>
          <cell r="F13028">
            <v>999</v>
          </cell>
        </row>
        <row r="13029">
          <cell r="A13029" t="str">
            <v>ช27-L</v>
          </cell>
          <cell r="B13029" t="str">
            <v>ช27</v>
          </cell>
          <cell r="C13029" t="str">
            <v>ซาติน แขนสั้นขาสั้น ช27-L</v>
          </cell>
          <cell r="E13029">
            <v>0</v>
          </cell>
          <cell r="F13029">
            <v>999</v>
          </cell>
        </row>
        <row r="13030">
          <cell r="A13030" t="str">
            <v>ช28-L</v>
          </cell>
          <cell r="B13030" t="str">
            <v>ช28</v>
          </cell>
          <cell r="C13030" t="str">
            <v>ซาติน แขนสั้นขาสั้น ช28-L</v>
          </cell>
          <cell r="E13030">
            <v>0</v>
          </cell>
          <cell r="F13030">
            <v>999</v>
          </cell>
        </row>
        <row r="13031">
          <cell r="A13031" t="str">
            <v>ช29-L</v>
          </cell>
          <cell r="B13031" t="str">
            <v>ช29</v>
          </cell>
          <cell r="C13031" t="str">
            <v>ซาติน แขนสั้นขาสั้น ช29-L</v>
          </cell>
          <cell r="E13031">
            <v>0</v>
          </cell>
          <cell r="F13031">
            <v>999</v>
          </cell>
        </row>
        <row r="13032">
          <cell r="A13032" t="str">
            <v>ช30-M</v>
          </cell>
          <cell r="B13032" t="str">
            <v>ช30</v>
          </cell>
          <cell r="C13032" t="str">
            <v>ซาติน แขนสั้นขาสั้น ช30-M</v>
          </cell>
          <cell r="E13032">
            <v>0</v>
          </cell>
          <cell r="F13032">
            <v>999</v>
          </cell>
        </row>
        <row r="13033">
          <cell r="A13033" t="str">
            <v>ช31-M</v>
          </cell>
          <cell r="B13033" t="str">
            <v>ช31</v>
          </cell>
          <cell r="C13033" t="str">
            <v>ซาติน แขนสั้นขาสั้น ช31-M</v>
          </cell>
          <cell r="E13033">
            <v>0</v>
          </cell>
          <cell r="F13033">
            <v>999</v>
          </cell>
        </row>
        <row r="13034">
          <cell r="A13034" t="str">
            <v>ช32-M</v>
          </cell>
          <cell r="B13034" t="str">
            <v>ช32</v>
          </cell>
          <cell r="C13034" t="str">
            <v>ซาติน แขนสั้นขาสั้น ช32-M</v>
          </cell>
          <cell r="E13034">
            <v>0</v>
          </cell>
          <cell r="F13034">
            <v>999</v>
          </cell>
        </row>
        <row r="13035">
          <cell r="A13035" t="str">
            <v>ช33-M</v>
          </cell>
          <cell r="B13035" t="str">
            <v>ช33</v>
          </cell>
          <cell r="C13035" t="str">
            <v>ซาติน แขนสั้นขาสั้น ช33-M</v>
          </cell>
          <cell r="E13035">
            <v>0</v>
          </cell>
          <cell r="F13035">
            <v>999</v>
          </cell>
        </row>
        <row r="13036">
          <cell r="A13036" t="str">
            <v>ช34-M</v>
          </cell>
          <cell r="B13036" t="str">
            <v>ช34</v>
          </cell>
          <cell r="C13036" t="str">
            <v>ซาติน แขนสั้นขาสั้น ช34-M</v>
          </cell>
          <cell r="E13036">
            <v>0</v>
          </cell>
          <cell r="F13036">
            <v>999</v>
          </cell>
        </row>
        <row r="13037">
          <cell r="A13037" t="str">
            <v>ช35-M</v>
          </cell>
          <cell r="B13037" t="str">
            <v>ช35</v>
          </cell>
          <cell r="C13037" t="str">
            <v>ซาติน แขนสั้นขาสั้น ช35-M</v>
          </cell>
          <cell r="E13037">
            <v>0</v>
          </cell>
          <cell r="F13037">
            <v>999</v>
          </cell>
        </row>
        <row r="13038">
          <cell r="A13038" t="str">
            <v>ช36-L</v>
          </cell>
          <cell r="B13038" t="str">
            <v>ช36</v>
          </cell>
          <cell r="C13038" t="str">
            <v>ซาติน แขนสั้นขาสั้น ช36-L</v>
          </cell>
          <cell r="E13038">
            <v>0</v>
          </cell>
          <cell r="F13038">
            <v>999</v>
          </cell>
        </row>
        <row r="13039">
          <cell r="A13039" t="str">
            <v>ช37-L</v>
          </cell>
          <cell r="B13039" t="str">
            <v>ช37</v>
          </cell>
          <cell r="C13039" t="str">
            <v>ซาติน แขนสั้นขาสั้น ช37-L</v>
          </cell>
          <cell r="E13039">
            <v>0</v>
          </cell>
          <cell r="F13039">
            <v>999</v>
          </cell>
        </row>
        <row r="13040">
          <cell r="A13040" t="str">
            <v>ช38-M</v>
          </cell>
          <cell r="B13040" t="str">
            <v>ช38</v>
          </cell>
          <cell r="C13040" t="str">
            <v>ช38-M</v>
          </cell>
          <cell r="E13040">
            <v>0</v>
          </cell>
          <cell r="F13040">
            <v>950</v>
          </cell>
        </row>
        <row r="13041">
          <cell r="A13041" t="str">
            <v>ช39-L</v>
          </cell>
          <cell r="B13041" t="str">
            <v>ช39</v>
          </cell>
          <cell r="C13041" t="str">
            <v>ซาติน แขนสั้นขาสั้น ช39-L</v>
          </cell>
          <cell r="E13041">
            <v>0</v>
          </cell>
          <cell r="F13041">
            <v>999</v>
          </cell>
        </row>
        <row r="13042">
          <cell r="A13042" t="str">
            <v>ช40-M</v>
          </cell>
          <cell r="B13042" t="str">
            <v>ช40</v>
          </cell>
          <cell r="C13042" t="str">
            <v>ซาติน แขนสั้นขาสั้น ช40-M</v>
          </cell>
          <cell r="E13042">
            <v>0</v>
          </cell>
          <cell r="F13042">
            <v>999</v>
          </cell>
        </row>
        <row r="13043">
          <cell r="A13043" t="str">
            <v>ช41-M</v>
          </cell>
          <cell r="B13043" t="str">
            <v>ช41</v>
          </cell>
          <cell r="C13043" t="str">
            <v>ซาติน แขนสั้นขาสั้น ช41-M</v>
          </cell>
          <cell r="E13043">
            <v>0</v>
          </cell>
          <cell r="F13043">
            <v>999</v>
          </cell>
        </row>
        <row r="13044">
          <cell r="A13044" t="str">
            <v>ช42-M</v>
          </cell>
          <cell r="B13044" t="str">
            <v>ช42</v>
          </cell>
          <cell r="C13044" t="str">
            <v>ซาติน แขนสั้นขาสั้น ช42-M</v>
          </cell>
          <cell r="E13044">
            <v>0</v>
          </cell>
          <cell r="F13044">
            <v>999</v>
          </cell>
        </row>
        <row r="13045">
          <cell r="A13045" t="str">
            <v>ช43-M</v>
          </cell>
          <cell r="B13045" t="str">
            <v>ช43</v>
          </cell>
          <cell r="C13045" t="str">
            <v>ซาติน แขนสั้นขาสั้น ช43-M</v>
          </cell>
          <cell r="E13045">
            <v>0</v>
          </cell>
          <cell r="F13045">
            <v>999</v>
          </cell>
        </row>
        <row r="13046">
          <cell r="A13046" t="str">
            <v>ช44-M</v>
          </cell>
          <cell r="B13046" t="str">
            <v>ช44</v>
          </cell>
          <cell r="C13046" t="str">
            <v>ซาติน แขนสั้นขาสั้น ช44-M</v>
          </cell>
          <cell r="E13046">
            <v>0</v>
          </cell>
          <cell r="F13046">
            <v>999</v>
          </cell>
        </row>
        <row r="13047">
          <cell r="A13047" t="str">
            <v>ช45-L</v>
          </cell>
          <cell r="B13047" t="str">
            <v>ช45</v>
          </cell>
          <cell r="C13047" t="str">
            <v>ซาติน แขนสั้นขาสั้น ช45-L</v>
          </cell>
          <cell r="E13047">
            <v>0</v>
          </cell>
          <cell r="F13047">
            <v>999</v>
          </cell>
        </row>
        <row r="13048">
          <cell r="A13048" t="str">
            <v>ช46-M</v>
          </cell>
          <cell r="B13048" t="str">
            <v>ช46</v>
          </cell>
          <cell r="C13048" t="str">
            <v>ซาติน แขนสั้นขาสั้น ช46-M</v>
          </cell>
          <cell r="E13048">
            <v>0</v>
          </cell>
          <cell r="F13048">
            <v>999</v>
          </cell>
        </row>
        <row r="13049">
          <cell r="A13049" t="str">
            <v>ช47-M</v>
          </cell>
          <cell r="B13049" t="str">
            <v>ช47</v>
          </cell>
          <cell r="C13049" t="str">
            <v>ซาติน แขนสั้นขาสั้น ช47-M</v>
          </cell>
          <cell r="E13049">
            <v>0</v>
          </cell>
          <cell r="F13049">
            <v>999</v>
          </cell>
        </row>
        <row r="13050">
          <cell r="A13050" t="str">
            <v>ช48-M</v>
          </cell>
          <cell r="B13050" t="str">
            <v>ช48</v>
          </cell>
          <cell r="C13050" t="str">
            <v>ซาติน แขนสั้นขาสั้น ช48-M</v>
          </cell>
          <cell r="E13050">
            <v>0</v>
          </cell>
          <cell r="F13050">
            <v>999</v>
          </cell>
        </row>
        <row r="13051">
          <cell r="A13051" t="str">
            <v>ช49-L</v>
          </cell>
          <cell r="B13051" t="str">
            <v>ช49</v>
          </cell>
          <cell r="C13051" t="str">
            <v>ซาติน แขนสั้นขาสั้น ช49-L</v>
          </cell>
          <cell r="E13051">
            <v>0</v>
          </cell>
          <cell r="F13051">
            <v>999</v>
          </cell>
        </row>
        <row r="13052">
          <cell r="A13052" t="str">
            <v>ช50-M</v>
          </cell>
          <cell r="B13052" t="str">
            <v>ช50</v>
          </cell>
          <cell r="C13052" t="str">
            <v>ซาติน แขนสั้นขาสั้น ช50-M</v>
          </cell>
          <cell r="E13052">
            <v>0</v>
          </cell>
          <cell r="F13052">
            <v>999</v>
          </cell>
        </row>
        <row r="13053">
          <cell r="A13053" t="str">
            <v>ช51-M</v>
          </cell>
          <cell r="B13053" t="str">
            <v>ช51</v>
          </cell>
          <cell r="C13053" t="str">
            <v>ซาติน แขนสั้นขาสั้น ช51-M</v>
          </cell>
          <cell r="E13053">
            <v>0</v>
          </cell>
          <cell r="F13053">
            <v>999</v>
          </cell>
        </row>
        <row r="13054">
          <cell r="A13054" t="str">
            <v>ช52-L</v>
          </cell>
          <cell r="B13054" t="str">
            <v>ช52</v>
          </cell>
          <cell r="C13054" t="str">
            <v>ซาติน แขนสั้นขาสั้น ช52-L</v>
          </cell>
          <cell r="E13054">
            <v>0</v>
          </cell>
          <cell r="F13054">
            <v>999</v>
          </cell>
        </row>
        <row r="13055">
          <cell r="A13055" t="str">
            <v>ช53-L</v>
          </cell>
          <cell r="B13055" t="str">
            <v>ช53</v>
          </cell>
          <cell r="C13055" t="str">
            <v>ซาติน แขนสั้นขาสั้น ช53-L</v>
          </cell>
          <cell r="E13055">
            <v>0</v>
          </cell>
          <cell r="F13055">
            <v>999</v>
          </cell>
        </row>
        <row r="13056">
          <cell r="A13056" t="str">
            <v>ช54-M</v>
          </cell>
          <cell r="B13056" t="str">
            <v>ช54</v>
          </cell>
          <cell r="C13056" t="str">
            <v>ซาติน แขนสั้นขาสั้น ช54-M</v>
          </cell>
          <cell r="E13056">
            <v>0</v>
          </cell>
          <cell r="F13056">
            <v>999</v>
          </cell>
        </row>
        <row r="13057">
          <cell r="A13057" t="str">
            <v>ช55-M</v>
          </cell>
          <cell r="B13057" t="str">
            <v>ช55</v>
          </cell>
          <cell r="C13057" t="str">
            <v>ซาติน แขนสั้นขาสั้น ช55-M</v>
          </cell>
          <cell r="E13057">
            <v>0</v>
          </cell>
          <cell r="F13057">
            <v>999</v>
          </cell>
        </row>
        <row r="13058">
          <cell r="A13058" t="str">
            <v>ช56-M</v>
          </cell>
          <cell r="B13058" t="str">
            <v>ช56</v>
          </cell>
          <cell r="C13058" t="str">
            <v>ซาติน แขนสั้นขาสั้น ช56-M</v>
          </cell>
          <cell r="E13058">
            <v>0</v>
          </cell>
          <cell r="F13058">
            <v>999</v>
          </cell>
        </row>
        <row r="13059">
          <cell r="A13059" t="str">
            <v>ช57-M</v>
          </cell>
          <cell r="B13059" t="str">
            <v>ช57</v>
          </cell>
          <cell r="C13059" t="str">
            <v>ซาติน แขนสั้นขาสั้น ช57-M</v>
          </cell>
          <cell r="E13059">
            <v>0</v>
          </cell>
          <cell r="F13059">
            <v>999</v>
          </cell>
        </row>
        <row r="13060">
          <cell r="A13060" t="str">
            <v>ช58-M</v>
          </cell>
          <cell r="B13060" t="str">
            <v>ช58</v>
          </cell>
          <cell r="C13060" t="str">
            <v>ซาติน แขนสั้นขาสั้น ช58-M</v>
          </cell>
          <cell r="E13060">
            <v>0</v>
          </cell>
          <cell r="F13060">
            <v>999</v>
          </cell>
        </row>
        <row r="13061">
          <cell r="A13061" t="str">
            <v>ช59-M</v>
          </cell>
          <cell r="B13061" t="str">
            <v>ช59</v>
          </cell>
          <cell r="C13061" t="str">
            <v>ซาติน แขนสั้นขาสั้น ช59-M</v>
          </cell>
          <cell r="E13061">
            <v>0</v>
          </cell>
          <cell r="F13061">
            <v>999</v>
          </cell>
        </row>
        <row r="13062">
          <cell r="A13062" t="str">
            <v>ช60-M</v>
          </cell>
          <cell r="B13062" t="str">
            <v>ช60</v>
          </cell>
          <cell r="C13062" t="str">
            <v>ซาติน แขนสั้นขาสั้น ช60-M</v>
          </cell>
          <cell r="E13062">
            <v>0</v>
          </cell>
          <cell r="F13062">
            <v>999</v>
          </cell>
        </row>
        <row r="13063">
          <cell r="A13063" t="str">
            <v>ช61-M</v>
          </cell>
          <cell r="B13063" t="str">
            <v>ช61</v>
          </cell>
          <cell r="C13063" t="str">
            <v>ซาติน แขนสั้นขาสั้น ช61-M</v>
          </cell>
          <cell r="E13063">
            <v>0</v>
          </cell>
          <cell r="F13063">
            <v>999</v>
          </cell>
        </row>
        <row r="13064">
          <cell r="A13064" t="str">
            <v>ช62-M</v>
          </cell>
          <cell r="B13064" t="str">
            <v>ช62</v>
          </cell>
          <cell r="C13064" t="str">
            <v>ซาติน แขนสั้นขาสั้น ช62-M</v>
          </cell>
          <cell r="E13064">
            <v>0</v>
          </cell>
          <cell r="F13064">
            <v>999</v>
          </cell>
        </row>
        <row r="13065">
          <cell r="A13065" t="str">
            <v>ช63-M</v>
          </cell>
          <cell r="B13065" t="str">
            <v>ช63</v>
          </cell>
          <cell r="C13065" t="str">
            <v>ซาติน แขนสั้นขาสั้น ช63-M</v>
          </cell>
          <cell r="E13065">
            <v>0</v>
          </cell>
          <cell r="F13065">
            <v>999</v>
          </cell>
        </row>
        <row r="13066">
          <cell r="A13066" t="str">
            <v>ช64-M</v>
          </cell>
          <cell r="B13066" t="str">
            <v>ช64</v>
          </cell>
          <cell r="C13066" t="str">
            <v>ซาติน แขนสั้นขาสั้น ช64-M</v>
          </cell>
          <cell r="E13066">
            <v>0</v>
          </cell>
          <cell r="F13066">
            <v>999</v>
          </cell>
        </row>
        <row r="13067">
          <cell r="A13067" t="str">
            <v>ช65-M</v>
          </cell>
          <cell r="B13067" t="str">
            <v>ช65</v>
          </cell>
          <cell r="C13067" t="str">
            <v>ซาติน แขนสั้นขาสั้น ช65-M</v>
          </cell>
          <cell r="E13067">
            <v>0</v>
          </cell>
          <cell r="F13067">
            <v>999</v>
          </cell>
        </row>
        <row r="13068">
          <cell r="A13068" t="str">
            <v>ช66-L</v>
          </cell>
          <cell r="B13068" t="str">
            <v>ช66</v>
          </cell>
          <cell r="C13068" t="str">
            <v>ซาติน แขนสั้นขาสั้น ช66-L</v>
          </cell>
          <cell r="E13068">
            <v>0</v>
          </cell>
          <cell r="F13068">
            <v>999</v>
          </cell>
        </row>
        <row r="13069">
          <cell r="A13069" t="str">
            <v>ช67-L</v>
          </cell>
          <cell r="B13069" t="str">
            <v>ช67</v>
          </cell>
          <cell r="C13069" t="str">
            <v>ซาติน แขนสั้นขาสั้น ช67-L</v>
          </cell>
          <cell r="E13069">
            <v>0</v>
          </cell>
          <cell r="F13069">
            <v>999</v>
          </cell>
        </row>
        <row r="13070">
          <cell r="A13070" t="str">
            <v>ช68-L</v>
          </cell>
          <cell r="B13070" t="str">
            <v>ช68</v>
          </cell>
          <cell r="C13070" t="str">
            <v>ซาติน แขนสั้นขาสั้น ช68-L</v>
          </cell>
          <cell r="E13070">
            <v>0</v>
          </cell>
          <cell r="F13070">
            <v>999</v>
          </cell>
        </row>
        <row r="13071">
          <cell r="A13071" t="str">
            <v>ช69-L</v>
          </cell>
          <cell r="B13071" t="str">
            <v>ช69</v>
          </cell>
          <cell r="C13071" t="str">
            <v>ซาติน แขนสั้นขาสั้น ช69-L</v>
          </cell>
          <cell r="E13071">
            <v>0</v>
          </cell>
          <cell r="F13071">
            <v>999</v>
          </cell>
        </row>
        <row r="13072">
          <cell r="A13072" t="str">
            <v>ช70-M</v>
          </cell>
          <cell r="B13072" t="str">
            <v>ช70</v>
          </cell>
          <cell r="C13072" t="str">
            <v>ซาติน แขนสั้นขาสั้น ช70-M</v>
          </cell>
          <cell r="E13072">
            <v>0</v>
          </cell>
          <cell r="F13072">
            <v>999</v>
          </cell>
        </row>
        <row r="13073">
          <cell r="A13073" t="str">
            <v>ช71-L</v>
          </cell>
          <cell r="B13073" t="str">
            <v>ช71</v>
          </cell>
          <cell r="C13073" t="str">
            <v>ซาติน แขนสั้นขาสั้น ช71-L</v>
          </cell>
          <cell r="E13073">
            <v>0</v>
          </cell>
          <cell r="F13073">
            <v>999</v>
          </cell>
        </row>
        <row r="13074">
          <cell r="A13074" t="str">
            <v>ช72-M</v>
          </cell>
          <cell r="B13074" t="str">
            <v>ช72</v>
          </cell>
          <cell r="C13074" t="str">
            <v>ซาติน แขนสั้นขาสั้น ช72-M</v>
          </cell>
          <cell r="E13074">
            <v>0</v>
          </cell>
          <cell r="F13074">
            <v>999</v>
          </cell>
        </row>
        <row r="13075">
          <cell r="A13075" t="str">
            <v>ช73-L</v>
          </cell>
          <cell r="B13075" t="str">
            <v>ช73</v>
          </cell>
          <cell r="C13075" t="str">
            <v>ซาติน แขนสั้นขาสั้น ช73-L</v>
          </cell>
          <cell r="E13075">
            <v>0</v>
          </cell>
          <cell r="F13075">
            <v>999</v>
          </cell>
        </row>
        <row r="13076">
          <cell r="A13076" t="str">
            <v>ช74-M</v>
          </cell>
          <cell r="B13076" t="str">
            <v>ช74</v>
          </cell>
          <cell r="C13076" t="str">
            <v>ซาติน แขนสั้นขาสั้น ช74-M</v>
          </cell>
          <cell r="E13076">
            <v>0</v>
          </cell>
          <cell r="F13076">
            <v>999</v>
          </cell>
        </row>
        <row r="13077">
          <cell r="A13077" t="str">
            <v>ช75-M</v>
          </cell>
          <cell r="B13077" t="str">
            <v>ช75</v>
          </cell>
          <cell r="C13077" t="str">
            <v>ซาติน แขนสั้นขาสั้น ช75-M</v>
          </cell>
          <cell r="E13077">
            <v>0</v>
          </cell>
          <cell r="F13077">
            <v>999</v>
          </cell>
        </row>
        <row r="13078">
          <cell r="A13078" t="str">
            <v>ช76-L</v>
          </cell>
          <cell r="B13078" t="str">
            <v>ช76</v>
          </cell>
          <cell r="C13078" t="str">
            <v>ซาติน แขนสั้นขาสั้น ช76-L</v>
          </cell>
          <cell r="E13078">
            <v>0</v>
          </cell>
          <cell r="F13078">
            <v>999</v>
          </cell>
        </row>
        <row r="13079">
          <cell r="A13079" t="str">
            <v>ช77-M</v>
          </cell>
          <cell r="B13079" t="str">
            <v>ช77</v>
          </cell>
          <cell r="C13079" t="str">
            <v>ซาติน แขนสั้นขาสั้น ช77-M</v>
          </cell>
          <cell r="E13079">
            <v>0</v>
          </cell>
          <cell r="F13079">
            <v>999</v>
          </cell>
        </row>
        <row r="13080">
          <cell r="A13080" t="str">
            <v>ช78-M</v>
          </cell>
          <cell r="B13080" t="str">
            <v>ช78</v>
          </cell>
          <cell r="C13080" t="str">
            <v>ซาติน แขนสั้นขาสั้น ช78-M</v>
          </cell>
          <cell r="E13080">
            <v>0</v>
          </cell>
          <cell r="F13080">
            <v>999</v>
          </cell>
        </row>
        <row r="13081">
          <cell r="A13081" t="str">
            <v>ช79-M</v>
          </cell>
          <cell r="B13081" t="str">
            <v>ช79</v>
          </cell>
          <cell r="C13081" t="str">
            <v>ซาติน แขนสั้นขาสั้น ช79-M</v>
          </cell>
          <cell r="E13081">
            <v>0</v>
          </cell>
          <cell r="F13081">
            <v>999</v>
          </cell>
        </row>
        <row r="13082">
          <cell r="A13082" t="str">
            <v>ช80-M</v>
          </cell>
          <cell r="B13082" t="str">
            <v>ช80</v>
          </cell>
          <cell r="C13082" t="str">
            <v>ซาติน แขนสั้นขาสั้น ช80-M</v>
          </cell>
          <cell r="E13082">
            <v>0</v>
          </cell>
          <cell r="F13082">
            <v>999</v>
          </cell>
        </row>
        <row r="13083">
          <cell r="A13083" t="str">
            <v>ช81-L</v>
          </cell>
          <cell r="B13083" t="str">
            <v>ช81</v>
          </cell>
          <cell r="C13083" t="str">
            <v>ซาติน แขนสั้นขาสั้น ช81-L</v>
          </cell>
          <cell r="E13083">
            <v>0</v>
          </cell>
          <cell r="F13083">
            <v>999</v>
          </cell>
        </row>
        <row r="13084">
          <cell r="A13084" t="str">
            <v>ช82-M</v>
          </cell>
          <cell r="B13084" t="str">
            <v>ช82</v>
          </cell>
          <cell r="C13084" t="str">
            <v>ช82-M</v>
          </cell>
          <cell r="E13084">
            <v>0</v>
          </cell>
          <cell r="F13084">
            <v>950</v>
          </cell>
        </row>
        <row r="13085">
          <cell r="A13085" t="str">
            <v>ช83-M</v>
          </cell>
          <cell r="B13085" t="str">
            <v>ช83</v>
          </cell>
          <cell r="C13085" t="str">
            <v>ซาติน แขนสั้นขาสั้น ช83-M</v>
          </cell>
          <cell r="E13085">
            <v>0</v>
          </cell>
          <cell r="F13085">
            <v>999</v>
          </cell>
        </row>
        <row r="13086">
          <cell r="A13086" t="str">
            <v>ช84-L</v>
          </cell>
          <cell r="B13086" t="str">
            <v>ช84</v>
          </cell>
          <cell r="C13086" t="str">
            <v>ซาติน แขนสั้นขาสั้น ช84-L</v>
          </cell>
          <cell r="E13086">
            <v>0</v>
          </cell>
          <cell r="F13086">
            <v>999</v>
          </cell>
        </row>
        <row r="13087">
          <cell r="A13087" t="str">
            <v>ช85-M</v>
          </cell>
          <cell r="B13087" t="str">
            <v>ช85</v>
          </cell>
          <cell r="C13087" t="str">
            <v>ซาติน แขนสั้นขาสั้น ช85-M</v>
          </cell>
          <cell r="E13087">
            <v>0</v>
          </cell>
          <cell r="F13087">
            <v>999</v>
          </cell>
        </row>
        <row r="13088">
          <cell r="A13088" t="str">
            <v>ช86-L</v>
          </cell>
          <cell r="B13088" t="str">
            <v>ช86</v>
          </cell>
          <cell r="C13088" t="str">
            <v>ซาติน แขนสั้นขาสั้น ช86-L</v>
          </cell>
          <cell r="E13088">
            <v>0</v>
          </cell>
          <cell r="F13088">
            <v>999</v>
          </cell>
        </row>
        <row r="13089">
          <cell r="A13089" t="str">
            <v>ช87-L</v>
          </cell>
          <cell r="B13089" t="str">
            <v>ช87</v>
          </cell>
          <cell r="C13089" t="str">
            <v>ซาติน แขนสั้นขาสั้น ช87-L</v>
          </cell>
          <cell r="E13089">
            <v>0</v>
          </cell>
          <cell r="F13089">
            <v>999</v>
          </cell>
        </row>
        <row r="13090">
          <cell r="A13090" t="str">
            <v>ช88-M</v>
          </cell>
          <cell r="B13090" t="str">
            <v>ช88</v>
          </cell>
          <cell r="C13090" t="str">
            <v>ซาติน แขนสั้นขาสั้น ช88-M</v>
          </cell>
          <cell r="E13090">
            <v>0</v>
          </cell>
          <cell r="F13090">
            <v>999</v>
          </cell>
        </row>
        <row r="13091">
          <cell r="A13091" t="str">
            <v>ช89-M</v>
          </cell>
          <cell r="B13091" t="str">
            <v>ช89</v>
          </cell>
          <cell r="C13091" t="str">
            <v>ซาติน แขนสั้นขาสั้น ช89-M</v>
          </cell>
          <cell r="E13091">
            <v>0</v>
          </cell>
          <cell r="F13091">
            <v>999</v>
          </cell>
        </row>
        <row r="13092">
          <cell r="A13092" t="str">
            <v>ช90-M</v>
          </cell>
          <cell r="B13092" t="str">
            <v>ช90</v>
          </cell>
          <cell r="C13092" t="str">
            <v>ซาติน แขนสั้นขาสั้น ช90-M</v>
          </cell>
          <cell r="E13092">
            <v>0</v>
          </cell>
          <cell r="F13092">
            <v>999</v>
          </cell>
        </row>
        <row r="13093">
          <cell r="A13093" t="str">
            <v>ช91-M</v>
          </cell>
          <cell r="B13093" t="str">
            <v>ช91</v>
          </cell>
          <cell r="C13093" t="str">
            <v>ซาติน แขนสั้นขาสั้น ช91-M</v>
          </cell>
          <cell r="E13093">
            <v>0</v>
          </cell>
          <cell r="F13093">
            <v>999</v>
          </cell>
        </row>
        <row r="13094">
          <cell r="A13094" t="str">
            <v>ช91M</v>
          </cell>
          <cell r="B13094" t="str">
            <v>ช91</v>
          </cell>
          <cell r="C13094" t="str">
            <v>ช91M</v>
          </cell>
          <cell r="E13094">
            <v>0</v>
          </cell>
          <cell r="F13094">
            <v>999</v>
          </cell>
        </row>
        <row r="13095">
          <cell r="A13095" t="str">
            <v>ช92-M</v>
          </cell>
          <cell r="B13095" t="str">
            <v>ช92</v>
          </cell>
          <cell r="C13095" t="str">
            <v>ซาติน แขนสั้นขาสั้น ช92-M</v>
          </cell>
          <cell r="E13095">
            <v>0</v>
          </cell>
          <cell r="F13095">
            <v>999</v>
          </cell>
        </row>
        <row r="13096">
          <cell r="A13096" t="str">
            <v>ช93-L</v>
          </cell>
          <cell r="B13096" t="str">
            <v>ช93</v>
          </cell>
          <cell r="C13096" t="str">
            <v>ซาติน แขนสั้นขาสั้น ช93-L</v>
          </cell>
          <cell r="E13096">
            <v>0</v>
          </cell>
          <cell r="F13096">
            <v>999</v>
          </cell>
        </row>
        <row r="13097">
          <cell r="A13097" t="str">
            <v>ช94-M</v>
          </cell>
          <cell r="B13097" t="str">
            <v>ช94</v>
          </cell>
          <cell r="C13097" t="str">
            <v>ซาติน แขนสั้นขาสั้น ช94-M</v>
          </cell>
          <cell r="E13097">
            <v>0</v>
          </cell>
          <cell r="F13097">
            <v>999</v>
          </cell>
        </row>
        <row r="13098">
          <cell r="A13098" t="str">
            <v>ช95-L</v>
          </cell>
          <cell r="B13098" t="str">
            <v>ช95</v>
          </cell>
          <cell r="C13098" t="str">
            <v>ซาติน แขนสั้นขาสั้น ช95-L</v>
          </cell>
          <cell r="E13098">
            <v>0</v>
          </cell>
          <cell r="F13098">
            <v>999</v>
          </cell>
        </row>
        <row r="13099">
          <cell r="A13099" t="str">
            <v>ช96-M</v>
          </cell>
          <cell r="B13099" t="str">
            <v>ช96</v>
          </cell>
          <cell r="C13099" t="str">
            <v>ซาติน แขนสั้นขาสั้น ช96-M</v>
          </cell>
          <cell r="E13099">
            <v>0</v>
          </cell>
          <cell r="F13099">
            <v>999</v>
          </cell>
        </row>
        <row r="13100">
          <cell r="A13100" t="str">
            <v>ช97-M</v>
          </cell>
          <cell r="B13100" t="str">
            <v>ช97</v>
          </cell>
          <cell r="C13100" t="str">
            <v>ซาติน แขนสั้นขาสั้น ช97-M</v>
          </cell>
          <cell r="E13100">
            <v>0</v>
          </cell>
          <cell r="F13100">
            <v>999</v>
          </cell>
        </row>
        <row r="13101">
          <cell r="A13101" t="str">
            <v>ช98-M</v>
          </cell>
          <cell r="B13101" t="str">
            <v>ช98</v>
          </cell>
          <cell r="C13101" t="str">
            <v>ซาติน แขนสั้นขาสั้น ช98-M</v>
          </cell>
          <cell r="E13101">
            <v>0</v>
          </cell>
          <cell r="F13101">
            <v>999</v>
          </cell>
        </row>
        <row r="13102">
          <cell r="A13102" t="str">
            <v>ช99-M</v>
          </cell>
          <cell r="B13102" t="str">
            <v>ช99</v>
          </cell>
          <cell r="C13102" t="str">
            <v>ซาติน แขนสั้นขาสั้น ช99-M</v>
          </cell>
          <cell r="E13102">
            <v>0</v>
          </cell>
          <cell r="F13102">
            <v>999</v>
          </cell>
        </row>
        <row r="13103">
          <cell r="A13103" t="str">
            <v>ช100-M</v>
          </cell>
          <cell r="B13103" t="str">
            <v>ช100</v>
          </cell>
          <cell r="C13103" t="str">
            <v>ซาติน แขนสั้นขาสั้น ช100-M</v>
          </cell>
          <cell r="E13103">
            <v>0</v>
          </cell>
          <cell r="F13103">
            <v>999</v>
          </cell>
        </row>
        <row r="13104">
          <cell r="A13104" t="str">
            <v>ช101-M</v>
          </cell>
          <cell r="B13104" t="str">
            <v>ช101</v>
          </cell>
          <cell r="C13104" t="str">
            <v>ซาติน แขนสั้นขาสั้น ช101-M</v>
          </cell>
          <cell r="E13104">
            <v>0</v>
          </cell>
          <cell r="F13104">
            <v>999</v>
          </cell>
        </row>
        <row r="13105">
          <cell r="A13105" t="str">
            <v>ช102-M</v>
          </cell>
          <cell r="B13105" t="str">
            <v>ช102</v>
          </cell>
          <cell r="C13105" t="str">
            <v>ซาติน แขนสั้นขาสั้น ช102-M</v>
          </cell>
          <cell r="E13105">
            <v>0</v>
          </cell>
          <cell r="F13105">
            <v>999</v>
          </cell>
        </row>
        <row r="13106">
          <cell r="A13106" t="str">
            <v>ช103-M</v>
          </cell>
          <cell r="B13106" t="str">
            <v>ช103</v>
          </cell>
          <cell r="C13106" t="str">
            <v>ซาติน แขนสั้นขาสั้น ช103-M</v>
          </cell>
          <cell r="E13106">
            <v>0</v>
          </cell>
          <cell r="F13106">
            <v>999</v>
          </cell>
        </row>
        <row r="13107">
          <cell r="A13107" t="str">
            <v>ช104-M</v>
          </cell>
          <cell r="B13107" t="str">
            <v>ช104</v>
          </cell>
          <cell r="C13107" t="str">
            <v>ซาติน แขนสั้นขาสั้น ช104-M</v>
          </cell>
          <cell r="E13107">
            <v>0</v>
          </cell>
          <cell r="F13107">
            <v>999</v>
          </cell>
        </row>
        <row r="13108">
          <cell r="A13108" t="str">
            <v>ช105-M</v>
          </cell>
          <cell r="B13108" t="str">
            <v>ช105</v>
          </cell>
          <cell r="C13108" t="str">
            <v>ซาติน แขนสั้นขาสั้น ช105-M</v>
          </cell>
          <cell r="E13108">
            <v>0</v>
          </cell>
          <cell r="F13108">
            <v>999</v>
          </cell>
        </row>
        <row r="13109">
          <cell r="A13109" t="str">
            <v>ช106-M</v>
          </cell>
          <cell r="B13109" t="str">
            <v>ช106</v>
          </cell>
          <cell r="C13109" t="str">
            <v>ซาติน แขนสั้นขาสั้น ช106-M</v>
          </cell>
          <cell r="E13109">
            <v>0</v>
          </cell>
          <cell r="F13109">
            <v>999</v>
          </cell>
        </row>
        <row r="13110">
          <cell r="A13110" t="str">
            <v>ช107-L</v>
          </cell>
          <cell r="B13110" t="str">
            <v>ช107</v>
          </cell>
          <cell r="C13110" t="str">
            <v>ซาติน แขนสั้นขาสั้น ช107-L</v>
          </cell>
          <cell r="E13110">
            <v>0</v>
          </cell>
          <cell r="F13110">
            <v>999</v>
          </cell>
        </row>
        <row r="13111">
          <cell r="A13111" t="str">
            <v>ช108-M</v>
          </cell>
          <cell r="B13111" t="str">
            <v>ช108</v>
          </cell>
          <cell r="C13111" t="str">
            <v>ซาติน แขนสั้นขาสั้น ช108-M</v>
          </cell>
          <cell r="E13111">
            <v>0</v>
          </cell>
          <cell r="F13111">
            <v>999</v>
          </cell>
        </row>
        <row r="13112">
          <cell r="A13112" t="str">
            <v>ช109-M</v>
          </cell>
          <cell r="B13112" t="str">
            <v>ช109</v>
          </cell>
          <cell r="C13112" t="str">
            <v>ซาติน แขนสั้นขาสั้น ช109-M</v>
          </cell>
          <cell r="E13112">
            <v>0</v>
          </cell>
          <cell r="F13112">
            <v>999</v>
          </cell>
        </row>
        <row r="13113">
          <cell r="A13113" t="str">
            <v>ช110-M</v>
          </cell>
          <cell r="B13113" t="str">
            <v>ช110</v>
          </cell>
          <cell r="C13113" t="str">
            <v>ซาติน แขนสั้นขาสั้น ช110-M</v>
          </cell>
          <cell r="E13113">
            <v>0</v>
          </cell>
          <cell r="F13113">
            <v>999</v>
          </cell>
        </row>
        <row r="13114">
          <cell r="A13114" t="str">
            <v>ช111-M</v>
          </cell>
          <cell r="B13114" t="str">
            <v>ช111</v>
          </cell>
          <cell r="C13114" t="str">
            <v>ซาติน แขนสั้นขาสั้น ช111-M</v>
          </cell>
          <cell r="E13114">
            <v>0</v>
          </cell>
          <cell r="F13114">
            <v>999</v>
          </cell>
        </row>
        <row r="13115">
          <cell r="A13115" t="str">
            <v>ช112-M</v>
          </cell>
          <cell r="B13115" t="str">
            <v>ช112</v>
          </cell>
          <cell r="C13115" t="str">
            <v>ซาติน แขนสั้นขาสั้น ช112-M</v>
          </cell>
          <cell r="E13115">
            <v>0</v>
          </cell>
          <cell r="F13115">
            <v>999</v>
          </cell>
        </row>
        <row r="13116">
          <cell r="A13116" t="str">
            <v>ด1-M</v>
          </cell>
          <cell r="B13116" t="str">
            <v>ด1</v>
          </cell>
          <cell r="C13116" t="str">
            <v>ซาติน เดรส ด1-M</v>
          </cell>
          <cell r="E13116">
            <v>0</v>
          </cell>
          <cell r="F13116">
            <v>999</v>
          </cell>
        </row>
        <row r="13117">
          <cell r="A13117" t="str">
            <v>ด2-M</v>
          </cell>
          <cell r="B13117" t="str">
            <v>ด2</v>
          </cell>
          <cell r="C13117" t="str">
            <v>ซาติน เดรส ด2-M</v>
          </cell>
          <cell r="E13117">
            <v>0</v>
          </cell>
          <cell r="F13117">
            <v>999</v>
          </cell>
        </row>
        <row r="13118">
          <cell r="A13118" t="str">
            <v>ด3-M</v>
          </cell>
          <cell r="B13118" t="str">
            <v>ด3</v>
          </cell>
          <cell r="C13118" t="str">
            <v>ซาติน เดรส ด3-M</v>
          </cell>
          <cell r="E13118">
            <v>0</v>
          </cell>
          <cell r="F13118">
            <v>999</v>
          </cell>
        </row>
        <row r="13119">
          <cell r="A13119" t="str">
            <v>ด4-M</v>
          </cell>
          <cell r="B13119" t="str">
            <v>ด4</v>
          </cell>
          <cell r="C13119" t="str">
            <v>ซาติน เดรส ด4-M</v>
          </cell>
          <cell r="E13119">
            <v>0</v>
          </cell>
          <cell r="F13119">
            <v>999</v>
          </cell>
        </row>
        <row r="13120">
          <cell r="A13120" t="str">
            <v>ด5-M</v>
          </cell>
          <cell r="B13120" t="str">
            <v>ด5</v>
          </cell>
          <cell r="C13120" t="str">
            <v>ซาติน เดรส ด5-M</v>
          </cell>
          <cell r="E13120">
            <v>0</v>
          </cell>
          <cell r="F13120">
            <v>999</v>
          </cell>
        </row>
        <row r="13121">
          <cell r="A13121" t="str">
            <v>ด6-M</v>
          </cell>
          <cell r="B13121" t="str">
            <v>ด6</v>
          </cell>
          <cell r="C13121" t="str">
            <v>ซาติน เดรส ด6-M</v>
          </cell>
          <cell r="E13121">
            <v>0</v>
          </cell>
          <cell r="F13121">
            <v>999</v>
          </cell>
        </row>
        <row r="13122">
          <cell r="A13122" t="str">
            <v>ด7-M</v>
          </cell>
          <cell r="B13122" t="str">
            <v>ด7</v>
          </cell>
          <cell r="C13122" t="str">
            <v>ซาติน เดรส ด7-M</v>
          </cell>
          <cell r="E13122">
            <v>0</v>
          </cell>
          <cell r="F13122">
            <v>999</v>
          </cell>
        </row>
        <row r="13123">
          <cell r="A13123" t="str">
            <v>ด8-M</v>
          </cell>
          <cell r="B13123" t="str">
            <v>ด8</v>
          </cell>
          <cell r="C13123" t="str">
            <v>ซาติน เดรส ด8-M</v>
          </cell>
          <cell r="E13123">
            <v>0</v>
          </cell>
          <cell r="F13123">
            <v>999</v>
          </cell>
        </row>
        <row r="13124">
          <cell r="A13124" t="str">
            <v>ด9-M</v>
          </cell>
          <cell r="B13124" t="str">
            <v>ด9</v>
          </cell>
          <cell r="C13124" t="str">
            <v>ซาติน เดรส ด9-M</v>
          </cell>
          <cell r="E13124">
            <v>0</v>
          </cell>
          <cell r="F13124">
            <v>999</v>
          </cell>
        </row>
        <row r="13125">
          <cell r="A13125" t="str">
            <v>ด10-M</v>
          </cell>
          <cell r="B13125" t="str">
            <v>ด10</v>
          </cell>
          <cell r="C13125" t="str">
            <v>ซาติน เดรส ด10-M</v>
          </cell>
          <cell r="E13125">
            <v>0</v>
          </cell>
          <cell r="F13125">
            <v>999</v>
          </cell>
        </row>
        <row r="13126">
          <cell r="A13126" t="str">
            <v>ด11-M</v>
          </cell>
          <cell r="B13126" t="str">
            <v>ด11</v>
          </cell>
          <cell r="C13126" t="str">
            <v>ซาติน เดรส ด11-M</v>
          </cell>
          <cell r="E13126">
            <v>0</v>
          </cell>
          <cell r="F13126">
            <v>999</v>
          </cell>
        </row>
        <row r="13127">
          <cell r="A13127" t="str">
            <v>ด142-M</v>
          </cell>
          <cell r="B13127" t="str">
            <v>ด142</v>
          </cell>
          <cell r="C13127" t="str">
            <v>ซาติน เดรส ด142-M</v>
          </cell>
          <cell r="E13127">
            <v>0</v>
          </cell>
          <cell r="F13127">
            <v>999</v>
          </cell>
        </row>
        <row r="13128">
          <cell r="A13128" t="str">
            <v>ป6-M</v>
          </cell>
          <cell r="B13128" t="str">
            <v>ป6</v>
          </cell>
          <cell r="C13128" t="str">
            <v>ป6-M</v>
          </cell>
          <cell r="E13128">
            <v>0</v>
          </cell>
          <cell r="F13128">
            <v>950</v>
          </cell>
        </row>
        <row r="13129">
          <cell r="A13129" t="str">
            <v>ป16M</v>
          </cell>
          <cell r="B13129" t="str">
            <v>ป16</v>
          </cell>
          <cell r="C13129" t="str">
            <v>ป16M</v>
          </cell>
          <cell r="E13129">
            <v>0</v>
          </cell>
          <cell r="F13129">
            <v>999</v>
          </cell>
        </row>
        <row r="13130">
          <cell r="A13130" t="str">
            <v>ป42-M</v>
          </cell>
          <cell r="B13130" t="str">
            <v>ป42</v>
          </cell>
          <cell r="C13130" t="str">
            <v>ป42-M</v>
          </cell>
          <cell r="E13130">
            <v>0</v>
          </cell>
          <cell r="F13130">
            <v>950</v>
          </cell>
        </row>
        <row r="13131">
          <cell r="A13131" t="str">
            <v>ย1-M</v>
          </cell>
          <cell r="B13131" t="str">
            <v>ย1</v>
          </cell>
          <cell r="C13131" t="str">
            <v>ซาติน แขนยาวขายาว ย1-M</v>
          </cell>
          <cell r="E13131">
            <v>0</v>
          </cell>
          <cell r="F13131">
            <v>999</v>
          </cell>
        </row>
        <row r="13132">
          <cell r="A13132" t="str">
            <v>ย2-M</v>
          </cell>
          <cell r="B13132" t="str">
            <v>ย2</v>
          </cell>
          <cell r="C13132" t="str">
            <v>ซาติน แขนยาวขายาว ย2-M</v>
          </cell>
          <cell r="E13132">
            <v>0</v>
          </cell>
          <cell r="F13132">
            <v>999</v>
          </cell>
        </row>
        <row r="13133">
          <cell r="A13133" t="str">
            <v>ย3-M</v>
          </cell>
          <cell r="B13133" t="str">
            <v>ย3</v>
          </cell>
          <cell r="C13133" t="str">
            <v>ซาติน แขนยาวขายาว ย3-M</v>
          </cell>
          <cell r="E13133">
            <v>0</v>
          </cell>
          <cell r="F13133">
            <v>999</v>
          </cell>
        </row>
        <row r="13134">
          <cell r="A13134" t="str">
            <v>ย4-M</v>
          </cell>
          <cell r="B13134" t="str">
            <v>ย4</v>
          </cell>
          <cell r="C13134" t="str">
            <v>ซาติน แขนยาวขายาว ย4-M</v>
          </cell>
          <cell r="E13134">
            <v>0</v>
          </cell>
          <cell r="F13134">
            <v>999</v>
          </cell>
        </row>
        <row r="13135">
          <cell r="A13135" t="str">
            <v>ย5-M</v>
          </cell>
          <cell r="B13135" t="str">
            <v>ย5</v>
          </cell>
          <cell r="C13135" t="str">
            <v>ซาติน แขนยาวขายาว ย5-M</v>
          </cell>
          <cell r="E13135">
            <v>0</v>
          </cell>
          <cell r="F13135">
            <v>999</v>
          </cell>
        </row>
        <row r="13136">
          <cell r="A13136" t="str">
            <v>ย5M</v>
          </cell>
          <cell r="B13136" t="str">
            <v>ย5</v>
          </cell>
          <cell r="C13136" t="str">
            <v>ย5M</v>
          </cell>
          <cell r="E13136">
            <v>0</v>
          </cell>
          <cell r="F13136">
            <v>999</v>
          </cell>
        </row>
        <row r="13137">
          <cell r="A13137" t="str">
            <v>ย6-L</v>
          </cell>
          <cell r="B13137" t="str">
            <v>ย6</v>
          </cell>
          <cell r="C13137" t="str">
            <v>ซาติน แขนยาวขายาว ย6-L</v>
          </cell>
          <cell r="E13137">
            <v>0</v>
          </cell>
          <cell r="F13137">
            <v>999</v>
          </cell>
        </row>
        <row r="13138">
          <cell r="A13138" t="str">
            <v>ย7-L</v>
          </cell>
          <cell r="B13138" t="str">
            <v>ย7</v>
          </cell>
          <cell r="C13138" t="str">
            <v>ซาติน แขนยาวขายาว ย7-L</v>
          </cell>
          <cell r="E13138">
            <v>0</v>
          </cell>
          <cell r="F13138">
            <v>999</v>
          </cell>
        </row>
        <row r="13139">
          <cell r="A13139" t="str">
            <v>ย8-L</v>
          </cell>
          <cell r="B13139" t="str">
            <v>ย8</v>
          </cell>
          <cell r="C13139" t="str">
            <v>ซาติน แขนยาวขายาว ย8-L</v>
          </cell>
          <cell r="E13139">
            <v>0</v>
          </cell>
          <cell r="F13139">
            <v>999</v>
          </cell>
        </row>
        <row r="13140">
          <cell r="A13140" t="str">
            <v>ย9-M</v>
          </cell>
          <cell r="B13140" t="str">
            <v>ย9</v>
          </cell>
          <cell r="C13140" t="str">
            <v>ซาติน แขนยาวขายาว ย9-M</v>
          </cell>
          <cell r="E13140">
            <v>0</v>
          </cell>
          <cell r="F13140">
            <v>999</v>
          </cell>
        </row>
        <row r="13141">
          <cell r="A13141" t="str">
            <v>ย10-M</v>
          </cell>
          <cell r="B13141" t="str">
            <v>ย10</v>
          </cell>
          <cell r="C13141" t="str">
            <v>ซาติน แขนยาวขายาว ย10-M</v>
          </cell>
          <cell r="E13141">
            <v>0</v>
          </cell>
          <cell r="F13141">
            <v>999</v>
          </cell>
        </row>
        <row r="13142">
          <cell r="A13142" t="str">
            <v>ย11-M</v>
          </cell>
          <cell r="B13142" t="str">
            <v>ย11</v>
          </cell>
          <cell r="C13142" t="str">
            <v>ซาติน แขนยาวขายาว ย11-M</v>
          </cell>
          <cell r="E13142">
            <v>0</v>
          </cell>
          <cell r="F13142">
            <v>999</v>
          </cell>
        </row>
        <row r="13143">
          <cell r="A13143" t="str">
            <v>ย12-M</v>
          </cell>
          <cell r="B13143" t="str">
            <v>ย12</v>
          </cell>
          <cell r="C13143" t="str">
            <v>ซาติน แขนยาวขายาว ย12-M</v>
          </cell>
          <cell r="E13143">
            <v>0</v>
          </cell>
          <cell r="F13143">
            <v>999</v>
          </cell>
        </row>
        <row r="13144">
          <cell r="A13144" t="str">
            <v>ย13-M</v>
          </cell>
          <cell r="B13144" t="str">
            <v>ย13</v>
          </cell>
          <cell r="C13144" t="str">
            <v>ซาติน แขนยาวขายาว ย13-M</v>
          </cell>
          <cell r="E13144">
            <v>0</v>
          </cell>
          <cell r="F13144">
            <v>999</v>
          </cell>
        </row>
        <row r="13145">
          <cell r="A13145" t="str">
            <v>ย14-L</v>
          </cell>
          <cell r="B13145" t="str">
            <v>ย14</v>
          </cell>
          <cell r="C13145" t="str">
            <v>ซาติน แขนยาวขายาว ย14-L</v>
          </cell>
          <cell r="E13145">
            <v>0</v>
          </cell>
          <cell r="F13145">
            <v>999</v>
          </cell>
        </row>
        <row r="13146">
          <cell r="A13146" t="str">
            <v>ย15-M</v>
          </cell>
          <cell r="B13146" t="str">
            <v>ย15</v>
          </cell>
          <cell r="C13146" t="str">
            <v>ซาติน แขนยาวขายาว ย15-M</v>
          </cell>
          <cell r="E13146">
            <v>0</v>
          </cell>
          <cell r="F13146">
            <v>999</v>
          </cell>
        </row>
        <row r="13147">
          <cell r="A13147" t="str">
            <v>ย16-L</v>
          </cell>
          <cell r="B13147" t="str">
            <v>ย16</v>
          </cell>
          <cell r="C13147" t="str">
            <v>ซาติน แขนยาวขายาว ย16-L</v>
          </cell>
          <cell r="E13147">
            <v>0</v>
          </cell>
          <cell r="F13147">
            <v>999</v>
          </cell>
        </row>
        <row r="13148">
          <cell r="A13148" t="str">
            <v>ย16-M</v>
          </cell>
          <cell r="B13148" t="str">
            <v>ย16</v>
          </cell>
          <cell r="C13148" t="str">
            <v>ย16-M</v>
          </cell>
          <cell r="E13148">
            <v>0</v>
          </cell>
          <cell r="F13148">
            <v>950</v>
          </cell>
        </row>
        <row r="13149">
          <cell r="A13149" t="str">
            <v>ย17-L</v>
          </cell>
          <cell r="B13149" t="str">
            <v>ย17</v>
          </cell>
          <cell r="C13149" t="str">
            <v>ซาติน แขนยาวขายาว ย17-L</v>
          </cell>
          <cell r="E13149">
            <v>0</v>
          </cell>
          <cell r="F13149">
            <v>999</v>
          </cell>
        </row>
        <row r="13150">
          <cell r="A13150" t="str">
            <v>ย18-L</v>
          </cell>
          <cell r="B13150" t="str">
            <v>ย18</v>
          </cell>
          <cell r="C13150" t="str">
            <v>ซาติน แขนยาวขายาว ย18-L</v>
          </cell>
          <cell r="E13150">
            <v>0</v>
          </cell>
          <cell r="F13150">
            <v>999</v>
          </cell>
        </row>
        <row r="13151">
          <cell r="A13151" t="str">
            <v>ย19-L</v>
          </cell>
          <cell r="B13151" t="str">
            <v>ย19</v>
          </cell>
          <cell r="C13151" t="str">
            <v>ซาติน แขนยาวขายาว ย19-L</v>
          </cell>
          <cell r="E13151">
            <v>0</v>
          </cell>
          <cell r="F13151">
            <v>999</v>
          </cell>
        </row>
        <row r="13152">
          <cell r="A13152" t="str">
            <v>ย20-M</v>
          </cell>
          <cell r="B13152" t="str">
            <v>ย20</v>
          </cell>
          <cell r="C13152" t="str">
            <v>ซาติน แขนยาวขายาว ย20-M</v>
          </cell>
          <cell r="E13152">
            <v>0</v>
          </cell>
          <cell r="F13152">
            <v>999</v>
          </cell>
        </row>
        <row r="13153">
          <cell r="A13153" t="str">
            <v>ย21-L</v>
          </cell>
          <cell r="B13153" t="str">
            <v>ย21</v>
          </cell>
          <cell r="C13153" t="str">
            <v>ซาติน แขนยาวขายาว ย21-L</v>
          </cell>
          <cell r="E13153">
            <v>0</v>
          </cell>
          <cell r="F13153">
            <v>999</v>
          </cell>
        </row>
        <row r="13154">
          <cell r="A13154" t="str">
            <v>ย22-M</v>
          </cell>
          <cell r="B13154" t="str">
            <v>ย22</v>
          </cell>
          <cell r="C13154" t="str">
            <v>ซาติน แขนยาวขายาว ย22-M</v>
          </cell>
          <cell r="E13154">
            <v>0</v>
          </cell>
          <cell r="F13154">
            <v>999</v>
          </cell>
        </row>
        <row r="13155">
          <cell r="A13155" t="str">
            <v>ย23-M</v>
          </cell>
          <cell r="B13155" t="str">
            <v>ย23</v>
          </cell>
          <cell r="C13155" t="str">
            <v>ซาติน แขนยาวขายาว ย23-M</v>
          </cell>
          <cell r="E13155">
            <v>0</v>
          </cell>
          <cell r="F13155">
            <v>999</v>
          </cell>
        </row>
        <row r="13156">
          <cell r="A13156" t="str">
            <v>ย24-M</v>
          </cell>
          <cell r="B13156" t="str">
            <v>ย24</v>
          </cell>
          <cell r="C13156" t="str">
            <v>ซาติน แขนยาวขายาว ย24-M</v>
          </cell>
          <cell r="E13156">
            <v>0</v>
          </cell>
          <cell r="F13156">
            <v>999</v>
          </cell>
        </row>
        <row r="13157">
          <cell r="A13157" t="str">
            <v>ย25-M</v>
          </cell>
          <cell r="B13157" t="str">
            <v>ย25</v>
          </cell>
          <cell r="C13157" t="str">
            <v>ย25-M</v>
          </cell>
          <cell r="E13157">
            <v>0</v>
          </cell>
          <cell r="F13157">
            <v>950</v>
          </cell>
        </row>
        <row r="13158">
          <cell r="A13158" t="str">
            <v>ย26-M</v>
          </cell>
          <cell r="B13158" t="str">
            <v>ย26</v>
          </cell>
          <cell r="C13158" t="str">
            <v>ซาติน แขนยาวขายาว ย26-M</v>
          </cell>
          <cell r="E13158">
            <v>0</v>
          </cell>
          <cell r="F13158">
            <v>999</v>
          </cell>
        </row>
        <row r="13159">
          <cell r="A13159" t="str">
            <v>ย27-M</v>
          </cell>
          <cell r="B13159" t="str">
            <v>ย27</v>
          </cell>
          <cell r="C13159" t="str">
            <v>ซาติน แขนยาวขายาว ย27-M</v>
          </cell>
          <cell r="E13159">
            <v>0</v>
          </cell>
          <cell r="F13159">
            <v>999</v>
          </cell>
        </row>
        <row r="13160">
          <cell r="A13160" t="str">
            <v>ย28-M</v>
          </cell>
          <cell r="B13160" t="str">
            <v>ย28</v>
          </cell>
          <cell r="C13160" t="str">
            <v>ซาติน แขนยาวขายาว ย28-M</v>
          </cell>
          <cell r="E13160">
            <v>0</v>
          </cell>
          <cell r="F13160">
            <v>999</v>
          </cell>
        </row>
        <row r="13161">
          <cell r="A13161" t="str">
            <v>ย29-M</v>
          </cell>
          <cell r="B13161" t="str">
            <v>ย29</v>
          </cell>
          <cell r="C13161" t="str">
            <v>ซาติน แขนยาวขายาว ย29-M</v>
          </cell>
          <cell r="E13161">
            <v>0</v>
          </cell>
          <cell r="F13161">
            <v>999</v>
          </cell>
        </row>
        <row r="13162">
          <cell r="A13162" t="str">
            <v>ย30-M</v>
          </cell>
          <cell r="B13162" t="str">
            <v>ย30</v>
          </cell>
          <cell r="C13162" t="str">
            <v>ซาติน แขนยาวขายาว ย30-M</v>
          </cell>
          <cell r="E13162">
            <v>0</v>
          </cell>
          <cell r="F13162">
            <v>999</v>
          </cell>
        </row>
        <row r="13163">
          <cell r="A13163" t="str">
            <v>ย31-M</v>
          </cell>
          <cell r="B13163" t="str">
            <v>ย31</v>
          </cell>
          <cell r="C13163" t="str">
            <v>ซาติน แขนยาวขายาว ย31-M</v>
          </cell>
          <cell r="E13163">
            <v>0</v>
          </cell>
          <cell r="F13163">
            <v>999</v>
          </cell>
        </row>
        <row r="13164">
          <cell r="A13164" t="str">
            <v>ย32-M</v>
          </cell>
          <cell r="B13164" t="str">
            <v>ย32</v>
          </cell>
          <cell r="C13164" t="str">
            <v>ซาติน แขนยาวขายาว ย32-M</v>
          </cell>
          <cell r="E13164">
            <v>0</v>
          </cell>
          <cell r="F13164">
            <v>999</v>
          </cell>
        </row>
        <row r="13165">
          <cell r="A13165" t="str">
            <v>ย32M</v>
          </cell>
          <cell r="B13165" t="str">
            <v>ย32</v>
          </cell>
          <cell r="C13165" t="str">
            <v>ย32M</v>
          </cell>
          <cell r="E13165">
            <v>0</v>
          </cell>
          <cell r="F13165">
            <v>999</v>
          </cell>
        </row>
        <row r="13166">
          <cell r="A13166" t="str">
            <v>ย33-M</v>
          </cell>
          <cell r="B13166" t="str">
            <v>ย33</v>
          </cell>
          <cell r="C13166" t="str">
            <v>ซาติน แขนยาวขายาว ย33-M</v>
          </cell>
          <cell r="E13166">
            <v>0</v>
          </cell>
          <cell r="F13166">
            <v>999</v>
          </cell>
        </row>
        <row r="13167">
          <cell r="A13167" t="str">
            <v>ย34-M</v>
          </cell>
          <cell r="B13167" t="str">
            <v>ย34</v>
          </cell>
          <cell r="C13167" t="str">
            <v>ซาติน แขนยาวขายาว ย34-M</v>
          </cell>
          <cell r="E13167">
            <v>0</v>
          </cell>
          <cell r="F13167">
            <v>999</v>
          </cell>
        </row>
        <row r="13168">
          <cell r="A13168" t="str">
            <v>ย35-L</v>
          </cell>
          <cell r="B13168" t="str">
            <v>ย35</v>
          </cell>
          <cell r="C13168" t="str">
            <v>ซาติน แขนยาวขายาว ย35-L</v>
          </cell>
          <cell r="E13168">
            <v>0</v>
          </cell>
          <cell r="F13168">
            <v>999</v>
          </cell>
        </row>
        <row r="13169">
          <cell r="A13169" t="str">
            <v>ย36-M</v>
          </cell>
          <cell r="B13169" t="str">
            <v>ย36</v>
          </cell>
          <cell r="C13169" t="str">
            <v>ซาติน แขนยาวขายาว ย36-M</v>
          </cell>
          <cell r="E13169">
            <v>0</v>
          </cell>
          <cell r="F13169">
            <v>999</v>
          </cell>
        </row>
        <row r="13170">
          <cell r="A13170" t="str">
            <v>ย37-M</v>
          </cell>
          <cell r="B13170" t="str">
            <v>ย37</v>
          </cell>
          <cell r="C13170" t="str">
            <v>ซาติน แขนยาวขายาว ย37-M</v>
          </cell>
          <cell r="E13170">
            <v>0</v>
          </cell>
          <cell r="F13170">
            <v>999</v>
          </cell>
        </row>
        <row r="13171">
          <cell r="A13171" t="str">
            <v>ย38-M</v>
          </cell>
          <cell r="B13171" t="str">
            <v>ย38</v>
          </cell>
          <cell r="C13171" t="str">
            <v>ซาติน แขนยาวขายาว ย38-M</v>
          </cell>
          <cell r="E13171">
            <v>0</v>
          </cell>
          <cell r="F13171">
            <v>999</v>
          </cell>
        </row>
        <row r="13172">
          <cell r="A13172" t="str">
            <v>ย39-M</v>
          </cell>
          <cell r="B13172" t="str">
            <v>ย39</v>
          </cell>
          <cell r="C13172" t="str">
            <v>ซาติน แขนยาวขายาว ย39-M</v>
          </cell>
          <cell r="E13172">
            <v>0</v>
          </cell>
          <cell r="F13172">
            <v>999</v>
          </cell>
        </row>
        <row r="13173">
          <cell r="A13173" t="str">
            <v>ย40-M</v>
          </cell>
          <cell r="B13173" t="str">
            <v>ย40</v>
          </cell>
          <cell r="C13173" t="str">
            <v>ซาติน แขนยาวขายาว ย40-M</v>
          </cell>
          <cell r="E13173">
            <v>0</v>
          </cell>
          <cell r="F13173">
            <v>999</v>
          </cell>
        </row>
        <row r="13174">
          <cell r="A13174" t="str">
            <v>ย41-L</v>
          </cell>
          <cell r="B13174" t="str">
            <v>ย41</v>
          </cell>
          <cell r="C13174" t="str">
            <v>ซาติน แขนยาวขายาว ย41-L</v>
          </cell>
          <cell r="E13174">
            <v>0</v>
          </cell>
          <cell r="F13174">
            <v>999</v>
          </cell>
        </row>
        <row r="13175">
          <cell r="A13175" t="str">
            <v>ย41-M</v>
          </cell>
          <cell r="B13175" t="str">
            <v>ย41</v>
          </cell>
          <cell r="C13175" t="str">
            <v>ซาติน แขนยาวขายาว ย41-M</v>
          </cell>
          <cell r="E13175">
            <v>0</v>
          </cell>
          <cell r="F13175">
            <v>999</v>
          </cell>
        </row>
        <row r="13176">
          <cell r="A13176" t="str">
            <v>ย42-M</v>
          </cell>
          <cell r="B13176" t="str">
            <v>ย42</v>
          </cell>
          <cell r="C13176" t="str">
            <v>ซาติน แขนยาวขายาว ย42-M</v>
          </cell>
          <cell r="E13176">
            <v>0</v>
          </cell>
          <cell r="F13176">
            <v>999</v>
          </cell>
        </row>
        <row r="13177">
          <cell r="A13177" t="str">
            <v>ย43-M</v>
          </cell>
          <cell r="B13177" t="str">
            <v>ย43</v>
          </cell>
          <cell r="C13177" t="str">
            <v>ซาติน แขนยาวขายาว ย43-M</v>
          </cell>
          <cell r="E13177">
            <v>0</v>
          </cell>
          <cell r="F13177">
            <v>999</v>
          </cell>
        </row>
        <row r="13178">
          <cell r="A13178" t="str">
            <v>ย44-M</v>
          </cell>
          <cell r="B13178" t="str">
            <v>ย44</v>
          </cell>
          <cell r="C13178" t="str">
            <v>ซาติน แขนยาวขายาว ย44-M</v>
          </cell>
          <cell r="E13178">
            <v>0</v>
          </cell>
          <cell r="F13178">
            <v>999</v>
          </cell>
        </row>
        <row r="13179">
          <cell r="A13179" t="str">
            <v>ย45-M</v>
          </cell>
          <cell r="B13179" t="str">
            <v>ย45</v>
          </cell>
          <cell r="C13179" t="str">
            <v>ซาติน แขนยาวขายาว ย45-M</v>
          </cell>
          <cell r="E13179">
            <v>0</v>
          </cell>
          <cell r="F13179">
            <v>999</v>
          </cell>
        </row>
        <row r="13180">
          <cell r="A13180" t="str">
            <v>ย46-M</v>
          </cell>
          <cell r="B13180" t="str">
            <v>ย46</v>
          </cell>
          <cell r="C13180" t="str">
            <v>ซาติน แขนยาวขายาว ย46-M</v>
          </cell>
          <cell r="E13180">
            <v>0</v>
          </cell>
          <cell r="F13180">
            <v>999</v>
          </cell>
        </row>
        <row r="13181">
          <cell r="A13181" t="str">
            <v>ย47-M</v>
          </cell>
          <cell r="B13181" t="str">
            <v>ย47</v>
          </cell>
          <cell r="C13181" t="str">
            <v>ซาติน แขนยาวขายาว ย47-M</v>
          </cell>
          <cell r="E13181">
            <v>0</v>
          </cell>
          <cell r="F13181">
            <v>999</v>
          </cell>
        </row>
        <row r="13182">
          <cell r="A13182" t="str">
            <v>ย48-L</v>
          </cell>
          <cell r="B13182" t="str">
            <v>ย48</v>
          </cell>
          <cell r="C13182" t="str">
            <v>ซาติน แขนยาวขายาว ย48-L</v>
          </cell>
          <cell r="E13182">
            <v>0</v>
          </cell>
          <cell r="F13182">
            <v>999</v>
          </cell>
        </row>
        <row r="13183">
          <cell r="A13183" t="str">
            <v>ย49-M</v>
          </cell>
          <cell r="B13183" t="str">
            <v>ย49</v>
          </cell>
          <cell r="C13183" t="str">
            <v>ซาติน แขนยาวขายาว ย49-M</v>
          </cell>
          <cell r="E13183">
            <v>0</v>
          </cell>
          <cell r="F13183">
            <v>999</v>
          </cell>
        </row>
        <row r="13184">
          <cell r="A13184" t="str">
            <v>ย50-L</v>
          </cell>
          <cell r="B13184" t="str">
            <v>ย50</v>
          </cell>
          <cell r="C13184" t="str">
            <v>ซาติน แขนยาวขายาว ย50-L</v>
          </cell>
          <cell r="E13184">
            <v>0</v>
          </cell>
          <cell r="F13184">
            <v>999</v>
          </cell>
        </row>
        <row r="13185">
          <cell r="A13185" t="str">
            <v>ย51-M</v>
          </cell>
          <cell r="B13185" t="str">
            <v>ย51</v>
          </cell>
          <cell r="C13185" t="str">
            <v>ซาติน แขนยาวขายาว ย51-M</v>
          </cell>
          <cell r="E13185">
            <v>0</v>
          </cell>
          <cell r="F13185">
            <v>999</v>
          </cell>
        </row>
        <row r="13186">
          <cell r="A13186" t="str">
            <v>ย52-L</v>
          </cell>
          <cell r="B13186" t="str">
            <v>ย52</v>
          </cell>
          <cell r="C13186" t="str">
            <v>ซาติน แขนยาวขายาว ย52-L</v>
          </cell>
          <cell r="E13186">
            <v>0</v>
          </cell>
          <cell r="F13186">
            <v>999</v>
          </cell>
        </row>
        <row r="13187">
          <cell r="A13187" t="str">
            <v>ย53-M</v>
          </cell>
          <cell r="B13187" t="str">
            <v>ย53</v>
          </cell>
          <cell r="C13187" t="str">
            <v>ซาติน แขนยาวขายาว ย53-M</v>
          </cell>
          <cell r="E13187">
            <v>0</v>
          </cell>
          <cell r="F13187">
            <v>999</v>
          </cell>
        </row>
        <row r="13188">
          <cell r="A13188" t="str">
            <v>ย54-L</v>
          </cell>
          <cell r="B13188" t="str">
            <v>ย54</v>
          </cell>
          <cell r="C13188" t="str">
            <v>ซาติน แขนยาวขายาว ย54-L</v>
          </cell>
          <cell r="E13188">
            <v>0</v>
          </cell>
          <cell r="F13188">
            <v>999</v>
          </cell>
        </row>
        <row r="13189">
          <cell r="A13189" t="str">
            <v>ย54-M</v>
          </cell>
          <cell r="B13189" t="str">
            <v>ย54</v>
          </cell>
          <cell r="C13189" t="str">
            <v>ซาติน แขนยาวขายาว ย54-M</v>
          </cell>
          <cell r="E13189">
            <v>0</v>
          </cell>
          <cell r="F13189">
            <v>999</v>
          </cell>
        </row>
        <row r="13190">
          <cell r="A13190" t="str">
            <v>ย55-L</v>
          </cell>
          <cell r="B13190" t="str">
            <v>ย55</v>
          </cell>
          <cell r="C13190" t="str">
            <v>ซาติน แขนยาวขายาว ย55-L</v>
          </cell>
          <cell r="E13190">
            <v>0</v>
          </cell>
          <cell r="F13190">
            <v>999</v>
          </cell>
        </row>
        <row r="13191">
          <cell r="A13191" t="str">
            <v>ย56-M</v>
          </cell>
          <cell r="B13191" t="str">
            <v>ย56</v>
          </cell>
          <cell r="C13191" t="str">
            <v>ซาติน แขนยาวขายาว ย56-M</v>
          </cell>
          <cell r="E13191">
            <v>0</v>
          </cell>
          <cell r="F13191">
            <v>999</v>
          </cell>
        </row>
        <row r="13192">
          <cell r="A13192" t="str">
            <v>ย57-M</v>
          </cell>
          <cell r="B13192" t="str">
            <v>ย57</v>
          </cell>
          <cell r="C13192" t="str">
            <v>ซาติน แขนยาวขายาว ย57-M</v>
          </cell>
          <cell r="E13192">
            <v>0</v>
          </cell>
          <cell r="F13192">
            <v>999</v>
          </cell>
        </row>
        <row r="13193">
          <cell r="A13193" t="str">
            <v>ย58-S</v>
          </cell>
          <cell r="B13193" t="str">
            <v>ย58</v>
          </cell>
          <cell r="C13193" t="str">
            <v>ซาติน แขนยาวขายาว ย58-S</v>
          </cell>
          <cell r="E13193">
            <v>0</v>
          </cell>
          <cell r="F13193">
            <v>999</v>
          </cell>
        </row>
        <row r="13194">
          <cell r="A13194" t="str">
            <v>ย59-L</v>
          </cell>
          <cell r="B13194" t="str">
            <v>ย59</v>
          </cell>
          <cell r="C13194" t="str">
            <v>ซาติน แขนยาวขายาว ย59-L</v>
          </cell>
          <cell r="E13194">
            <v>0</v>
          </cell>
          <cell r="F13194">
            <v>999</v>
          </cell>
        </row>
        <row r="13195">
          <cell r="A13195" t="str">
            <v>ย60-M</v>
          </cell>
          <cell r="B13195" t="str">
            <v>ย60</v>
          </cell>
          <cell r="C13195" t="str">
            <v>ซาติน แขนยาวขายาว ย60-M</v>
          </cell>
          <cell r="E13195">
            <v>0</v>
          </cell>
          <cell r="F13195">
            <v>999</v>
          </cell>
        </row>
        <row r="13196">
          <cell r="A13196" t="str">
            <v>ย61-M</v>
          </cell>
          <cell r="B13196" t="str">
            <v>ย61</v>
          </cell>
          <cell r="C13196" t="str">
            <v>ซาติน แขนยาวขายาว ย61-M</v>
          </cell>
          <cell r="E13196">
            <v>0</v>
          </cell>
          <cell r="F13196">
            <v>999</v>
          </cell>
        </row>
        <row r="13197">
          <cell r="A13197" t="str">
            <v>ย62-L</v>
          </cell>
          <cell r="B13197" t="str">
            <v>ย62</v>
          </cell>
          <cell r="C13197" t="str">
            <v>ซาติน แขนยาวขายาว ย62-L</v>
          </cell>
          <cell r="E13197">
            <v>0</v>
          </cell>
          <cell r="F13197">
            <v>999</v>
          </cell>
        </row>
        <row r="13198">
          <cell r="A13198" t="str">
            <v>ย63-M</v>
          </cell>
          <cell r="B13198" t="str">
            <v>ย63</v>
          </cell>
          <cell r="C13198" t="str">
            <v>ซาติน แขนยาวขายาว ย63-M</v>
          </cell>
          <cell r="E13198">
            <v>0</v>
          </cell>
          <cell r="F13198">
            <v>999</v>
          </cell>
        </row>
        <row r="13199">
          <cell r="A13199" t="str">
            <v>ย64-L</v>
          </cell>
          <cell r="B13199" t="str">
            <v>ย64</v>
          </cell>
          <cell r="C13199" t="str">
            <v>ซาติน แขนยาวขายาว ย64-L</v>
          </cell>
          <cell r="E13199">
            <v>0</v>
          </cell>
          <cell r="F13199">
            <v>999</v>
          </cell>
        </row>
        <row r="13200">
          <cell r="A13200" t="str">
            <v>ย65-M</v>
          </cell>
          <cell r="B13200" t="str">
            <v>ย65</v>
          </cell>
          <cell r="C13200" t="str">
            <v>ซาติน แขนยาวขายาว ย65-M</v>
          </cell>
          <cell r="E13200">
            <v>0</v>
          </cell>
          <cell r="F13200">
            <v>999</v>
          </cell>
        </row>
        <row r="13201">
          <cell r="A13201" t="str">
            <v>ย66-M</v>
          </cell>
          <cell r="B13201" t="str">
            <v>ย66</v>
          </cell>
          <cell r="C13201" t="str">
            <v>ซาติน แขนยาวขายาว ย66-M</v>
          </cell>
          <cell r="E13201">
            <v>0</v>
          </cell>
          <cell r="F13201">
            <v>999</v>
          </cell>
        </row>
        <row r="13202">
          <cell r="A13202" t="str">
            <v>ย67-L</v>
          </cell>
          <cell r="B13202" t="str">
            <v>ย67</v>
          </cell>
          <cell r="C13202" t="str">
            <v>ซาติน แขนยาวขายาว ย67-L</v>
          </cell>
          <cell r="E13202">
            <v>0</v>
          </cell>
          <cell r="F13202">
            <v>999</v>
          </cell>
        </row>
        <row r="13203">
          <cell r="A13203" t="str">
            <v>ย68-M</v>
          </cell>
          <cell r="B13203" t="str">
            <v>ย68</v>
          </cell>
          <cell r="C13203" t="str">
            <v>ซาติน แขนยาวขายาว ย68-M</v>
          </cell>
          <cell r="E13203">
            <v>0</v>
          </cell>
          <cell r="F13203">
            <v>999</v>
          </cell>
        </row>
        <row r="13204">
          <cell r="A13204" t="str">
            <v>ย69-M</v>
          </cell>
          <cell r="B13204" t="str">
            <v>ย69</v>
          </cell>
          <cell r="C13204" t="str">
            <v>ซาติน แขนยาวขายาว ย69-M</v>
          </cell>
          <cell r="E13204">
            <v>0</v>
          </cell>
          <cell r="F13204">
            <v>999</v>
          </cell>
        </row>
        <row r="13205">
          <cell r="A13205" t="str">
            <v>ย70-M</v>
          </cell>
          <cell r="B13205" t="str">
            <v>ย70</v>
          </cell>
          <cell r="C13205" t="str">
            <v>ซาติน แขนยาวขายาว ย70-M</v>
          </cell>
          <cell r="E13205">
            <v>0</v>
          </cell>
          <cell r="F13205">
            <v>999</v>
          </cell>
        </row>
        <row r="13206">
          <cell r="A13206" t="str">
            <v>ย71-L</v>
          </cell>
          <cell r="B13206" t="str">
            <v>ย71</v>
          </cell>
          <cell r="C13206" t="str">
            <v>ซาติน แขนยาวขายาว ย71-L</v>
          </cell>
          <cell r="E13206">
            <v>0</v>
          </cell>
          <cell r="F13206">
            <v>999</v>
          </cell>
        </row>
        <row r="13207">
          <cell r="A13207" t="str">
            <v>ย72-M</v>
          </cell>
          <cell r="B13207" t="str">
            <v>ย72</v>
          </cell>
          <cell r="C13207" t="str">
            <v>ซาติน แขนยาวขายาว ย72-M</v>
          </cell>
          <cell r="E13207">
            <v>0</v>
          </cell>
          <cell r="F13207">
            <v>999</v>
          </cell>
        </row>
        <row r="13208">
          <cell r="A13208" t="str">
            <v>ย73-L</v>
          </cell>
          <cell r="B13208" t="str">
            <v>ย73</v>
          </cell>
          <cell r="C13208" t="str">
            <v>ซาติน แขนยาวขายาว ย73-L</v>
          </cell>
          <cell r="E13208">
            <v>0</v>
          </cell>
          <cell r="F13208">
            <v>999</v>
          </cell>
        </row>
        <row r="13209">
          <cell r="A13209" t="str">
            <v>ย74-M</v>
          </cell>
          <cell r="B13209" t="str">
            <v>ย74</v>
          </cell>
          <cell r="C13209" t="str">
            <v>ซาติน แขนยาวขายาว ย74-M</v>
          </cell>
          <cell r="E13209">
            <v>0</v>
          </cell>
          <cell r="F13209">
            <v>999</v>
          </cell>
        </row>
        <row r="13210">
          <cell r="A13210" t="str">
            <v>ย75-M</v>
          </cell>
          <cell r="B13210" t="str">
            <v>ย75</v>
          </cell>
          <cell r="C13210" t="str">
            <v>ซาติน แขนยาวขายาว ย75-M</v>
          </cell>
          <cell r="E13210">
            <v>0</v>
          </cell>
          <cell r="F13210">
            <v>999</v>
          </cell>
        </row>
        <row r="13211">
          <cell r="A13211" t="str">
            <v>ย76-M</v>
          </cell>
          <cell r="B13211" t="str">
            <v>ย76</v>
          </cell>
          <cell r="C13211" t="str">
            <v>ซาติน แขนยาวขายาว ย76-M</v>
          </cell>
          <cell r="E13211">
            <v>0</v>
          </cell>
          <cell r="F13211">
            <v>999</v>
          </cell>
        </row>
        <row r="13212">
          <cell r="A13212" t="str">
            <v>ย76M</v>
          </cell>
          <cell r="B13212" t="str">
            <v>ย76</v>
          </cell>
          <cell r="C13212" t="str">
            <v>ย76M</v>
          </cell>
          <cell r="E13212">
            <v>0</v>
          </cell>
          <cell r="F13212">
            <v>999</v>
          </cell>
        </row>
        <row r="13213">
          <cell r="A13213" t="str">
            <v>ย77-L</v>
          </cell>
          <cell r="B13213" t="str">
            <v>ย77</v>
          </cell>
          <cell r="C13213" t="str">
            <v>ซาติน แขนยาวขายาว ย77-L</v>
          </cell>
          <cell r="E13213">
            <v>0</v>
          </cell>
          <cell r="F13213">
            <v>999</v>
          </cell>
        </row>
        <row r="13214">
          <cell r="A13214" t="str">
            <v>ย78-M</v>
          </cell>
          <cell r="B13214" t="str">
            <v>ย78</v>
          </cell>
          <cell r="C13214" t="str">
            <v>ซาติน แขนยาวขายาว ย78-M</v>
          </cell>
          <cell r="E13214">
            <v>0</v>
          </cell>
          <cell r="F13214">
            <v>999</v>
          </cell>
        </row>
        <row r="13215">
          <cell r="A13215" t="str">
            <v>ย79-M</v>
          </cell>
          <cell r="B13215" t="str">
            <v>ย79</v>
          </cell>
          <cell r="C13215" t="str">
            <v>ซาติน แขนยาวขายาว ย79-M</v>
          </cell>
          <cell r="E13215">
            <v>0</v>
          </cell>
          <cell r="F13215">
            <v>999</v>
          </cell>
        </row>
        <row r="13216">
          <cell r="A13216" t="str">
            <v>ย80-M</v>
          </cell>
          <cell r="B13216" t="str">
            <v>ย80</v>
          </cell>
          <cell r="C13216" t="str">
            <v>ซาติน แขนยาวขายาว ย80-M</v>
          </cell>
          <cell r="E13216">
            <v>0</v>
          </cell>
          <cell r="F13216">
            <v>999</v>
          </cell>
        </row>
        <row r="13217">
          <cell r="A13217" t="str">
            <v>ย81-L</v>
          </cell>
          <cell r="B13217" t="str">
            <v>ย81</v>
          </cell>
          <cell r="C13217" t="str">
            <v>ซาติน แขนยาวขายาว ย81-L</v>
          </cell>
          <cell r="E13217">
            <v>0</v>
          </cell>
          <cell r="F13217">
            <v>999</v>
          </cell>
        </row>
        <row r="13218">
          <cell r="A13218" t="str">
            <v>ย82-M</v>
          </cell>
          <cell r="B13218" t="str">
            <v>ย82</v>
          </cell>
          <cell r="C13218" t="str">
            <v>ซาติน แขนยาวขายาว ย82-M</v>
          </cell>
          <cell r="E13218">
            <v>0</v>
          </cell>
          <cell r="F13218">
            <v>999</v>
          </cell>
        </row>
        <row r="13219">
          <cell r="A13219" t="str">
            <v>ย83-M</v>
          </cell>
          <cell r="B13219" t="str">
            <v>ย83</v>
          </cell>
          <cell r="C13219" t="str">
            <v>ซาติน แขนยาวขายาว ย83-M</v>
          </cell>
          <cell r="E13219">
            <v>0</v>
          </cell>
          <cell r="F13219">
            <v>999</v>
          </cell>
        </row>
        <row r="13220">
          <cell r="A13220" t="str">
            <v>ย84-M</v>
          </cell>
          <cell r="B13220" t="str">
            <v>ย84</v>
          </cell>
          <cell r="C13220" t="str">
            <v>ซาติน แขนยาวขายาว ย84-M</v>
          </cell>
          <cell r="E13220">
            <v>0</v>
          </cell>
          <cell r="F13220">
            <v>999</v>
          </cell>
        </row>
        <row r="13221">
          <cell r="A13221" t="str">
            <v>ย85-M</v>
          </cell>
          <cell r="B13221" t="str">
            <v>ย85</v>
          </cell>
          <cell r="C13221" t="str">
            <v>ซาติน แขนยาวขายาว ย85-M</v>
          </cell>
          <cell r="E13221">
            <v>0</v>
          </cell>
          <cell r="F13221">
            <v>999</v>
          </cell>
        </row>
        <row r="13222">
          <cell r="A13222" t="str">
            <v>ย86-M</v>
          </cell>
          <cell r="B13222" t="str">
            <v>ย86</v>
          </cell>
          <cell r="C13222" t="str">
            <v>ซาติน แขนยาวขายาว ย86-M</v>
          </cell>
          <cell r="E13222">
            <v>0</v>
          </cell>
          <cell r="F13222">
            <v>999</v>
          </cell>
        </row>
        <row r="13223">
          <cell r="A13223" t="str">
            <v>ย87-L</v>
          </cell>
          <cell r="B13223" t="str">
            <v>ย87</v>
          </cell>
          <cell r="C13223" t="str">
            <v>ซาติน แขนยาวขายาว ย87-L</v>
          </cell>
          <cell r="E13223">
            <v>0</v>
          </cell>
          <cell r="F13223">
            <v>999</v>
          </cell>
        </row>
        <row r="13224">
          <cell r="A13224" t="str">
            <v>ย88-L</v>
          </cell>
          <cell r="B13224" t="str">
            <v>ย88</v>
          </cell>
          <cell r="C13224" t="str">
            <v>ซาติน แขนยาวขายาว ย88-L</v>
          </cell>
          <cell r="E13224">
            <v>0</v>
          </cell>
          <cell r="F13224">
            <v>999</v>
          </cell>
        </row>
        <row r="13225">
          <cell r="A13225" t="str">
            <v>ย89-L</v>
          </cell>
          <cell r="B13225" t="str">
            <v>ย89</v>
          </cell>
          <cell r="C13225" t="str">
            <v>ซาติน แขนยาวขายาว ย89-L</v>
          </cell>
          <cell r="E13225">
            <v>0</v>
          </cell>
          <cell r="F13225">
            <v>999</v>
          </cell>
        </row>
        <row r="13226">
          <cell r="A13226" t="str">
            <v>ย90-M</v>
          </cell>
          <cell r="B13226" t="str">
            <v>ย90</v>
          </cell>
          <cell r="C13226" t="str">
            <v>ซาติน แขนยาวขายาว ย90-M</v>
          </cell>
          <cell r="E13226">
            <v>0</v>
          </cell>
          <cell r="F13226">
            <v>999</v>
          </cell>
        </row>
        <row r="13227">
          <cell r="A13227" t="str">
            <v>ย91-L</v>
          </cell>
          <cell r="B13227" t="str">
            <v>ย91</v>
          </cell>
          <cell r="C13227" t="str">
            <v>ซาติน แขนยาวขายาว ย91-L</v>
          </cell>
          <cell r="E13227">
            <v>0</v>
          </cell>
          <cell r="F13227">
            <v>999</v>
          </cell>
        </row>
        <row r="13228">
          <cell r="A13228" t="str">
            <v>ย92-L</v>
          </cell>
          <cell r="B13228" t="str">
            <v>ย92</v>
          </cell>
          <cell r="C13228" t="str">
            <v>ซาติน แขนยาวขายาว ย92-L</v>
          </cell>
          <cell r="E13228">
            <v>0</v>
          </cell>
          <cell r="F13228">
            <v>999</v>
          </cell>
        </row>
        <row r="13229">
          <cell r="A13229" t="str">
            <v>ย93-M</v>
          </cell>
          <cell r="B13229" t="str">
            <v>ย93</v>
          </cell>
          <cell r="C13229" t="str">
            <v>ซาติน แขนยาวขายาว ย93-M</v>
          </cell>
          <cell r="E13229">
            <v>0</v>
          </cell>
          <cell r="F13229">
            <v>999</v>
          </cell>
        </row>
        <row r="13230">
          <cell r="A13230" t="str">
            <v>ย93M</v>
          </cell>
          <cell r="B13230" t="str">
            <v>ย93</v>
          </cell>
          <cell r="C13230" t="str">
            <v>ย93M</v>
          </cell>
          <cell r="E13230">
            <v>0</v>
          </cell>
          <cell r="F13230">
            <v>999</v>
          </cell>
        </row>
        <row r="13231">
          <cell r="A13231" t="str">
            <v>ย94-M</v>
          </cell>
          <cell r="B13231" t="str">
            <v>ย94</v>
          </cell>
          <cell r="C13231" t="str">
            <v>ซาติน แขนยาวขายาว ย94-M</v>
          </cell>
          <cell r="E13231">
            <v>0</v>
          </cell>
          <cell r="F13231">
            <v>999</v>
          </cell>
        </row>
        <row r="13232">
          <cell r="A13232" t="str">
            <v>ย95-M</v>
          </cell>
          <cell r="B13232" t="str">
            <v>ย95</v>
          </cell>
          <cell r="C13232" t="str">
            <v>ซาติน แขนยาวขายาว ย95-M</v>
          </cell>
          <cell r="E13232">
            <v>0</v>
          </cell>
          <cell r="F13232">
            <v>999</v>
          </cell>
        </row>
        <row r="13233">
          <cell r="A13233" t="str">
            <v>ย96-M</v>
          </cell>
          <cell r="B13233" t="str">
            <v>ย96</v>
          </cell>
          <cell r="C13233" t="str">
            <v>ซาติน แขนยาวขายาว ย96-M</v>
          </cell>
          <cell r="E13233">
            <v>0</v>
          </cell>
          <cell r="F13233">
            <v>999</v>
          </cell>
        </row>
        <row r="13234">
          <cell r="A13234" t="str">
            <v>ย104-L</v>
          </cell>
          <cell r="B13234" t="str">
            <v>ย104</v>
          </cell>
          <cell r="C13234" t="str">
            <v>ซาติน แขนยาวขายาว ย104-L</v>
          </cell>
          <cell r="E13234">
            <v>0</v>
          </cell>
          <cell r="F13234">
            <v>999</v>
          </cell>
        </row>
        <row r="13235">
          <cell r="A13235" t="str">
            <v>ย105-L</v>
          </cell>
          <cell r="B13235" t="str">
            <v>ย105</v>
          </cell>
          <cell r="C13235" t="str">
            <v>ซาติน แขนยาวขายาว ย105-L</v>
          </cell>
          <cell r="E13235">
            <v>0</v>
          </cell>
          <cell r="F13235">
            <v>999</v>
          </cell>
        </row>
        <row r="13236">
          <cell r="A13236" t="str">
            <v>ย106-L</v>
          </cell>
          <cell r="B13236" t="str">
            <v>ย106</v>
          </cell>
          <cell r="C13236" t="str">
            <v>ซาติน แขนยาวขายาว ย106-L</v>
          </cell>
          <cell r="E13236">
            <v>0</v>
          </cell>
          <cell r="F13236">
            <v>999</v>
          </cell>
        </row>
        <row r="13237">
          <cell r="A13237" t="str">
            <v>ย107-M</v>
          </cell>
          <cell r="B13237" t="str">
            <v>ย107</v>
          </cell>
          <cell r="C13237" t="str">
            <v>ซาติน แขนยาวขายาว ย107-M</v>
          </cell>
          <cell r="E13237">
            <v>0</v>
          </cell>
          <cell r="F13237">
            <v>999</v>
          </cell>
        </row>
        <row r="13238">
          <cell r="A13238" t="str">
            <v>ย108-L</v>
          </cell>
          <cell r="B13238" t="str">
            <v>ย108</v>
          </cell>
          <cell r="C13238" t="str">
            <v>ซาติน แขนยาวขายาว ย108-L</v>
          </cell>
          <cell r="E13238">
            <v>0</v>
          </cell>
          <cell r="F13238">
            <v>999</v>
          </cell>
        </row>
        <row r="13239">
          <cell r="A13239" t="str">
            <v>ย109-M</v>
          </cell>
          <cell r="B13239" t="str">
            <v>ย109</v>
          </cell>
          <cell r="C13239" t="str">
            <v>ซาติน แขนยาวขายาว ย109-M</v>
          </cell>
          <cell r="E13239">
            <v>0</v>
          </cell>
          <cell r="F13239">
            <v>999</v>
          </cell>
        </row>
        <row r="13240">
          <cell r="A13240" t="str">
            <v>ย110-L</v>
          </cell>
          <cell r="B13240" t="str">
            <v>ย110</v>
          </cell>
          <cell r="C13240" t="str">
            <v>ซาติน แขนยาวขายาว ย110-L</v>
          </cell>
          <cell r="E13240">
            <v>0</v>
          </cell>
          <cell r="F13240">
            <v>999</v>
          </cell>
        </row>
        <row r="13241">
          <cell r="A13241" t="str">
            <v>ย111-M</v>
          </cell>
          <cell r="B13241" t="str">
            <v>ย111</v>
          </cell>
          <cell r="C13241" t="str">
            <v>ซาติน แขนยาวขายาว ย111-M</v>
          </cell>
          <cell r="E13241">
            <v>0</v>
          </cell>
          <cell r="F13241">
            <v>999</v>
          </cell>
        </row>
        <row r="13242">
          <cell r="A13242" t="str">
            <v>ย112-M</v>
          </cell>
          <cell r="B13242" t="str">
            <v>ย112</v>
          </cell>
          <cell r="C13242" t="str">
            <v>ซาติน แขนยาวขายาว ย112-M</v>
          </cell>
          <cell r="E13242">
            <v>0</v>
          </cell>
          <cell r="F13242">
            <v>999</v>
          </cell>
        </row>
        <row r="13243">
          <cell r="A13243" t="str">
            <v>ย113-M</v>
          </cell>
          <cell r="B13243" t="str">
            <v>ย113</v>
          </cell>
          <cell r="C13243" t="str">
            <v>ซาติน แขนยาวขายาว ย113-M</v>
          </cell>
          <cell r="E13243">
            <v>0</v>
          </cell>
          <cell r="F13243">
            <v>999</v>
          </cell>
        </row>
        <row r="13244">
          <cell r="A13244" t="str">
            <v>ย114-M</v>
          </cell>
          <cell r="B13244" t="str">
            <v>ย114</v>
          </cell>
          <cell r="C13244" t="str">
            <v>ซาติน แขนยาวขายาว ย114-M</v>
          </cell>
          <cell r="E13244">
            <v>0</v>
          </cell>
          <cell r="F13244">
            <v>999</v>
          </cell>
        </row>
        <row r="13245">
          <cell r="A13245" t="str">
            <v>ย115-M</v>
          </cell>
          <cell r="B13245" t="str">
            <v>ย115</v>
          </cell>
          <cell r="C13245" t="str">
            <v>ซาติน แขนยาวขายาว ย115-M</v>
          </cell>
          <cell r="E13245">
            <v>0</v>
          </cell>
          <cell r="F13245">
            <v>999</v>
          </cell>
        </row>
        <row r="13246">
          <cell r="A13246" t="str">
            <v>ย116-L</v>
          </cell>
          <cell r="B13246" t="str">
            <v>ย116</v>
          </cell>
          <cell r="C13246" t="str">
            <v>ซาติน แขนยาวขายาว ย116-L</v>
          </cell>
          <cell r="E13246">
            <v>0</v>
          </cell>
          <cell r="F13246">
            <v>999</v>
          </cell>
        </row>
        <row r="13247">
          <cell r="A13247" t="str">
            <v>ย117-M</v>
          </cell>
          <cell r="B13247" t="str">
            <v>ย117</v>
          </cell>
          <cell r="C13247" t="str">
            <v>ซาติน แขนยาวขายาว ย117-M</v>
          </cell>
          <cell r="E13247">
            <v>0</v>
          </cell>
          <cell r="F13247">
            <v>999</v>
          </cell>
        </row>
        <row r="13248">
          <cell r="A13248" t="str">
            <v>ย118-M</v>
          </cell>
          <cell r="B13248" t="str">
            <v>ย118</v>
          </cell>
          <cell r="C13248" t="str">
            <v>ซาติน แขนยาวขายาว ย118-M</v>
          </cell>
          <cell r="E13248">
            <v>0</v>
          </cell>
          <cell r="F13248">
            <v>999</v>
          </cell>
        </row>
        <row r="13249">
          <cell r="A13249" t="str">
            <v>ย119-M</v>
          </cell>
          <cell r="B13249" t="str">
            <v>ย119</v>
          </cell>
          <cell r="C13249" t="str">
            <v>ซาติน แขนยาวขายาว ย119-M</v>
          </cell>
          <cell r="E13249">
            <v>0</v>
          </cell>
          <cell r="F13249">
            <v>999</v>
          </cell>
        </row>
        <row r="13250">
          <cell r="A13250" t="str">
            <v>ย120-L</v>
          </cell>
          <cell r="B13250" t="str">
            <v>ย120</v>
          </cell>
          <cell r="C13250" t="str">
            <v>ซาติน แขนยาวขายาว ย120-L</v>
          </cell>
          <cell r="E13250">
            <v>0</v>
          </cell>
          <cell r="F13250">
            <v>999</v>
          </cell>
        </row>
        <row r="13251">
          <cell r="A13251" t="str">
            <v>ย121-M</v>
          </cell>
          <cell r="B13251" t="str">
            <v>ย121</v>
          </cell>
          <cell r="C13251" t="str">
            <v>ซาติน แขนยาวขายาว ย121-M</v>
          </cell>
          <cell r="E13251">
            <v>0</v>
          </cell>
          <cell r="F13251">
            <v>999</v>
          </cell>
        </row>
        <row r="13252">
          <cell r="A13252" t="str">
            <v>ย122-L</v>
          </cell>
          <cell r="B13252" t="str">
            <v>ย122</v>
          </cell>
          <cell r="C13252" t="str">
            <v>ซาติน แขนยาวขายาว ย122-L</v>
          </cell>
          <cell r="E13252">
            <v>0</v>
          </cell>
          <cell r="F13252">
            <v>999</v>
          </cell>
        </row>
        <row r="13253">
          <cell r="A13253" t="str">
            <v>ย123-M</v>
          </cell>
          <cell r="B13253" t="str">
            <v>ย123</v>
          </cell>
          <cell r="C13253" t="str">
            <v>ซาติน แขนยาวขายาว ย123-M</v>
          </cell>
          <cell r="E13253">
            <v>0</v>
          </cell>
          <cell r="F13253">
            <v>999</v>
          </cell>
        </row>
        <row r="13254">
          <cell r="A13254" t="str">
            <v>ย124-M</v>
          </cell>
          <cell r="B13254" t="str">
            <v>ย124</v>
          </cell>
          <cell r="C13254" t="str">
            <v>ซาติน แขนยาวขายาว ย124-M</v>
          </cell>
          <cell r="E13254">
            <v>0</v>
          </cell>
          <cell r="F13254">
            <v>999</v>
          </cell>
        </row>
        <row r="13255">
          <cell r="A13255" t="str">
            <v>ย125-M</v>
          </cell>
          <cell r="B13255" t="str">
            <v>ย125</v>
          </cell>
          <cell r="C13255" t="str">
            <v>ซาติน แขนยาวขายาว ย125-M</v>
          </cell>
          <cell r="E13255">
            <v>0</v>
          </cell>
          <cell r="F13255">
            <v>999</v>
          </cell>
        </row>
        <row r="13256">
          <cell r="A13256" t="str">
            <v>ย126-M</v>
          </cell>
          <cell r="B13256" t="str">
            <v>ย126</v>
          </cell>
          <cell r="C13256" t="str">
            <v>ซาติน แขนยาวขายาว ย126-M</v>
          </cell>
          <cell r="E13256">
            <v>0</v>
          </cell>
          <cell r="F13256">
            <v>999</v>
          </cell>
        </row>
        <row r="13257">
          <cell r="A13257" t="str">
            <v>ย127-M</v>
          </cell>
          <cell r="B13257" t="str">
            <v>ย127</v>
          </cell>
          <cell r="C13257" t="str">
            <v>ซาติน แขนยาวขายาว ย127-M</v>
          </cell>
          <cell r="E13257">
            <v>0</v>
          </cell>
          <cell r="F13257">
            <v>999</v>
          </cell>
        </row>
        <row r="13258">
          <cell r="A13258" t="str">
            <v>ย128-L</v>
          </cell>
          <cell r="B13258" t="str">
            <v>ย128</v>
          </cell>
          <cell r="C13258" t="str">
            <v>ซาติน แขนยาวขายาว ย128-L</v>
          </cell>
          <cell r="E13258">
            <v>0</v>
          </cell>
          <cell r="F13258">
            <v>999</v>
          </cell>
        </row>
        <row r="13259">
          <cell r="A13259" t="str">
            <v>ย129-M</v>
          </cell>
          <cell r="B13259" t="str">
            <v>ย129</v>
          </cell>
          <cell r="C13259" t="str">
            <v>ซาติน แขนยาวขายาว ย129-M</v>
          </cell>
          <cell r="E13259">
            <v>0</v>
          </cell>
          <cell r="F13259">
            <v>999</v>
          </cell>
        </row>
        <row r="13260">
          <cell r="A13260" t="str">
            <v>ย130-M</v>
          </cell>
          <cell r="B13260" t="str">
            <v>ย130</v>
          </cell>
          <cell r="C13260" t="str">
            <v>ซาติน แขนยาวขายาว ย130-M</v>
          </cell>
          <cell r="E13260">
            <v>0</v>
          </cell>
          <cell r="F13260">
            <v>999</v>
          </cell>
        </row>
        <row r="13261">
          <cell r="A13261" t="str">
            <v>ย131-L</v>
          </cell>
          <cell r="B13261" t="str">
            <v>ย131</v>
          </cell>
          <cell r="C13261" t="str">
            <v>ซาติน แขนยาวขายาว ย131-L</v>
          </cell>
          <cell r="E13261">
            <v>0</v>
          </cell>
          <cell r="F13261">
            <v>999</v>
          </cell>
        </row>
        <row r="13262">
          <cell r="A13262" t="str">
            <v>ย132-L</v>
          </cell>
          <cell r="B13262" t="str">
            <v>ย132</v>
          </cell>
          <cell r="C13262" t="str">
            <v>ซาติน แขนยาวขายาว ย132-L</v>
          </cell>
          <cell r="E13262">
            <v>0</v>
          </cell>
          <cell r="F13262">
            <v>999</v>
          </cell>
        </row>
        <row r="13263">
          <cell r="A13263" t="str">
            <v>ย133-M</v>
          </cell>
          <cell r="B13263" t="str">
            <v>ย133</v>
          </cell>
          <cell r="C13263" t="str">
            <v>ซาติน แขนยาวขายาว ย133-M</v>
          </cell>
          <cell r="E13263">
            <v>0</v>
          </cell>
          <cell r="F13263">
            <v>999</v>
          </cell>
        </row>
        <row r="13264">
          <cell r="A13264" t="str">
            <v>ย134-M</v>
          </cell>
          <cell r="B13264" t="str">
            <v>ย134</v>
          </cell>
          <cell r="C13264" t="str">
            <v>ซาติน แขนยาวขายาว ย134-M</v>
          </cell>
          <cell r="E13264">
            <v>0</v>
          </cell>
          <cell r="F13264">
            <v>999</v>
          </cell>
        </row>
        <row r="13265">
          <cell r="A13265" t="str">
            <v>ย135-M</v>
          </cell>
          <cell r="B13265" t="str">
            <v>ย135</v>
          </cell>
          <cell r="C13265" t="str">
            <v>ซาติน แขนยาวขายาว ย135-M</v>
          </cell>
          <cell r="E13265">
            <v>0</v>
          </cell>
          <cell r="F13265">
            <v>999</v>
          </cell>
        </row>
        <row r="13266">
          <cell r="A13266" t="str">
            <v>ย136-M</v>
          </cell>
          <cell r="B13266" t="str">
            <v>ย136</v>
          </cell>
          <cell r="C13266" t="str">
            <v>ซาติน แขนยาวขายาว ย136-M</v>
          </cell>
          <cell r="E13266">
            <v>0</v>
          </cell>
          <cell r="F13266">
            <v>999</v>
          </cell>
        </row>
        <row r="13267">
          <cell r="A13267" t="str">
            <v>ย137-M</v>
          </cell>
          <cell r="B13267" t="str">
            <v>ย137</v>
          </cell>
          <cell r="C13267" t="str">
            <v>ซาติน แขนยาวขายาว ย137-M</v>
          </cell>
          <cell r="E13267">
            <v>0</v>
          </cell>
          <cell r="F13267">
            <v>999</v>
          </cell>
        </row>
        <row r="13268">
          <cell r="A13268" t="str">
            <v>ย138-M</v>
          </cell>
          <cell r="B13268" t="str">
            <v>ย138</v>
          </cell>
          <cell r="C13268" t="str">
            <v>ซาติน แขนยาวขายาว ย138-M</v>
          </cell>
          <cell r="E13268">
            <v>0</v>
          </cell>
          <cell r="F13268">
            <v>999</v>
          </cell>
        </row>
        <row r="13269">
          <cell r="A13269" t="str">
            <v>ย139-M</v>
          </cell>
          <cell r="B13269" t="str">
            <v>ย139</v>
          </cell>
          <cell r="C13269" t="str">
            <v>ซาติน แขนยาวขายาว ย139-M</v>
          </cell>
          <cell r="E13269">
            <v>0</v>
          </cell>
          <cell r="F13269">
            <v>999</v>
          </cell>
        </row>
        <row r="13270">
          <cell r="A13270" t="str">
            <v>ย140-M</v>
          </cell>
          <cell r="B13270" t="str">
            <v>ย140</v>
          </cell>
          <cell r="C13270" t="str">
            <v>ซาติน แขนยาวขายาว ย140-M</v>
          </cell>
          <cell r="E13270">
            <v>0</v>
          </cell>
          <cell r="F13270">
            <v>999</v>
          </cell>
        </row>
        <row r="13271">
          <cell r="A13271" t="str">
            <v>ย141-M</v>
          </cell>
          <cell r="B13271" t="str">
            <v>ย141</v>
          </cell>
          <cell r="C13271" t="str">
            <v>ซาติน แขนยาวขายาว ย141-M</v>
          </cell>
          <cell r="E13271">
            <v>0</v>
          </cell>
          <cell r="F13271">
            <v>999</v>
          </cell>
        </row>
        <row r="13272">
          <cell r="A13272" t="str">
            <v>ย143-M</v>
          </cell>
          <cell r="B13272" t="str">
            <v>ย143</v>
          </cell>
          <cell r="C13272" t="str">
            <v>ซาติน แขนยาวขายาว ย143-M</v>
          </cell>
          <cell r="E13272">
            <v>0</v>
          </cell>
          <cell r="F13272">
            <v>999</v>
          </cell>
        </row>
        <row r="13273">
          <cell r="A13273" t="str">
            <v>ย144-M</v>
          </cell>
          <cell r="B13273" t="str">
            <v>ย144</v>
          </cell>
          <cell r="C13273" t="str">
            <v>ซาติน แขนยาวขายาว ย144-M</v>
          </cell>
          <cell r="E13273">
            <v>0</v>
          </cell>
          <cell r="F13273">
            <v>999</v>
          </cell>
        </row>
        <row r="13274">
          <cell r="A13274" t="str">
            <v>ย145-L</v>
          </cell>
          <cell r="B13274" t="str">
            <v>ย145</v>
          </cell>
          <cell r="C13274" t="str">
            <v>ซาติน แขนยาวขายาว ย145-L</v>
          </cell>
          <cell r="E13274">
            <v>0</v>
          </cell>
          <cell r="F13274">
            <v>999</v>
          </cell>
        </row>
        <row r="13275">
          <cell r="A13275" t="str">
            <v>ย146-M</v>
          </cell>
          <cell r="B13275" t="str">
            <v>ย146</v>
          </cell>
          <cell r="C13275" t="str">
            <v>ซาติน แขนยาวขายาว ย146-M</v>
          </cell>
          <cell r="E13275">
            <v>0</v>
          </cell>
          <cell r="F13275">
            <v>999</v>
          </cell>
        </row>
        <row r="13276">
          <cell r="A13276" t="str">
            <v>ย147-M</v>
          </cell>
          <cell r="B13276" t="str">
            <v>ย147</v>
          </cell>
          <cell r="C13276" t="str">
            <v>ซาติน แขนยาวขายาว ย147-M</v>
          </cell>
          <cell r="E13276">
            <v>0</v>
          </cell>
          <cell r="F13276">
            <v>999</v>
          </cell>
        </row>
        <row r="13277">
          <cell r="A13277" t="str">
            <v>ย148-M</v>
          </cell>
          <cell r="B13277" t="str">
            <v>ย148</v>
          </cell>
          <cell r="C13277" t="str">
            <v>ซาติน แขนยาวขายาว ย148-M</v>
          </cell>
          <cell r="E13277">
            <v>0</v>
          </cell>
          <cell r="F13277">
            <v>999</v>
          </cell>
        </row>
        <row r="13278">
          <cell r="A13278" t="str">
            <v>ย148M</v>
          </cell>
          <cell r="B13278" t="str">
            <v>ย148</v>
          </cell>
          <cell r="C13278" t="str">
            <v>ย148M</v>
          </cell>
          <cell r="E13278">
            <v>0</v>
          </cell>
          <cell r="F13278">
            <v>999</v>
          </cell>
        </row>
        <row r="13279">
          <cell r="A13279" t="str">
            <v>ย149-M</v>
          </cell>
          <cell r="B13279" t="str">
            <v>ย149</v>
          </cell>
          <cell r="C13279" t="str">
            <v>ซาติน แขนยาวขายาว ย149-M</v>
          </cell>
          <cell r="E13279">
            <v>0</v>
          </cell>
          <cell r="F13279">
            <v>999</v>
          </cell>
        </row>
        <row r="13280">
          <cell r="A13280" t="str">
            <v>ย150-M</v>
          </cell>
          <cell r="B13280" t="str">
            <v>ย150</v>
          </cell>
          <cell r="C13280" t="str">
            <v>ซาติน แขนยาวขายาว ย150-M</v>
          </cell>
          <cell r="E13280">
            <v>0</v>
          </cell>
          <cell r="F13280">
            <v>999</v>
          </cell>
        </row>
        <row r="13281">
          <cell r="A13281" t="str">
            <v>ย151-M</v>
          </cell>
          <cell r="B13281" t="str">
            <v>ย151</v>
          </cell>
          <cell r="C13281" t="str">
            <v>ซาติน แขนยาวขายาว ย151-M</v>
          </cell>
          <cell r="E13281">
            <v>0</v>
          </cell>
          <cell r="F13281">
            <v>999</v>
          </cell>
        </row>
        <row r="13282">
          <cell r="A13282" t="str">
            <v>ส1-L</v>
          </cell>
          <cell r="B13282" t="str">
            <v>ส1</v>
          </cell>
          <cell r="C13282" t="str">
            <v>ซาติน แขนสั้นขายาว ส1-L</v>
          </cell>
          <cell r="E13282">
            <v>0</v>
          </cell>
          <cell r="F13282">
            <v>999</v>
          </cell>
        </row>
        <row r="13283">
          <cell r="A13283" t="str">
            <v>ส2-M</v>
          </cell>
          <cell r="B13283" t="str">
            <v>ส2</v>
          </cell>
          <cell r="C13283" t="str">
            <v>ซาติน แขนสั้นขายาว ส2-M</v>
          </cell>
          <cell r="E13283">
            <v>0</v>
          </cell>
          <cell r="F13283">
            <v>999</v>
          </cell>
        </row>
        <row r="13284">
          <cell r="A13284" t="str">
            <v>ส3-L</v>
          </cell>
          <cell r="B13284" t="str">
            <v>ส3</v>
          </cell>
          <cell r="C13284" t="str">
            <v>ซาติน แขนสั้นขายาว ส3-L</v>
          </cell>
          <cell r="E13284">
            <v>0</v>
          </cell>
          <cell r="F13284">
            <v>999</v>
          </cell>
        </row>
        <row r="13285">
          <cell r="A13285" t="str">
            <v>ส4-L</v>
          </cell>
          <cell r="B13285" t="str">
            <v>ส4</v>
          </cell>
          <cell r="C13285" t="str">
            <v>ซาติน แขนสั้นขายาว ส4-L</v>
          </cell>
          <cell r="E13285">
            <v>0</v>
          </cell>
          <cell r="F13285">
            <v>999</v>
          </cell>
        </row>
        <row r="13286">
          <cell r="A13286" t="str">
            <v>ส5-M</v>
          </cell>
          <cell r="B13286" t="str">
            <v>ส5</v>
          </cell>
          <cell r="C13286" t="str">
            <v>ซาติน แขนสั้นขายาว ส5-M</v>
          </cell>
          <cell r="E13286">
            <v>0</v>
          </cell>
          <cell r="F13286">
            <v>999</v>
          </cell>
        </row>
        <row r="13287">
          <cell r="A13287" t="str">
            <v>ส6-M</v>
          </cell>
          <cell r="B13287" t="str">
            <v>ส6</v>
          </cell>
          <cell r="C13287" t="str">
            <v>ซาติน แขนสั้นขายาว ส6-M</v>
          </cell>
          <cell r="E13287">
            <v>0</v>
          </cell>
          <cell r="F13287">
            <v>999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38"/>
  <sheetViews>
    <sheetView tabSelected="1" zoomScale="70" zoomScaleNormal="70" workbookViewId="0">
      <selection activeCell="K13" sqref="K13"/>
    </sheetView>
  </sheetViews>
  <sheetFormatPr defaultRowHeight="32.450000000000003" customHeight="1"/>
  <cols>
    <col min="1" max="1" width="6.85546875" style="1" customWidth="1"/>
    <col min="2" max="2" width="22.28515625" style="1" customWidth="1"/>
    <col min="3" max="3" width="12.28515625" style="65" customWidth="1"/>
    <col min="4" max="4" width="15" style="1" customWidth="1"/>
    <col min="5" max="5" width="10.28515625" style="1" customWidth="1"/>
    <col min="6" max="6" width="45.28515625" style="17" customWidth="1"/>
    <col min="7" max="7" width="7.85546875" style="18" customWidth="1"/>
    <col min="8" max="8" width="7.7109375" style="18" customWidth="1"/>
    <col min="9" max="9" width="7.7109375" style="26" customWidth="1"/>
    <col min="10" max="10" width="17.28515625" style="26" bestFit="1" customWidth="1"/>
    <col min="11" max="12" width="14.85546875" style="97" customWidth="1"/>
    <col min="13" max="13" width="9.28515625" style="19" customWidth="1"/>
    <col min="14" max="14" width="9.28515625" style="47" customWidth="1"/>
    <col min="15" max="15" width="16.7109375" style="31" customWidth="1"/>
    <col min="16" max="16" width="20.28515625" style="38" customWidth="1"/>
    <col min="17" max="17" width="16.7109375" style="34" customWidth="1"/>
    <col min="18" max="18" width="20.28515625" style="40" customWidth="1"/>
    <col min="19" max="19" width="20.28515625" style="101" customWidth="1"/>
    <col min="20" max="20" width="29.7109375" style="1" customWidth="1"/>
    <col min="21" max="21" width="16.7109375" style="1" hidden="1" customWidth="1"/>
    <col min="23" max="23" width="47.28515625" bestFit="1" customWidth="1"/>
    <col min="24" max="24" width="24" customWidth="1"/>
    <col min="25" max="27" width="24.28515625" customWidth="1"/>
  </cols>
  <sheetData>
    <row r="1" spans="1:27" ht="32.450000000000003" customHeight="1" thickBot="1">
      <c r="A1" s="135" t="s">
        <v>7</v>
      </c>
      <c r="B1" s="137" t="s">
        <v>8</v>
      </c>
      <c r="C1" s="51" t="s">
        <v>0</v>
      </c>
      <c r="D1" s="139" t="s">
        <v>0</v>
      </c>
      <c r="E1" s="51" t="s">
        <v>9</v>
      </c>
      <c r="F1" s="137" t="s">
        <v>10</v>
      </c>
      <c r="G1" s="142" t="s">
        <v>11</v>
      </c>
      <c r="H1" s="143"/>
      <c r="I1" s="151" t="s">
        <v>12</v>
      </c>
      <c r="J1" s="152"/>
      <c r="K1" s="153" t="s">
        <v>37</v>
      </c>
      <c r="L1" s="154"/>
      <c r="M1" s="144" t="s">
        <v>4</v>
      </c>
      <c r="N1" s="145"/>
      <c r="O1" s="145"/>
      <c r="P1" s="145"/>
      <c r="Q1" s="145"/>
      <c r="R1" s="146"/>
      <c r="S1" s="98" t="s">
        <v>40</v>
      </c>
      <c r="T1" s="133" t="s">
        <v>13</v>
      </c>
      <c r="U1" s="77"/>
      <c r="W1" s="131" t="s">
        <v>14</v>
      </c>
      <c r="X1" s="48" t="s">
        <v>6</v>
      </c>
      <c r="Y1" s="129" t="s">
        <v>18</v>
      </c>
      <c r="Z1" s="123" t="s">
        <v>22</v>
      </c>
      <c r="AA1" s="125" t="s">
        <v>19</v>
      </c>
    </row>
    <row r="2" spans="1:27" ht="32.450000000000003" customHeight="1" thickBot="1">
      <c r="A2" s="136"/>
      <c r="B2" s="138"/>
      <c r="C2" s="52" t="s">
        <v>21</v>
      </c>
      <c r="D2" s="140"/>
      <c r="E2" s="52" t="s">
        <v>15</v>
      </c>
      <c r="F2" s="141"/>
      <c r="G2" s="69" t="s">
        <v>1</v>
      </c>
      <c r="H2" s="71" t="s">
        <v>16</v>
      </c>
      <c r="I2" s="70" t="s">
        <v>16</v>
      </c>
      <c r="J2" s="83" t="s">
        <v>20</v>
      </c>
      <c r="K2" s="91" t="s">
        <v>39</v>
      </c>
      <c r="L2" s="92" t="s">
        <v>38</v>
      </c>
      <c r="M2" s="67" t="s">
        <v>2</v>
      </c>
      <c r="N2" s="41" t="s">
        <v>3</v>
      </c>
      <c r="O2" s="147" t="s">
        <v>11</v>
      </c>
      <c r="P2" s="148"/>
      <c r="Q2" s="149" t="s">
        <v>17</v>
      </c>
      <c r="R2" s="150"/>
      <c r="S2" s="99"/>
      <c r="T2" s="134"/>
      <c r="U2" s="77"/>
      <c r="W2" s="132"/>
      <c r="X2" s="49" t="s">
        <v>5</v>
      </c>
      <c r="Y2" s="130"/>
      <c r="Z2" s="124"/>
      <c r="AA2" s="126"/>
    </row>
    <row r="3" spans="1:27" ht="32.450000000000003" customHeight="1" thickBot="1">
      <c r="A3" s="161">
        <v>1</v>
      </c>
      <c r="B3" s="119"/>
      <c r="C3" s="119" t="s">
        <v>46</v>
      </c>
      <c r="D3" s="53" t="str">
        <f t="shared" ref="D3" si="0">IF(G3=0,"",C3&amp;"-"&amp;G3)</f>
        <v>SV1207-M</v>
      </c>
      <c r="E3" s="53" t="str">
        <f t="shared" ref="E3" si="1">IF(G3="","",IF(LEN(LEFT(C3,SEARCH("0",C3,1)-1))&lt;2,RIGHT(LEFT(C3,SEARCH("0",C3,1)-1),1)&amp;INT(RIGHT(C3,4)),RIGHT(LEFT(C3,SEARCH("0",C3,1)-1),1)&amp;INT(RIGHT(C3,4))))</f>
        <v>21207</v>
      </c>
      <c r="F3" s="2" t="str">
        <f>IF(G3=0,"",VLOOKUP(D3,[1]Worksheet!$A:$C,3,0))</f>
        <v>ซาติน แขนสั้นขายาว Haussmannian Gray M</v>
      </c>
      <c r="G3" s="88" t="s">
        <v>42</v>
      </c>
      <c r="H3" s="4">
        <v>30</v>
      </c>
      <c r="I3" s="20">
        <v>30</v>
      </c>
      <c r="J3" s="89" t="s">
        <v>41</v>
      </c>
      <c r="K3" s="93"/>
      <c r="L3" s="93"/>
      <c r="M3" s="79">
        <v>90</v>
      </c>
      <c r="N3" s="42">
        <f t="shared" ref="N3:N66" si="2">M3*$X$3</f>
        <v>495</v>
      </c>
      <c r="O3" s="27">
        <f t="shared" ref="O3:O34" si="3">H3*N3</f>
        <v>14850</v>
      </c>
      <c r="P3" s="110">
        <f>SUM(O3:O7)</f>
        <v>42075</v>
      </c>
      <c r="Q3" s="35">
        <f t="shared" ref="Q3:Q34" si="4">I3*N3</f>
        <v>14850</v>
      </c>
      <c r="R3" s="113">
        <f>SUM(Q3:Q7)</f>
        <v>42075</v>
      </c>
      <c r="S3" s="100">
        <f>IFERROR(VLOOKUP(D3,[1]Worksheet!$A:$F,6,0),"")</f>
        <v>1090</v>
      </c>
      <c r="T3" s="116" t="str">
        <f>IF(P3=R3,"",IF(P3&gt;R3,"Loss",IF(P3&lt;R3,"Over")))</f>
        <v/>
      </c>
      <c r="U3" s="78" t="str">
        <f t="shared" ref="U3:U34" si="5">LEFT(E3,1)</f>
        <v>2</v>
      </c>
      <c r="V3" t="str">
        <f t="shared" ref="V3:V34" si="6">IF(H3&lt;&gt;I3,"F","")</f>
        <v/>
      </c>
      <c r="W3" s="76" t="s">
        <v>23</v>
      </c>
      <c r="X3" s="50">
        <v>5.5</v>
      </c>
      <c r="Y3" s="60">
        <f>SUM($P$3:$P$9810)</f>
        <v>61050</v>
      </c>
      <c r="Z3" s="61">
        <f>SUM($R$3:$R$9810)</f>
        <v>61050</v>
      </c>
      <c r="AA3" s="62">
        <f>Z3-Y3</f>
        <v>0</v>
      </c>
    </row>
    <row r="4" spans="1:27" ht="32.450000000000003" customHeight="1" thickBot="1">
      <c r="A4" s="162"/>
      <c r="B4" s="120"/>
      <c r="C4" s="120"/>
      <c r="D4" s="54" t="str">
        <f t="shared" ref="D4" si="7">IF(G4=0,"",C3&amp;"-"&amp;G4)</f>
        <v>SV1207-L</v>
      </c>
      <c r="E4" s="54" t="str">
        <f t="shared" ref="E4" si="8">IF(G4="","",IF(LEN(LEFT(C3,SEARCH("0",C3,1)-1))&lt;2,RIGHT(LEFT(C3,SEARCH("0",C3,1)-1),1)&amp;INT(RIGHT(C3,4)),RIGHT(LEFT(C3,SEARCH("0",C3,1)-1),1)&amp;INT(RIGHT(C3,4))))</f>
        <v>21207</v>
      </c>
      <c r="F4" s="2" t="str">
        <f>IF(G4=0,"",VLOOKUP(D4,[1]Worksheet!$A:$C,3,0))</f>
        <v>ซาติน แขนสั้นขายาว Haussmannian Gray L</v>
      </c>
      <c r="G4" s="9" t="s">
        <v>43</v>
      </c>
      <c r="H4" s="7">
        <v>30</v>
      </c>
      <c r="I4" s="21">
        <v>30</v>
      </c>
      <c r="J4" s="68" t="str">
        <f t="shared" ref="J4:J7" si="9">IF(D4&lt;&gt;"",$J$3,"")</f>
        <v xml:space="preserve">H2312150778 po </v>
      </c>
      <c r="K4" s="94"/>
      <c r="L4" s="94"/>
      <c r="M4" s="79">
        <v>90</v>
      </c>
      <c r="N4" s="43">
        <f t="shared" si="2"/>
        <v>495</v>
      </c>
      <c r="O4" s="28">
        <f t="shared" si="3"/>
        <v>14850</v>
      </c>
      <c r="P4" s="111"/>
      <c r="Q4" s="32">
        <f t="shared" si="4"/>
        <v>14850</v>
      </c>
      <c r="R4" s="114"/>
      <c r="S4" s="100">
        <f>IFERROR(VLOOKUP(D4,[1]Worksheet!$A:$F,6,0),"")</f>
        <v>1090</v>
      </c>
      <c r="T4" s="117"/>
      <c r="U4" s="78" t="str">
        <f t="shared" si="5"/>
        <v>2</v>
      </c>
      <c r="V4" t="str">
        <f t="shared" si="6"/>
        <v/>
      </c>
    </row>
    <row r="5" spans="1:27" ht="32.450000000000003" customHeight="1" thickBot="1">
      <c r="A5" s="162"/>
      <c r="B5" s="120"/>
      <c r="C5" s="120"/>
      <c r="D5" s="54" t="str">
        <f t="shared" ref="D5" si="10">IF(G5=0,"",C3&amp;"-"&amp;G5)</f>
        <v>SV1207-XL</v>
      </c>
      <c r="E5" s="54" t="str">
        <f t="shared" ref="E5" si="11">IF(G5="","",IF(LEN(LEFT(C3,SEARCH("0",C3,1)-1))&lt;2,RIGHT(LEFT(C3,SEARCH("0",C3,1)-1),1)&amp;INT(RIGHT(C3,4)),RIGHT(LEFT(C3,SEARCH("0",C3,1)-1),1)&amp;INT(RIGHT(C3,4))))</f>
        <v>21207</v>
      </c>
      <c r="F5" s="2" t="s">
        <v>48</v>
      </c>
      <c r="G5" s="9" t="s">
        <v>44</v>
      </c>
      <c r="H5" s="10">
        <v>15</v>
      </c>
      <c r="I5" s="22">
        <v>15</v>
      </c>
      <c r="J5" s="68" t="str">
        <f t="shared" si="9"/>
        <v xml:space="preserve">H2312150778 po </v>
      </c>
      <c r="K5" s="94"/>
      <c r="L5" s="94"/>
      <c r="M5" s="79">
        <v>90</v>
      </c>
      <c r="N5" s="44">
        <f t="shared" si="2"/>
        <v>495</v>
      </c>
      <c r="O5" s="28">
        <f t="shared" si="3"/>
        <v>7425</v>
      </c>
      <c r="P5" s="111"/>
      <c r="Q5" s="32">
        <f t="shared" si="4"/>
        <v>7425</v>
      </c>
      <c r="R5" s="114"/>
      <c r="S5" s="100">
        <f>IFERROR(VLOOKUP(D5,[1]Worksheet!$A:$F,6,0),"")</f>
        <v>1090</v>
      </c>
      <c r="T5" s="117"/>
      <c r="U5" s="78" t="str">
        <f t="shared" si="5"/>
        <v>2</v>
      </c>
      <c r="V5" t="str">
        <f t="shared" si="6"/>
        <v/>
      </c>
    </row>
    <row r="6" spans="1:27" ht="32.450000000000003" customHeight="1" thickBot="1">
      <c r="A6" s="162"/>
      <c r="B6" s="120"/>
      <c r="C6" s="120"/>
      <c r="D6" s="54" t="str">
        <f t="shared" ref="D6" si="12">IF(G6=0,"",C3&amp;"-"&amp;G6)</f>
        <v>SV1207-2XL</v>
      </c>
      <c r="E6" s="54" t="str">
        <f t="shared" ref="E6" si="13">IF(G6="","",IF(LEN(LEFT(C3,SEARCH("0",C3,1)-1))&lt;2,RIGHT(LEFT(C3,SEARCH("0",C3,1)-1),1)&amp;INT(RIGHT(C3,4)),RIGHT(LEFT(C3,SEARCH("0",C3,1)-1),1)&amp;INT(RIGHT(C3,4))))</f>
        <v>21207</v>
      </c>
      <c r="F6" s="2" t="s">
        <v>49</v>
      </c>
      <c r="G6" s="10" t="s">
        <v>45</v>
      </c>
      <c r="H6" s="10">
        <v>10</v>
      </c>
      <c r="I6" s="22">
        <v>10</v>
      </c>
      <c r="J6" s="68" t="str">
        <f t="shared" si="9"/>
        <v xml:space="preserve">H2312150778 po </v>
      </c>
      <c r="K6" s="94"/>
      <c r="L6" s="94"/>
      <c r="M6" s="79">
        <v>90</v>
      </c>
      <c r="N6" s="43">
        <f t="shared" si="2"/>
        <v>495</v>
      </c>
      <c r="O6" s="28">
        <f t="shared" si="3"/>
        <v>4950</v>
      </c>
      <c r="P6" s="111"/>
      <c r="Q6" s="32">
        <f t="shared" si="4"/>
        <v>4950</v>
      </c>
      <c r="R6" s="114"/>
      <c r="S6" s="100">
        <f>IFERROR(VLOOKUP(D6,[1]Worksheet!$A:$F,6,0),"")</f>
        <v>1090</v>
      </c>
      <c r="T6" s="117"/>
      <c r="U6" s="78" t="str">
        <f t="shared" si="5"/>
        <v>2</v>
      </c>
      <c r="V6" t="str">
        <f t="shared" si="6"/>
        <v/>
      </c>
    </row>
    <row r="7" spans="1:27" ht="32.450000000000003" customHeight="1" thickBot="1">
      <c r="A7" s="163"/>
      <c r="B7" s="121"/>
      <c r="C7" s="121"/>
      <c r="D7" s="55" t="str">
        <f t="shared" ref="D7" si="14">IF(G7=0,"",C3&amp;"-"&amp;G7)</f>
        <v/>
      </c>
      <c r="E7" s="55" t="str">
        <f t="shared" ref="E7" si="15">IF(G7="","",IF(LEN(LEFT(C3,SEARCH("0",C3,1)-1))&lt;2,RIGHT(LEFT(C3,SEARCH("0",C3,1)-1),1)&amp;INT(RIGHT(C3,4)),RIGHT(LEFT(C3,SEARCH("0",C3,1)-1),1)&amp;INT(RIGHT(C3,4))))</f>
        <v/>
      </c>
      <c r="F7" s="2" t="str">
        <f>IF(G7=0,"",VLOOKUP(D7,[1]Worksheet!$A:$C,3,0))</f>
        <v/>
      </c>
      <c r="G7" s="12"/>
      <c r="H7" s="12"/>
      <c r="I7" s="23"/>
      <c r="J7" s="90" t="str">
        <f t="shared" si="9"/>
        <v/>
      </c>
      <c r="L7" s="95"/>
      <c r="M7" s="80"/>
      <c r="N7" s="45">
        <f t="shared" si="2"/>
        <v>0</v>
      </c>
      <c r="O7" s="29">
        <f t="shared" si="3"/>
        <v>0</v>
      </c>
      <c r="P7" s="112"/>
      <c r="Q7" s="36">
        <f t="shared" si="4"/>
        <v>0</v>
      </c>
      <c r="R7" s="115"/>
      <c r="S7" s="100" t="str">
        <f>IFERROR(VLOOKUP(D7,[1]Worksheet!$A:$F,6,0),"")</f>
        <v/>
      </c>
      <c r="T7" s="118"/>
      <c r="U7" s="78" t="str">
        <f t="shared" si="5"/>
        <v/>
      </c>
      <c r="V7" t="str">
        <f t="shared" si="6"/>
        <v/>
      </c>
      <c r="W7" s="73" t="s">
        <v>33</v>
      </c>
      <c r="X7" s="72">
        <f>SUMIF(U:U,"A",I:I)</f>
        <v>0</v>
      </c>
    </row>
    <row r="8" spans="1:27" ht="32.450000000000003" customHeight="1" thickBot="1">
      <c r="A8" s="164">
        <f>A3+1</f>
        <v>2</v>
      </c>
      <c r="B8" s="167"/>
      <c r="C8" s="119" t="s">
        <v>47</v>
      </c>
      <c r="D8" s="53" t="str">
        <f t="shared" ref="D8" si="16">IF(G8=0,"",C8&amp;"-"&amp;G8)</f>
        <v>SW1207-M</v>
      </c>
      <c r="E8" s="53" t="str">
        <f t="shared" ref="E8" si="17">IF(G8="","",IF(LEN(LEFT(C8,SEARCH("0",C8,1)-1))&lt;2,RIGHT(LEFT(C8,SEARCH("0",C8,1)-1),1)&amp;INT(RIGHT(C8,4)),RIGHT(LEFT(C8,SEARCH("0",C8,1)-1),1)&amp;INT(RIGHT(C8,4))))</f>
        <v>21207</v>
      </c>
      <c r="F8" s="2" t="str">
        <f>IF(G8=0,"",VLOOKUP(D8,[1]Worksheet!$A:$C,3,0))</f>
        <v>ซาติน แขนสั้นขาสั้น Haussmannian Gray M</v>
      </c>
      <c r="G8" s="88" t="s">
        <v>42</v>
      </c>
      <c r="H8" s="4">
        <v>20</v>
      </c>
      <c r="I8" s="20">
        <v>20</v>
      </c>
      <c r="J8" s="89" t="str">
        <f t="shared" ref="J8:J12" si="18">IF(D8&lt;&gt;"",$J$3,"")</f>
        <v xml:space="preserve">H2312150778 po </v>
      </c>
      <c r="K8" s="95"/>
      <c r="L8" s="93"/>
      <c r="M8" s="79">
        <v>69</v>
      </c>
      <c r="N8" s="42">
        <f t="shared" si="2"/>
        <v>379.5</v>
      </c>
      <c r="O8" s="27">
        <f t="shared" si="3"/>
        <v>7590</v>
      </c>
      <c r="P8" s="110">
        <f>SUM(O8:O12)</f>
        <v>18975</v>
      </c>
      <c r="Q8" s="35">
        <f t="shared" si="4"/>
        <v>7590</v>
      </c>
      <c r="R8" s="113">
        <f>SUM(Q8:Q12)</f>
        <v>18975</v>
      </c>
      <c r="S8" s="100">
        <f>IFERROR(VLOOKUP(D8,[1]Worksheet!$A:$F,6,0),"")</f>
        <v>890</v>
      </c>
      <c r="T8" s="116" t="str">
        <f t="shared" ref="T8" si="19">IF(P8=R8,"",IF(P8&gt;R8,"Loss",IF(P8&lt;R8,"Over")))</f>
        <v/>
      </c>
      <c r="U8" s="78" t="str">
        <f t="shared" si="5"/>
        <v>2</v>
      </c>
      <c r="V8" t="str">
        <f t="shared" si="6"/>
        <v/>
      </c>
      <c r="W8" s="74" t="s">
        <v>34</v>
      </c>
      <c r="X8" s="72">
        <f>SUMIF(U:U,"B",I:I)</f>
        <v>0</v>
      </c>
    </row>
    <row r="9" spans="1:27" ht="32.450000000000003" customHeight="1" thickBot="1">
      <c r="A9" s="165"/>
      <c r="B9" s="168"/>
      <c r="C9" s="120"/>
      <c r="D9" s="54" t="str">
        <f t="shared" ref="D9" si="20">IF(G9=0,"",C8&amp;"-"&amp;G9)</f>
        <v>SW1207-L</v>
      </c>
      <c r="E9" s="54" t="str">
        <f t="shared" ref="E9" si="21">IF(G9="","",IF(LEN(LEFT(C8,SEARCH("0",C8,1)-1))&lt;2,RIGHT(LEFT(C8,SEARCH("0",C8,1)-1),1)&amp;INT(RIGHT(C8,4)),RIGHT(LEFT(C8,SEARCH("0",C8,1)-1),1)&amp;INT(RIGHT(C8,4))))</f>
        <v>21207</v>
      </c>
      <c r="F9" s="2" t="str">
        <f>IF(G9=0,"",VLOOKUP(D9,[1]Worksheet!$A:$C,3,0))</f>
        <v>ซาติน แขนสั้นขาสั้น Haussmannian Gray L</v>
      </c>
      <c r="G9" s="9" t="s">
        <v>43</v>
      </c>
      <c r="H9" s="7">
        <v>10</v>
      </c>
      <c r="I9" s="21">
        <v>10</v>
      </c>
      <c r="J9" s="68" t="str">
        <f t="shared" si="18"/>
        <v xml:space="preserve">H2312150778 po </v>
      </c>
      <c r="K9" s="94"/>
      <c r="L9" s="94"/>
      <c r="M9" s="79">
        <v>69</v>
      </c>
      <c r="N9" s="43">
        <f t="shared" si="2"/>
        <v>379.5</v>
      </c>
      <c r="O9" s="28">
        <f t="shared" si="3"/>
        <v>3795</v>
      </c>
      <c r="P9" s="111"/>
      <c r="Q9" s="32">
        <f t="shared" si="4"/>
        <v>3795</v>
      </c>
      <c r="R9" s="114"/>
      <c r="S9" s="100">
        <f>IFERROR(VLOOKUP(D9,[1]Worksheet!$A:$F,6,0),"")</f>
        <v>890</v>
      </c>
      <c r="T9" s="117"/>
      <c r="U9" s="78" t="str">
        <f t="shared" si="5"/>
        <v>2</v>
      </c>
      <c r="V9" t="str">
        <f t="shared" si="6"/>
        <v/>
      </c>
      <c r="W9" s="74" t="s">
        <v>35</v>
      </c>
      <c r="X9" s="72">
        <f>SUMIF(U:U,"C",I:I)</f>
        <v>0</v>
      </c>
    </row>
    <row r="10" spans="1:27" ht="32.450000000000003" customHeight="1" thickBot="1">
      <c r="A10" s="165"/>
      <c r="B10" s="168"/>
      <c r="C10" s="120"/>
      <c r="D10" s="54" t="str">
        <f t="shared" ref="D10" si="22">IF(G10=0,"",C8&amp;"-"&amp;G10)</f>
        <v>SW1207-XL</v>
      </c>
      <c r="E10" s="54" t="str">
        <f t="shared" ref="E10" si="23">IF(G10="","",IF(LEN(LEFT(C8,SEARCH("0",C8,1)-1))&lt;2,RIGHT(LEFT(C8,SEARCH("0",C8,1)-1),1)&amp;INT(RIGHT(C8,4)),RIGHT(LEFT(C8,SEARCH("0",C8,1)-1),1)&amp;INT(RIGHT(C8,4))))</f>
        <v>21207</v>
      </c>
      <c r="F10" s="2" t="s">
        <v>50</v>
      </c>
      <c r="G10" s="9" t="s">
        <v>44</v>
      </c>
      <c r="H10" s="10">
        <v>10</v>
      </c>
      <c r="I10" s="22">
        <v>10</v>
      </c>
      <c r="J10" s="68" t="str">
        <f t="shared" si="18"/>
        <v xml:space="preserve">H2312150778 po </v>
      </c>
      <c r="K10" s="94"/>
      <c r="L10" s="94"/>
      <c r="M10" s="79">
        <v>69</v>
      </c>
      <c r="N10" s="44">
        <f t="shared" si="2"/>
        <v>379.5</v>
      </c>
      <c r="O10" s="28">
        <f t="shared" si="3"/>
        <v>3795</v>
      </c>
      <c r="P10" s="111"/>
      <c r="Q10" s="32">
        <f t="shared" si="4"/>
        <v>3795</v>
      </c>
      <c r="R10" s="114"/>
      <c r="S10" s="100">
        <f>IFERROR(VLOOKUP(D10,[1]Worksheet!$A:$F,6,0),"")</f>
        <v>890</v>
      </c>
      <c r="T10" s="117"/>
      <c r="U10" s="78" t="str">
        <f t="shared" si="5"/>
        <v>2</v>
      </c>
      <c r="V10" t="str">
        <f t="shared" si="6"/>
        <v/>
      </c>
      <c r="W10" s="74" t="s">
        <v>24</v>
      </c>
      <c r="X10" s="72">
        <f>SUMIF(U:U,"D",I:I)</f>
        <v>0</v>
      </c>
    </row>
    <row r="11" spans="1:27" ht="32.450000000000003" customHeight="1" thickBot="1">
      <c r="A11" s="165"/>
      <c r="B11" s="168"/>
      <c r="C11" s="120"/>
      <c r="D11" s="54" t="str">
        <f t="shared" ref="D11" si="24">IF(G11=0,"",C8&amp;"-"&amp;G11)</f>
        <v>SW1207-2XL</v>
      </c>
      <c r="E11" s="54" t="str">
        <f t="shared" ref="E11" si="25">IF(G11="","",IF(LEN(LEFT(C8,SEARCH("0",C8,1)-1))&lt;2,RIGHT(LEFT(C8,SEARCH("0",C8,1)-1),1)&amp;INT(RIGHT(C8,4)),RIGHT(LEFT(C8,SEARCH("0",C8,1)-1),1)&amp;INT(RIGHT(C8,4))))</f>
        <v>21207</v>
      </c>
      <c r="F11" s="2" t="str">
        <f>IF(G11=0,"",VLOOKUP(D11,[1]Worksheet!$A:$C,3,0))</f>
        <v>ซาติน แขนสั้นขาสั้น Haussmannian Gray 2XL</v>
      </c>
      <c r="G11" s="10" t="s">
        <v>45</v>
      </c>
      <c r="H11" s="10">
        <v>10</v>
      </c>
      <c r="I11" s="22">
        <v>10</v>
      </c>
      <c r="J11" s="68" t="str">
        <f t="shared" si="18"/>
        <v xml:space="preserve">H2312150778 po </v>
      </c>
      <c r="K11" s="94"/>
      <c r="L11" s="94"/>
      <c r="M11" s="79">
        <v>69</v>
      </c>
      <c r="N11" s="43">
        <f t="shared" si="2"/>
        <v>379.5</v>
      </c>
      <c r="O11" s="28">
        <f t="shared" si="3"/>
        <v>3795</v>
      </c>
      <c r="P11" s="111"/>
      <c r="Q11" s="32">
        <f t="shared" si="4"/>
        <v>3795</v>
      </c>
      <c r="R11" s="114"/>
      <c r="S11" s="100">
        <f>IFERROR(VLOOKUP(D11,[1]Worksheet!$A:$F,6,0),"")</f>
        <v>890</v>
      </c>
      <c r="T11" s="117"/>
      <c r="U11" s="78" t="str">
        <f t="shared" si="5"/>
        <v>2</v>
      </c>
      <c r="V11" t="str">
        <f t="shared" si="6"/>
        <v/>
      </c>
      <c r="W11" s="74" t="s">
        <v>32</v>
      </c>
      <c r="X11" s="72">
        <f>SUMIF(U:U,"E",I:I)</f>
        <v>0</v>
      </c>
    </row>
    <row r="12" spans="1:27" ht="32.450000000000003" customHeight="1" thickBot="1">
      <c r="A12" s="166"/>
      <c r="B12" s="169"/>
      <c r="C12" s="121"/>
      <c r="D12" s="55" t="str">
        <f t="shared" ref="D12" si="26">IF(G12=0,"",C8&amp;"-"&amp;G12)</f>
        <v/>
      </c>
      <c r="E12" s="55" t="str">
        <f t="shared" ref="E12" si="27">IF(G12="","",IF(LEN(LEFT(C8,SEARCH("0",C8,1)-1))&lt;2,RIGHT(LEFT(C8,SEARCH("0",C8,1)-1),1)&amp;INT(RIGHT(C8,4)),RIGHT(LEFT(C8,SEARCH("0",C8,1)-1),1)&amp;INT(RIGHT(C8,4))))</f>
        <v/>
      </c>
      <c r="F12" s="2" t="str">
        <f>IF(G12=0,"",VLOOKUP(D12,[1]Worksheet!$A:$C,3,0))</f>
        <v/>
      </c>
      <c r="G12" s="12"/>
      <c r="H12" s="12"/>
      <c r="I12" s="23"/>
      <c r="J12" s="90" t="str">
        <f t="shared" si="18"/>
        <v/>
      </c>
      <c r="K12" s="95"/>
      <c r="L12" s="95"/>
      <c r="M12" s="80"/>
      <c r="N12" s="45">
        <f t="shared" si="2"/>
        <v>0</v>
      </c>
      <c r="O12" s="29">
        <f t="shared" si="3"/>
        <v>0</v>
      </c>
      <c r="P12" s="112"/>
      <c r="Q12" s="36">
        <f t="shared" si="4"/>
        <v>0</v>
      </c>
      <c r="R12" s="115"/>
      <c r="S12" s="100" t="str">
        <f>IFERROR(VLOOKUP(D12,[1]Worksheet!$A:$F,6,0),"")</f>
        <v/>
      </c>
      <c r="T12" s="118"/>
      <c r="U12" s="78" t="str">
        <f t="shared" si="5"/>
        <v/>
      </c>
      <c r="V12" t="str">
        <f t="shared" si="6"/>
        <v/>
      </c>
      <c r="W12" s="74" t="s">
        <v>25</v>
      </c>
      <c r="X12" s="72">
        <f>SUMIF(U:U,"G",I:I)</f>
        <v>0</v>
      </c>
    </row>
    <row r="13" spans="1:27" ht="32.450000000000003" customHeight="1" thickBot="1">
      <c r="A13" s="155">
        <f>A8+1</f>
        <v>3</v>
      </c>
      <c r="B13" s="158"/>
      <c r="C13" s="119"/>
      <c r="D13" s="84" t="str">
        <f t="shared" ref="D13" si="28">IF(G13=0,"",C13&amp;"-"&amp;G13)</f>
        <v/>
      </c>
      <c r="E13" s="84" t="str">
        <f t="shared" ref="E13" si="29">IF(G13="","",IF(LEN(LEFT(C13,SEARCH("0",C13,1)-1))&lt;2,RIGHT(LEFT(C13,SEARCH("0",C13,1)-1),1)&amp;INT(RIGHT(C13,4)),RIGHT(LEFT(C13,SEARCH("0",C13,1)-1),1)&amp;INT(RIGHT(C13,4))))</f>
        <v/>
      </c>
      <c r="F13" s="2" t="str">
        <f>IF(G13=0,"",VLOOKUP(D13,[1]Worksheet!$A:$C,3,0))</f>
        <v/>
      </c>
      <c r="G13" s="88"/>
      <c r="H13" s="4"/>
      <c r="I13" s="20"/>
      <c r="J13" s="89" t="str">
        <f t="shared" ref="J13:J76" si="30">IF(D13&lt;&gt;"",$J$3,"")</f>
        <v/>
      </c>
      <c r="K13" s="93"/>
      <c r="L13" s="93"/>
      <c r="M13" s="85"/>
      <c r="N13" s="44">
        <f t="shared" si="2"/>
        <v>0</v>
      </c>
      <c r="O13" s="86">
        <f t="shared" si="3"/>
        <v>0</v>
      </c>
      <c r="P13" s="127">
        <f>SUM(O13:O17)</f>
        <v>0</v>
      </c>
      <c r="Q13" s="87">
        <f t="shared" si="4"/>
        <v>0</v>
      </c>
      <c r="R13" s="128">
        <f>SUM(Q13:Q17)</f>
        <v>0</v>
      </c>
      <c r="S13" s="100" t="str">
        <f>IFERROR(VLOOKUP(D13,[1]Worksheet!$A:$F,6,0),"")</f>
        <v/>
      </c>
      <c r="T13" s="117" t="str">
        <f t="shared" ref="T13" si="31">IF(P13=R13,"",IF(P13&gt;R13,"Loss",IF(P13&lt;R13,"Over")))</f>
        <v/>
      </c>
      <c r="U13" s="78" t="str">
        <f t="shared" si="5"/>
        <v/>
      </c>
      <c r="V13" t="str">
        <f t="shared" si="6"/>
        <v/>
      </c>
      <c r="W13" s="74" t="s">
        <v>26</v>
      </c>
      <c r="X13" s="72">
        <f>SUMIF(U:U,"K",I:I)</f>
        <v>0</v>
      </c>
    </row>
    <row r="14" spans="1:27" ht="32.450000000000003" customHeight="1" thickBot="1">
      <c r="A14" s="156"/>
      <c r="B14" s="159"/>
      <c r="C14" s="120"/>
      <c r="D14" s="54" t="str">
        <f t="shared" ref="D14" si="32">IF(G14=0,"",C13&amp;"-"&amp;G14)</f>
        <v/>
      </c>
      <c r="E14" s="54" t="str">
        <f t="shared" ref="E14" si="33">IF(G14="","",IF(LEN(LEFT(C13,SEARCH("0",C13,1)-1))&lt;2,RIGHT(LEFT(C13,SEARCH("0",C13,1)-1),1)&amp;INT(RIGHT(C13,4)),RIGHT(LEFT(C13,SEARCH("0",C13,1)-1),1)&amp;INT(RIGHT(C13,4))))</f>
        <v/>
      </c>
      <c r="F14" s="2" t="str">
        <f>IF(G14=0,"",VLOOKUP(D14,[1]Worksheet!$A:$C,3,0))</f>
        <v/>
      </c>
      <c r="G14" s="9"/>
      <c r="H14" s="7"/>
      <c r="I14" s="21"/>
      <c r="J14" s="68" t="str">
        <f t="shared" si="30"/>
        <v/>
      </c>
      <c r="K14" s="94"/>
      <c r="L14" s="94"/>
      <c r="M14" s="79"/>
      <c r="N14" s="43">
        <f t="shared" si="2"/>
        <v>0</v>
      </c>
      <c r="O14" s="28">
        <f t="shared" si="3"/>
        <v>0</v>
      </c>
      <c r="P14" s="111"/>
      <c r="Q14" s="32">
        <f t="shared" si="4"/>
        <v>0</v>
      </c>
      <c r="R14" s="114"/>
      <c r="S14" s="100" t="str">
        <f>IFERROR(VLOOKUP(D14,[1]Worksheet!$A:$F,6,0),"")</f>
        <v/>
      </c>
      <c r="T14" s="117"/>
      <c r="U14" s="78" t="str">
        <f t="shared" si="5"/>
        <v/>
      </c>
      <c r="V14" t="str">
        <f t="shared" si="6"/>
        <v/>
      </c>
      <c r="W14" s="74" t="s">
        <v>27</v>
      </c>
      <c r="X14" s="72">
        <f>SUMIF(U:U,"N",I:I)+SUMIF(U:U,"W",I:I)</f>
        <v>0</v>
      </c>
    </row>
    <row r="15" spans="1:27" ht="32.450000000000003" customHeight="1" thickBot="1">
      <c r="A15" s="156"/>
      <c r="B15" s="159"/>
      <c r="C15" s="120"/>
      <c r="D15" s="54" t="str">
        <f t="shared" ref="D15" si="34">IF(G15=0,"",C13&amp;"-"&amp;G15)</f>
        <v/>
      </c>
      <c r="E15" s="54" t="str">
        <f t="shared" ref="E15" si="35">IF(G15="","",IF(LEN(LEFT(C13,SEARCH("0",C13,1)-1))&lt;2,RIGHT(LEFT(C13,SEARCH("0",C13,1)-1),1)&amp;INT(RIGHT(C13,4)),RIGHT(LEFT(C13,SEARCH("0",C13,1)-1),1)&amp;INT(RIGHT(C13,4))))</f>
        <v/>
      </c>
      <c r="F15" s="2" t="str">
        <f>IF(G15=0,"",VLOOKUP(D15,[1]Worksheet!$A:$C,3,0))</f>
        <v/>
      </c>
      <c r="G15" s="9"/>
      <c r="H15" s="10"/>
      <c r="I15" s="22"/>
      <c r="J15" s="68" t="str">
        <f t="shared" si="30"/>
        <v/>
      </c>
      <c r="K15" s="94"/>
      <c r="L15" s="94"/>
      <c r="M15" s="79"/>
      <c r="N15" s="44">
        <f t="shared" si="2"/>
        <v>0</v>
      </c>
      <c r="O15" s="28">
        <f t="shared" si="3"/>
        <v>0</v>
      </c>
      <c r="P15" s="111"/>
      <c r="Q15" s="32">
        <f t="shared" si="4"/>
        <v>0</v>
      </c>
      <c r="R15" s="114"/>
      <c r="S15" s="100" t="str">
        <f>IFERROR(VLOOKUP(D15,[1]Worksheet!$A:$F,6,0),"")</f>
        <v/>
      </c>
      <c r="T15" s="117"/>
      <c r="U15" s="78" t="str">
        <f t="shared" si="5"/>
        <v/>
      </c>
      <c r="V15" t="str">
        <f t="shared" si="6"/>
        <v/>
      </c>
      <c r="W15" s="74" t="s">
        <v>28</v>
      </c>
      <c r="X15" s="72">
        <f>SUMIF(U:U,"T",I:I) + SUMIF(U:U,"V",I:I) + SUMIF(U:U,"X",I:I) + SUMIF(U:U,"R",I:I)</f>
        <v>0</v>
      </c>
    </row>
    <row r="16" spans="1:27" ht="32.450000000000003" customHeight="1" thickBot="1">
      <c r="A16" s="156"/>
      <c r="B16" s="159"/>
      <c r="C16" s="120"/>
      <c r="D16" s="54" t="str">
        <f t="shared" ref="D16" si="36">IF(G16=0,"",C13&amp;"-"&amp;G16)</f>
        <v/>
      </c>
      <c r="E16" s="54" t="str">
        <f t="shared" ref="E16" si="37">IF(G16="","",IF(LEN(LEFT(C13,SEARCH("0",C13,1)-1))&lt;2,RIGHT(LEFT(C13,SEARCH("0",C13,1)-1),1)&amp;INT(RIGHT(C13,4)),RIGHT(LEFT(C13,SEARCH("0",C13,1)-1),1)&amp;INT(RIGHT(C13,4))))</f>
        <v/>
      </c>
      <c r="F16" s="2" t="str">
        <f>IF(G16=0,"",VLOOKUP(D16,[1]Worksheet!$A:$C,3,0))</f>
        <v/>
      </c>
      <c r="G16" s="10"/>
      <c r="H16" s="10"/>
      <c r="I16" s="22"/>
      <c r="J16" s="68" t="str">
        <f t="shared" si="30"/>
        <v/>
      </c>
      <c r="K16" s="94"/>
      <c r="L16" s="94"/>
      <c r="M16" s="79"/>
      <c r="N16" s="43">
        <f t="shared" si="2"/>
        <v>0</v>
      </c>
      <c r="O16" s="28">
        <f t="shared" si="3"/>
        <v>0</v>
      </c>
      <c r="P16" s="111"/>
      <c r="Q16" s="32">
        <f t="shared" si="4"/>
        <v>0</v>
      </c>
      <c r="R16" s="114"/>
      <c r="S16" s="100" t="str">
        <f>IFERROR(VLOOKUP(D16,[1]Worksheet!$A:$F,6,0),"")</f>
        <v/>
      </c>
      <c r="T16" s="117"/>
      <c r="U16" s="78" t="str">
        <f t="shared" si="5"/>
        <v/>
      </c>
      <c r="V16" t="str">
        <f t="shared" si="6"/>
        <v/>
      </c>
      <c r="W16" s="74" t="s">
        <v>29</v>
      </c>
      <c r="X16" s="72">
        <f>SUMIF(U:U,"P",I:I)</f>
        <v>0</v>
      </c>
    </row>
    <row r="17" spans="1:27" ht="32.450000000000003" customHeight="1" thickBot="1">
      <c r="A17" s="157"/>
      <c r="B17" s="160"/>
      <c r="C17" s="121"/>
      <c r="D17" s="55" t="str">
        <f t="shared" ref="D17" si="38">IF(G17=0,"",C13&amp;"-"&amp;G17)</f>
        <v/>
      </c>
      <c r="E17" s="55" t="str">
        <f t="shared" ref="E17" si="39">IF(G17="","",IF(LEN(LEFT(C13,SEARCH("0",C13,1)-1))&lt;2,RIGHT(LEFT(C13,SEARCH("0",C13,1)-1),1)&amp;INT(RIGHT(C13,4)),RIGHT(LEFT(C13,SEARCH("0",C13,1)-1),1)&amp;INT(RIGHT(C13,4))))</f>
        <v/>
      </c>
      <c r="F17" s="2" t="str">
        <f>IF(G17=0,"",VLOOKUP(D17,[1]Worksheet!$A:$C,3,0))</f>
        <v/>
      </c>
      <c r="G17" s="12"/>
      <c r="H17" s="12"/>
      <c r="I17" s="23"/>
      <c r="J17" s="90" t="str">
        <f t="shared" si="30"/>
        <v/>
      </c>
      <c r="K17" s="95"/>
      <c r="L17" s="95"/>
      <c r="M17" s="80"/>
      <c r="N17" s="45">
        <f t="shared" si="2"/>
        <v>0</v>
      </c>
      <c r="O17" s="29">
        <f t="shared" si="3"/>
        <v>0</v>
      </c>
      <c r="P17" s="112"/>
      <c r="Q17" s="36">
        <f t="shared" si="4"/>
        <v>0</v>
      </c>
      <c r="R17" s="115"/>
      <c r="S17" s="100" t="str">
        <f>IFERROR(VLOOKUP(D17,[1]Worksheet!$A:$F,6,0),"")</f>
        <v/>
      </c>
      <c r="T17" s="118"/>
      <c r="U17" s="78" t="str">
        <f t="shared" si="5"/>
        <v/>
      </c>
      <c r="V17" t="str">
        <f t="shared" si="6"/>
        <v/>
      </c>
      <c r="W17" s="74" t="s">
        <v>30</v>
      </c>
      <c r="X17" s="72">
        <f>SUMIF(U:U,"U",I:I)</f>
        <v>0</v>
      </c>
    </row>
    <row r="18" spans="1:27" ht="32.450000000000003" customHeight="1" thickBot="1">
      <c r="A18" s="155">
        <f>A13+1</f>
        <v>4</v>
      </c>
      <c r="B18" s="158"/>
      <c r="C18" s="119"/>
      <c r="D18" s="53" t="str">
        <f t="shared" ref="D18" si="40">IF(G18=0,"",C18&amp;"-"&amp;G18)</f>
        <v/>
      </c>
      <c r="E18" s="53" t="str">
        <f t="shared" ref="E18" si="41">IF(G18="","",IF(LEN(LEFT(C18,SEARCH("0",C18,1)-1))&lt;2,RIGHT(LEFT(C18,SEARCH("0",C18,1)-1),1)&amp;INT(RIGHT(C18,4)),RIGHT(LEFT(C18,SEARCH("0",C18,1)-1),1)&amp;INT(RIGHT(C18,4))))</f>
        <v/>
      </c>
      <c r="F18" s="2" t="str">
        <f>IF(G18=0,"",VLOOKUP(D18,[1]Worksheet!$A:$C,3,0))</f>
        <v/>
      </c>
      <c r="G18" s="88"/>
      <c r="H18" s="4"/>
      <c r="I18" s="20"/>
      <c r="J18" s="89" t="str">
        <f t="shared" si="30"/>
        <v/>
      </c>
      <c r="K18" s="93"/>
      <c r="L18" s="93"/>
      <c r="M18" s="79"/>
      <c r="N18" s="42">
        <f t="shared" si="2"/>
        <v>0</v>
      </c>
      <c r="O18" s="27">
        <f t="shared" si="3"/>
        <v>0</v>
      </c>
      <c r="P18" s="110">
        <f>SUM(O18:O22)</f>
        <v>0</v>
      </c>
      <c r="Q18" s="35">
        <f t="shared" si="4"/>
        <v>0</v>
      </c>
      <c r="R18" s="113">
        <f>SUM(Q18:Q22)</f>
        <v>0</v>
      </c>
      <c r="S18" s="100" t="str">
        <f>IFERROR(VLOOKUP(D18,[1]Worksheet!$A:$F,6,0),"")</f>
        <v/>
      </c>
      <c r="T18" s="116" t="str">
        <f t="shared" ref="T18" si="42">IF(P18=R18,"",IF(P18&gt;R18,"Loss",IF(P18&lt;R18,"Over")))</f>
        <v/>
      </c>
      <c r="U18" s="78" t="str">
        <f t="shared" si="5"/>
        <v/>
      </c>
      <c r="V18" t="str">
        <f t="shared" si="6"/>
        <v/>
      </c>
      <c r="W18" s="75" t="s">
        <v>31</v>
      </c>
      <c r="X18" s="72">
        <f>SUMIF(U:U,"Y",I:I)</f>
        <v>0</v>
      </c>
    </row>
    <row r="19" spans="1:27" ht="32.450000000000003" customHeight="1" thickBot="1">
      <c r="A19" s="156"/>
      <c r="B19" s="159"/>
      <c r="C19" s="120"/>
      <c r="D19" s="54" t="str">
        <f t="shared" ref="D19" si="43">IF(G19=0,"",C18&amp;"-"&amp;G19)</f>
        <v/>
      </c>
      <c r="E19" s="54" t="str">
        <f t="shared" ref="E19" si="44">IF(G19="","",IF(LEN(LEFT(C18,SEARCH("0",C18,1)-1))&lt;2,RIGHT(LEFT(C18,SEARCH("0",C18,1)-1),1)&amp;INT(RIGHT(C18,4)),RIGHT(LEFT(C18,SEARCH("0",C18,1)-1),1)&amp;INT(RIGHT(C18,4))))</f>
        <v/>
      </c>
      <c r="F19" s="2" t="str">
        <f>IF(G19=0,"",VLOOKUP(D19,[1]Worksheet!$A:$C,3,0))</f>
        <v/>
      </c>
      <c r="G19" s="9"/>
      <c r="H19" s="7"/>
      <c r="I19" s="21"/>
      <c r="J19" s="68" t="str">
        <f t="shared" si="30"/>
        <v/>
      </c>
      <c r="K19" s="94"/>
      <c r="L19" s="94"/>
      <c r="M19" s="81"/>
      <c r="N19" s="43">
        <f t="shared" si="2"/>
        <v>0</v>
      </c>
      <c r="O19" s="28">
        <f t="shared" si="3"/>
        <v>0</v>
      </c>
      <c r="P19" s="111"/>
      <c r="Q19" s="32">
        <f t="shared" si="4"/>
        <v>0</v>
      </c>
      <c r="R19" s="114"/>
      <c r="S19" s="100" t="str">
        <f>IFERROR(VLOOKUP(D19,[1]Worksheet!$A:$F,6,0),"")</f>
        <v/>
      </c>
      <c r="T19" s="117"/>
      <c r="U19" s="78" t="str">
        <f t="shared" si="5"/>
        <v/>
      </c>
      <c r="V19" t="str">
        <f t="shared" si="6"/>
        <v/>
      </c>
      <c r="W19" s="75" t="s">
        <v>36</v>
      </c>
      <c r="X19" s="72">
        <f>SUMIF(U:U,"H",I:I)</f>
        <v>0</v>
      </c>
    </row>
    <row r="20" spans="1:27" ht="32.450000000000003" customHeight="1" thickBot="1">
      <c r="A20" s="156"/>
      <c r="B20" s="159"/>
      <c r="C20" s="120"/>
      <c r="D20" s="54" t="str">
        <f t="shared" ref="D20" si="45">IF(G20=0,"",C18&amp;"-"&amp;G20)</f>
        <v/>
      </c>
      <c r="E20" s="54" t="str">
        <f t="shared" ref="E20" si="46">IF(G20="","",IF(LEN(LEFT(C18,SEARCH("0",C18,1)-1))&lt;2,RIGHT(LEFT(C18,SEARCH("0",C18,1)-1),1)&amp;INT(RIGHT(C18,4)),RIGHT(LEFT(C18,SEARCH("0",C18,1)-1),1)&amp;INT(RIGHT(C18,4))))</f>
        <v/>
      </c>
      <c r="F20" s="2" t="str">
        <f>IF(G20=0,"",VLOOKUP(D20,[1]Worksheet!$A:$C,3,0))</f>
        <v/>
      </c>
      <c r="G20" s="9"/>
      <c r="H20" s="10"/>
      <c r="I20" s="22"/>
      <c r="J20" s="68" t="str">
        <f t="shared" si="30"/>
        <v/>
      </c>
      <c r="K20" s="94"/>
      <c r="L20" s="94"/>
      <c r="M20" s="81"/>
      <c r="N20" s="44">
        <f t="shared" si="2"/>
        <v>0</v>
      </c>
      <c r="O20" s="28">
        <f t="shared" si="3"/>
        <v>0</v>
      </c>
      <c r="P20" s="111"/>
      <c r="Q20" s="32">
        <f t="shared" si="4"/>
        <v>0</v>
      </c>
      <c r="R20" s="114"/>
      <c r="S20" s="100" t="str">
        <f>IFERROR(VLOOKUP(D20,[1]Worksheet!$A:$F,6,0),"")</f>
        <v/>
      </c>
      <c r="T20" s="117"/>
      <c r="U20" s="78" t="str">
        <f t="shared" si="5"/>
        <v/>
      </c>
      <c r="V20" t="str">
        <f t="shared" si="6"/>
        <v/>
      </c>
    </row>
    <row r="21" spans="1:27" ht="32.450000000000003" customHeight="1" thickBot="1">
      <c r="A21" s="156"/>
      <c r="B21" s="159"/>
      <c r="C21" s="120"/>
      <c r="D21" s="54" t="str">
        <f t="shared" ref="D21" si="47">IF(G21=0,"",C18&amp;"-"&amp;G21)</f>
        <v/>
      </c>
      <c r="E21" s="54" t="str">
        <f t="shared" ref="E21" si="48">IF(G21="","",IF(LEN(LEFT(C18,SEARCH("0",C18,1)-1))&lt;2,RIGHT(LEFT(C18,SEARCH("0",C18,1)-1),1)&amp;INT(RIGHT(C18,4)),RIGHT(LEFT(C18,SEARCH("0",C18,1)-1),1)&amp;INT(RIGHT(C18,4))))</f>
        <v/>
      </c>
      <c r="F21" s="2" t="str">
        <f>IF(G21=0,"",VLOOKUP(D21,[1]Worksheet!$A:$C,3,0))</f>
        <v/>
      </c>
      <c r="G21" s="10"/>
      <c r="H21" s="10"/>
      <c r="I21" s="22"/>
      <c r="J21" s="68" t="str">
        <f t="shared" si="30"/>
        <v/>
      </c>
      <c r="K21" s="94"/>
      <c r="L21" s="94"/>
      <c r="M21" s="82"/>
      <c r="N21" s="43">
        <f t="shared" si="2"/>
        <v>0</v>
      </c>
      <c r="O21" s="28">
        <f t="shared" si="3"/>
        <v>0</v>
      </c>
      <c r="P21" s="111"/>
      <c r="Q21" s="32">
        <f t="shared" si="4"/>
        <v>0</v>
      </c>
      <c r="R21" s="114"/>
      <c r="S21" s="100" t="str">
        <f>IFERROR(VLOOKUP(D21,[1]Worksheet!$A:$F,6,0),"")</f>
        <v/>
      </c>
      <c r="T21" s="117"/>
      <c r="U21" s="78" t="str">
        <f t="shared" si="5"/>
        <v/>
      </c>
      <c r="V21" t="str">
        <f t="shared" si="6"/>
        <v/>
      </c>
    </row>
    <row r="22" spans="1:27" ht="32.450000000000003" customHeight="1" thickBot="1">
      <c r="A22" s="157"/>
      <c r="B22" s="160"/>
      <c r="C22" s="121"/>
      <c r="D22" s="55" t="str">
        <f t="shared" ref="D22" si="49">IF(G22=0,"",C18&amp;"-"&amp;G22)</f>
        <v/>
      </c>
      <c r="E22" s="55" t="str">
        <f t="shared" ref="E22" si="50">IF(G22="","",IF(LEN(LEFT(C18,SEARCH("0",C18,1)-1))&lt;2,RIGHT(LEFT(C18,SEARCH("0",C18,1)-1),1)&amp;INT(RIGHT(C18,4)),RIGHT(LEFT(C18,SEARCH("0",C18,1)-1),1)&amp;INT(RIGHT(C18,4))))</f>
        <v/>
      </c>
      <c r="F22" s="2" t="str">
        <f>IF(G22=0,"",VLOOKUP(D22,[1]Worksheet!$A:$C,3,0))</f>
        <v/>
      </c>
      <c r="G22" s="12"/>
      <c r="H22" s="12"/>
      <c r="I22" s="23"/>
      <c r="J22" s="90" t="str">
        <f t="shared" si="30"/>
        <v/>
      </c>
      <c r="K22" s="95"/>
      <c r="L22" s="95"/>
      <c r="M22" s="80"/>
      <c r="N22" s="45">
        <f t="shared" si="2"/>
        <v>0</v>
      </c>
      <c r="O22" s="29">
        <f t="shared" si="3"/>
        <v>0</v>
      </c>
      <c r="P22" s="112"/>
      <c r="Q22" s="36">
        <f t="shared" si="4"/>
        <v>0</v>
      </c>
      <c r="R22" s="115"/>
      <c r="S22" s="100" t="str">
        <f>IFERROR(VLOOKUP(D22,[1]Worksheet!$A:$F,6,0),"")</f>
        <v/>
      </c>
      <c r="T22" s="118"/>
      <c r="U22" s="78" t="str">
        <f t="shared" si="5"/>
        <v/>
      </c>
      <c r="V22" t="str">
        <f t="shared" si="6"/>
        <v/>
      </c>
    </row>
    <row r="23" spans="1:27" ht="32.450000000000003" customHeight="1" thickBot="1">
      <c r="A23" s="155">
        <f>A18+1</f>
        <v>5</v>
      </c>
      <c r="B23" s="158"/>
      <c r="C23" s="119"/>
      <c r="D23" s="53" t="str">
        <f t="shared" ref="D23" si="51">IF(G23=0,"",C23&amp;"-"&amp;G23)</f>
        <v/>
      </c>
      <c r="E23" s="53" t="str">
        <f t="shared" ref="E23" si="52">IF(G23="","",IF(LEN(LEFT(C23,SEARCH("0",C23,1)-1))&lt;2,RIGHT(LEFT(C23,SEARCH("0",C23,1)-1),1)&amp;INT(RIGHT(C23,4)),RIGHT(LEFT(C23,SEARCH("0",C23,1)-1),1)&amp;INT(RIGHT(C23,4))))</f>
        <v/>
      </c>
      <c r="F23" s="2" t="str">
        <f>IF(G23=0,"",VLOOKUP(D23,[1]Worksheet!$A:$C,3,0))</f>
        <v/>
      </c>
      <c r="G23" s="88"/>
      <c r="H23" s="4"/>
      <c r="I23" s="20"/>
      <c r="J23" s="89" t="str">
        <f t="shared" si="30"/>
        <v/>
      </c>
      <c r="K23" s="93"/>
      <c r="L23" s="93"/>
      <c r="M23" s="79"/>
      <c r="N23" s="42">
        <f t="shared" si="2"/>
        <v>0</v>
      </c>
      <c r="O23" s="27">
        <f t="shared" si="3"/>
        <v>0</v>
      </c>
      <c r="P23" s="110">
        <f>SUM(O23:O27)</f>
        <v>0</v>
      </c>
      <c r="Q23" s="35">
        <f t="shared" si="4"/>
        <v>0</v>
      </c>
      <c r="R23" s="113">
        <f>SUM(Q23:Q27)</f>
        <v>0</v>
      </c>
      <c r="S23" s="100" t="str">
        <f>IFERROR(VLOOKUP(D23,[1]Worksheet!$A:$F,6,0),"")</f>
        <v/>
      </c>
      <c r="T23" s="116" t="str">
        <f t="shared" ref="T23" si="53">IF(P23=R23,"",IF(P23&gt;R23,"Loss",IF(P23&lt;R23,"Over")))</f>
        <v/>
      </c>
      <c r="U23" s="78" t="str">
        <f t="shared" si="5"/>
        <v/>
      </c>
      <c r="V23" t="str">
        <f t="shared" si="6"/>
        <v/>
      </c>
    </row>
    <row r="24" spans="1:27" ht="32.450000000000003" customHeight="1" thickBot="1">
      <c r="A24" s="156"/>
      <c r="B24" s="159"/>
      <c r="C24" s="120"/>
      <c r="D24" s="54" t="str">
        <f t="shared" ref="D24" si="54">IF(G24=0,"",C23&amp;"-"&amp;G24)</f>
        <v/>
      </c>
      <c r="E24" s="54" t="str">
        <f t="shared" ref="E24" si="55">IF(G24="","",IF(LEN(LEFT(C23,SEARCH("0",C23,1)-1))&lt;2,RIGHT(LEFT(C23,SEARCH("0",C23,1)-1),1)&amp;INT(RIGHT(C23,4)),RIGHT(LEFT(C23,SEARCH("0",C23,1)-1),1)&amp;INT(RIGHT(C23,4))))</f>
        <v/>
      </c>
      <c r="F24" s="2" t="str">
        <f>IF(G24=0,"",VLOOKUP(D24,[1]Worksheet!$A:$C,3,0))</f>
        <v/>
      </c>
      <c r="G24" s="9"/>
      <c r="H24" s="7"/>
      <c r="I24" s="21"/>
      <c r="J24" s="68" t="str">
        <f t="shared" si="30"/>
        <v/>
      </c>
      <c r="K24" s="94"/>
      <c r="L24" s="94"/>
      <c r="M24" s="81"/>
      <c r="N24" s="43">
        <f t="shared" si="2"/>
        <v>0</v>
      </c>
      <c r="O24" s="28">
        <f t="shared" si="3"/>
        <v>0</v>
      </c>
      <c r="P24" s="111"/>
      <c r="Q24" s="32">
        <f t="shared" si="4"/>
        <v>0</v>
      </c>
      <c r="R24" s="114"/>
      <c r="S24" s="100" t="str">
        <f>IFERROR(VLOOKUP(D24,[1]Worksheet!$A:$F,6,0),"")</f>
        <v/>
      </c>
      <c r="T24" s="117"/>
      <c r="U24" s="78" t="str">
        <f t="shared" si="5"/>
        <v/>
      </c>
      <c r="V24" t="str">
        <f t="shared" si="6"/>
        <v/>
      </c>
      <c r="Y24" s="63"/>
      <c r="Z24" s="63"/>
      <c r="AA24" s="63"/>
    </row>
    <row r="25" spans="1:27" ht="32.450000000000003" customHeight="1" thickBot="1">
      <c r="A25" s="156"/>
      <c r="B25" s="159"/>
      <c r="C25" s="120"/>
      <c r="D25" s="54" t="str">
        <f t="shared" ref="D25" si="56">IF(G25=0,"",C23&amp;"-"&amp;G25)</f>
        <v/>
      </c>
      <c r="E25" s="54" t="str">
        <f t="shared" ref="E25" si="57">IF(G25="","",IF(LEN(LEFT(C23,SEARCH("0",C23,1)-1))&lt;2,RIGHT(LEFT(C23,SEARCH("0",C23,1)-1),1)&amp;INT(RIGHT(C23,4)),RIGHT(LEFT(C23,SEARCH("0",C23,1)-1),1)&amp;INT(RIGHT(C23,4))))</f>
        <v/>
      </c>
      <c r="F25" s="2" t="str">
        <f>IF(G25=0,"",VLOOKUP(D25,[1]Worksheet!$A:$C,3,0))</f>
        <v/>
      </c>
      <c r="G25" s="9"/>
      <c r="H25" s="10"/>
      <c r="I25" s="22"/>
      <c r="J25" s="68" t="str">
        <f t="shared" si="30"/>
        <v/>
      </c>
      <c r="K25" s="94"/>
      <c r="L25" s="94"/>
      <c r="M25" s="81"/>
      <c r="N25" s="44">
        <f t="shared" si="2"/>
        <v>0</v>
      </c>
      <c r="O25" s="28">
        <f t="shared" si="3"/>
        <v>0</v>
      </c>
      <c r="P25" s="111"/>
      <c r="Q25" s="32">
        <f t="shared" si="4"/>
        <v>0</v>
      </c>
      <c r="R25" s="114"/>
      <c r="S25" s="100" t="str">
        <f>IFERROR(VLOOKUP(D25,[1]Worksheet!$A:$F,6,0),"")</f>
        <v/>
      </c>
      <c r="T25" s="117"/>
      <c r="U25" s="78" t="str">
        <f t="shared" si="5"/>
        <v/>
      </c>
      <c r="V25" t="str">
        <f t="shared" si="6"/>
        <v/>
      </c>
    </row>
    <row r="26" spans="1:27" ht="32.450000000000003" customHeight="1" thickBot="1">
      <c r="A26" s="156"/>
      <c r="B26" s="159"/>
      <c r="C26" s="120"/>
      <c r="D26" s="54" t="str">
        <f t="shared" ref="D26" si="58">IF(G26=0,"",C23&amp;"-"&amp;G26)</f>
        <v/>
      </c>
      <c r="E26" s="54" t="str">
        <f t="shared" ref="E26" si="59">IF(G26="","",IF(LEN(LEFT(C23,SEARCH("0",C23,1)-1))&lt;2,RIGHT(LEFT(C23,SEARCH("0",C23,1)-1),1)&amp;INT(RIGHT(C23,4)),RIGHT(LEFT(C23,SEARCH("0",C23,1)-1),1)&amp;INT(RIGHT(C23,4))))</f>
        <v/>
      </c>
      <c r="F26" s="2" t="str">
        <f>IF(G26=0,"",VLOOKUP(D26,[1]Worksheet!$A:$C,3,0))</f>
        <v/>
      </c>
      <c r="G26" s="10"/>
      <c r="H26" s="10"/>
      <c r="I26" s="22"/>
      <c r="J26" s="68" t="str">
        <f t="shared" si="30"/>
        <v/>
      </c>
      <c r="K26" s="94"/>
      <c r="L26" s="94"/>
      <c r="M26" s="82"/>
      <c r="N26" s="43">
        <f t="shared" si="2"/>
        <v>0</v>
      </c>
      <c r="O26" s="28">
        <f t="shared" si="3"/>
        <v>0</v>
      </c>
      <c r="P26" s="111"/>
      <c r="Q26" s="32">
        <f t="shared" si="4"/>
        <v>0</v>
      </c>
      <c r="R26" s="114"/>
      <c r="S26" s="100" t="str">
        <f>IFERROR(VLOOKUP(D26,[1]Worksheet!$A:$F,6,0),"")</f>
        <v/>
      </c>
      <c r="T26" s="117"/>
      <c r="U26" s="78" t="str">
        <f t="shared" si="5"/>
        <v/>
      </c>
      <c r="V26" t="str">
        <f t="shared" si="6"/>
        <v/>
      </c>
    </row>
    <row r="27" spans="1:27" ht="32.450000000000003" customHeight="1" thickBot="1">
      <c r="A27" s="157"/>
      <c r="B27" s="160"/>
      <c r="C27" s="121"/>
      <c r="D27" s="55" t="str">
        <f t="shared" ref="D27" si="60">IF(G27=0,"",C23&amp;"-"&amp;G27)</f>
        <v/>
      </c>
      <c r="E27" s="55" t="str">
        <f t="shared" ref="E27" si="61">IF(G27="","",IF(LEN(LEFT(C23,SEARCH("0",C23,1)-1))&lt;2,RIGHT(LEFT(C23,SEARCH("0",C23,1)-1),1)&amp;INT(RIGHT(C23,4)),RIGHT(LEFT(C23,SEARCH("0",C23,1)-1),1)&amp;INT(RIGHT(C23,4))))</f>
        <v/>
      </c>
      <c r="F27" s="2" t="str">
        <f>IF(G27=0,"",VLOOKUP(D27,[1]Worksheet!$A:$C,3,0))</f>
        <v/>
      </c>
      <c r="G27" s="12"/>
      <c r="H27" s="12"/>
      <c r="I27" s="23"/>
      <c r="J27" s="90" t="str">
        <f t="shared" si="30"/>
        <v/>
      </c>
      <c r="K27" s="95"/>
      <c r="L27" s="95"/>
      <c r="M27" s="80"/>
      <c r="N27" s="45">
        <f t="shared" si="2"/>
        <v>0</v>
      </c>
      <c r="O27" s="29">
        <f t="shared" si="3"/>
        <v>0</v>
      </c>
      <c r="P27" s="112"/>
      <c r="Q27" s="36">
        <f t="shared" si="4"/>
        <v>0</v>
      </c>
      <c r="R27" s="115"/>
      <c r="S27" s="100" t="str">
        <f>IFERROR(VLOOKUP(D27,[1]Worksheet!$A:$F,6,0),"")</f>
        <v/>
      </c>
      <c r="T27" s="118"/>
      <c r="U27" s="78" t="str">
        <f t="shared" si="5"/>
        <v/>
      </c>
      <c r="V27" t="str">
        <f t="shared" si="6"/>
        <v/>
      </c>
    </row>
    <row r="28" spans="1:27" ht="32.450000000000003" customHeight="1" thickBot="1">
      <c r="A28" s="155">
        <f>A23+1</f>
        <v>6</v>
      </c>
      <c r="B28" s="158"/>
      <c r="C28" s="119"/>
      <c r="D28" s="53" t="str">
        <f t="shared" ref="D28" si="62">IF(G28=0,"",C28&amp;"-"&amp;G28)</f>
        <v/>
      </c>
      <c r="E28" s="53" t="str">
        <f t="shared" ref="E28" si="63">IF(G28="","",IF(LEN(LEFT(C28,SEARCH("0",C28,1)-1))&lt;2,RIGHT(LEFT(C28,SEARCH("0",C28,1)-1),1)&amp;INT(RIGHT(C28,4)),RIGHT(LEFT(C28,SEARCH("0",C28,1)-1),1)&amp;INT(RIGHT(C28,4))))</f>
        <v/>
      </c>
      <c r="F28" s="2" t="str">
        <f>IF(G28=0,"",VLOOKUP(D28,[1]Worksheet!$A:$C,3,0))</f>
        <v/>
      </c>
      <c r="G28" s="88"/>
      <c r="H28" s="4"/>
      <c r="I28" s="20"/>
      <c r="J28" s="89" t="str">
        <f t="shared" si="30"/>
        <v/>
      </c>
      <c r="K28" s="93"/>
      <c r="L28" s="93"/>
      <c r="M28" s="79"/>
      <c r="N28" s="42">
        <f t="shared" si="2"/>
        <v>0</v>
      </c>
      <c r="O28" s="27">
        <f t="shared" si="3"/>
        <v>0</v>
      </c>
      <c r="P28" s="110">
        <f>SUM(O28:O32)</f>
        <v>0</v>
      </c>
      <c r="Q28" s="35">
        <f t="shared" si="4"/>
        <v>0</v>
      </c>
      <c r="R28" s="113">
        <f>SUM(Q28:Q32)</f>
        <v>0</v>
      </c>
      <c r="S28" s="100" t="str">
        <f>IFERROR(VLOOKUP(D28,[1]Worksheet!$A:$F,6,0),"")</f>
        <v/>
      </c>
      <c r="T28" s="116" t="str">
        <f t="shared" ref="T28" si="64">IF(P28=R28,"",IF(P28&gt;R28,"Loss",IF(P28&lt;R28,"Over")))</f>
        <v/>
      </c>
      <c r="U28" s="78" t="str">
        <f t="shared" si="5"/>
        <v/>
      </c>
      <c r="V28" t="str">
        <f t="shared" si="6"/>
        <v/>
      </c>
    </row>
    <row r="29" spans="1:27" ht="32.450000000000003" customHeight="1" thickBot="1">
      <c r="A29" s="156"/>
      <c r="B29" s="159"/>
      <c r="C29" s="120"/>
      <c r="D29" s="54" t="str">
        <f t="shared" ref="D29" si="65">IF(G29=0,"",C28&amp;"-"&amp;G29)</f>
        <v/>
      </c>
      <c r="E29" s="54" t="str">
        <f t="shared" ref="E29" si="66">IF(G29="","",IF(LEN(LEFT(C28,SEARCH("0",C28,1)-1))&lt;2,RIGHT(LEFT(C28,SEARCH("0",C28,1)-1),1)&amp;INT(RIGHT(C28,4)),RIGHT(LEFT(C28,SEARCH("0",C28,1)-1),1)&amp;INT(RIGHT(C28,4))))</f>
        <v/>
      </c>
      <c r="F29" s="2" t="str">
        <f>IF(G29=0,"",VLOOKUP(D29,[1]Worksheet!$A:$C,3,0))</f>
        <v/>
      </c>
      <c r="G29" s="9"/>
      <c r="H29" s="7"/>
      <c r="I29" s="21"/>
      <c r="J29" s="68" t="str">
        <f t="shared" si="30"/>
        <v/>
      </c>
      <c r="K29" s="94"/>
      <c r="L29" s="94"/>
      <c r="M29" s="81"/>
      <c r="N29" s="43">
        <f t="shared" si="2"/>
        <v>0</v>
      </c>
      <c r="O29" s="28">
        <f t="shared" si="3"/>
        <v>0</v>
      </c>
      <c r="P29" s="111"/>
      <c r="Q29" s="32">
        <f t="shared" si="4"/>
        <v>0</v>
      </c>
      <c r="R29" s="114"/>
      <c r="S29" s="100" t="str">
        <f>IFERROR(VLOOKUP(D29,[1]Worksheet!$A:$F,6,0),"")</f>
        <v/>
      </c>
      <c r="T29" s="117"/>
      <c r="U29" s="78" t="str">
        <f t="shared" si="5"/>
        <v/>
      </c>
      <c r="V29" t="str">
        <f t="shared" si="6"/>
        <v/>
      </c>
    </row>
    <row r="30" spans="1:27" ht="32.450000000000003" customHeight="1" thickBot="1">
      <c r="A30" s="156"/>
      <c r="B30" s="159"/>
      <c r="C30" s="120"/>
      <c r="D30" s="54" t="str">
        <f t="shared" ref="D30" si="67">IF(G30=0,"",C28&amp;"-"&amp;G30)</f>
        <v/>
      </c>
      <c r="E30" s="54" t="str">
        <f t="shared" ref="E30" si="68">IF(G30="","",IF(LEN(LEFT(C28,SEARCH("0",C28,1)-1))&lt;2,RIGHT(LEFT(C28,SEARCH("0",C28,1)-1),1)&amp;INT(RIGHT(C28,4)),RIGHT(LEFT(C28,SEARCH("0",C28,1)-1),1)&amp;INT(RIGHT(C28,4))))</f>
        <v/>
      </c>
      <c r="F30" s="2" t="str">
        <f>IF(G30=0,"",VLOOKUP(D30,[1]Worksheet!$A:$C,3,0))</f>
        <v/>
      </c>
      <c r="G30" s="9"/>
      <c r="H30" s="10"/>
      <c r="I30" s="22"/>
      <c r="J30" s="68" t="str">
        <f t="shared" si="30"/>
        <v/>
      </c>
      <c r="K30" s="94"/>
      <c r="L30" s="94"/>
      <c r="M30" s="81"/>
      <c r="N30" s="44">
        <f t="shared" si="2"/>
        <v>0</v>
      </c>
      <c r="O30" s="28">
        <f t="shared" si="3"/>
        <v>0</v>
      </c>
      <c r="P30" s="111"/>
      <c r="Q30" s="32">
        <f t="shared" si="4"/>
        <v>0</v>
      </c>
      <c r="R30" s="114"/>
      <c r="S30" s="100" t="str">
        <f>IFERROR(VLOOKUP(D30,[1]Worksheet!$A:$F,6,0),"")</f>
        <v/>
      </c>
      <c r="T30" s="117"/>
      <c r="U30" s="78" t="str">
        <f t="shared" si="5"/>
        <v/>
      </c>
      <c r="V30" t="str">
        <f t="shared" si="6"/>
        <v/>
      </c>
      <c r="Y30" s="63"/>
      <c r="Z30" s="63"/>
      <c r="AA30" s="63"/>
    </row>
    <row r="31" spans="1:27" ht="32.450000000000003" customHeight="1" thickBot="1">
      <c r="A31" s="156"/>
      <c r="B31" s="159"/>
      <c r="C31" s="120"/>
      <c r="D31" s="54" t="str">
        <f t="shared" ref="D31" si="69">IF(G31=0,"",C28&amp;"-"&amp;G31)</f>
        <v/>
      </c>
      <c r="E31" s="54" t="str">
        <f t="shared" ref="E31" si="70">IF(G31="","",IF(LEN(LEFT(C28,SEARCH("0",C28,1)-1))&lt;2,RIGHT(LEFT(C28,SEARCH("0",C28,1)-1),1)&amp;INT(RIGHT(C28,4)),RIGHT(LEFT(C28,SEARCH("0",C28,1)-1),1)&amp;INT(RIGHT(C28,4))))</f>
        <v/>
      </c>
      <c r="F31" s="2" t="str">
        <f>IF(G31=0,"",VLOOKUP(D31,[1]Worksheet!$A:$C,3,0))</f>
        <v/>
      </c>
      <c r="G31" s="10"/>
      <c r="H31" s="10"/>
      <c r="I31" s="22"/>
      <c r="J31" s="68" t="str">
        <f t="shared" si="30"/>
        <v/>
      </c>
      <c r="K31" s="94"/>
      <c r="L31" s="94"/>
      <c r="M31" s="82"/>
      <c r="N31" s="43">
        <f t="shared" si="2"/>
        <v>0</v>
      </c>
      <c r="O31" s="28">
        <f t="shared" si="3"/>
        <v>0</v>
      </c>
      <c r="P31" s="111"/>
      <c r="Q31" s="32">
        <f t="shared" si="4"/>
        <v>0</v>
      </c>
      <c r="R31" s="114"/>
      <c r="S31" s="100" t="str">
        <f>IFERROR(VLOOKUP(D31,[1]Worksheet!$A:$F,6,0),"")</f>
        <v/>
      </c>
      <c r="T31" s="117"/>
      <c r="U31" s="78" t="str">
        <f t="shared" si="5"/>
        <v/>
      </c>
      <c r="V31" t="str">
        <f t="shared" si="6"/>
        <v/>
      </c>
    </row>
    <row r="32" spans="1:27" ht="32.450000000000003" customHeight="1" thickBot="1">
      <c r="A32" s="157"/>
      <c r="B32" s="160"/>
      <c r="C32" s="121"/>
      <c r="D32" s="55" t="str">
        <f t="shared" ref="D32" si="71">IF(G32=0,"",C28&amp;"-"&amp;G32)</f>
        <v/>
      </c>
      <c r="E32" s="55" t="str">
        <f t="shared" ref="E32" si="72">IF(G32="","",IF(LEN(LEFT(C28,SEARCH("0",C28,1)-1))&lt;2,RIGHT(LEFT(C28,SEARCH("0",C28,1)-1),1)&amp;INT(RIGHT(C28,4)),RIGHT(LEFT(C28,SEARCH("0",C28,1)-1),1)&amp;INT(RIGHT(C28,4))))</f>
        <v/>
      </c>
      <c r="F32" s="2" t="str">
        <f>IF(G32=0,"",VLOOKUP(D32,[1]Worksheet!$A:$C,3,0))</f>
        <v/>
      </c>
      <c r="G32" s="12"/>
      <c r="H32" s="12"/>
      <c r="I32" s="23"/>
      <c r="J32" s="68" t="str">
        <f t="shared" si="30"/>
        <v/>
      </c>
      <c r="K32" s="95"/>
      <c r="L32" s="95"/>
      <c r="M32" s="80"/>
      <c r="N32" s="45">
        <f t="shared" si="2"/>
        <v>0</v>
      </c>
      <c r="O32" s="29">
        <f t="shared" si="3"/>
        <v>0</v>
      </c>
      <c r="P32" s="112"/>
      <c r="Q32" s="36">
        <f t="shared" si="4"/>
        <v>0</v>
      </c>
      <c r="R32" s="115"/>
      <c r="S32" s="100" t="str">
        <f>IFERROR(VLOOKUP(D32,[1]Worksheet!$A:$F,6,0),"")</f>
        <v/>
      </c>
      <c r="T32" s="118"/>
      <c r="U32" s="78" t="str">
        <f t="shared" si="5"/>
        <v/>
      </c>
      <c r="V32" t="str">
        <f t="shared" si="6"/>
        <v/>
      </c>
    </row>
    <row r="33" spans="1:22" ht="32.450000000000003" customHeight="1">
      <c r="A33" s="155">
        <f>A28+1</f>
        <v>7</v>
      </c>
      <c r="B33" s="158"/>
      <c r="C33" s="119"/>
      <c r="D33" s="53" t="str">
        <f>IF(G33=0,"",C33&amp;"-"&amp;G33)</f>
        <v/>
      </c>
      <c r="E33" s="53" t="str">
        <f>IF(G33="","",IF(LEN(LEFT(C33,SEARCH("0",C33,1)-1))&lt;2,RIGHT(LEFT(C33,SEARCH("0",C33,1)-1),1)&amp;INT(RIGHT(C33,4)),RIGHT(LEFT(C33,SEARCH("0",C33,1)-1),1)&amp;INT(RIGHT(C33,4))))</f>
        <v/>
      </c>
      <c r="F33" s="2" t="str">
        <f>IF(G33=0,"",VLOOKUP(D33,[1]Worksheet!$A:$C,3,0))</f>
        <v/>
      </c>
      <c r="G33" s="88"/>
      <c r="H33" s="4"/>
      <c r="I33" s="20"/>
      <c r="J33" s="68" t="str">
        <f t="shared" si="30"/>
        <v/>
      </c>
      <c r="K33" s="93"/>
      <c r="L33" s="93"/>
      <c r="M33" s="79"/>
      <c r="N33" s="42">
        <f t="shared" si="2"/>
        <v>0</v>
      </c>
      <c r="O33" s="27">
        <f t="shared" si="3"/>
        <v>0</v>
      </c>
      <c r="P33" s="110">
        <f>SUM(O33:O37)</f>
        <v>0</v>
      </c>
      <c r="Q33" s="35">
        <f t="shared" si="4"/>
        <v>0</v>
      </c>
      <c r="R33" s="113">
        <f>SUM(Q33:Q37)</f>
        <v>0</v>
      </c>
      <c r="S33" s="100" t="str">
        <f>IFERROR(VLOOKUP(D33,[1]Worksheet!$A:$F,6,0),"")</f>
        <v/>
      </c>
      <c r="T33" s="116" t="str">
        <f t="shared" ref="T33" si="73">IF(P33=R33,"",IF(P33&gt;R33,"Loss",IF(P33&lt;R33,"Over")))</f>
        <v/>
      </c>
      <c r="U33" s="78" t="str">
        <f t="shared" si="5"/>
        <v/>
      </c>
      <c r="V33" t="str">
        <f t="shared" si="6"/>
        <v/>
      </c>
    </row>
    <row r="34" spans="1:22" ht="32.450000000000003" customHeight="1">
      <c r="A34" s="156"/>
      <c r="B34" s="159"/>
      <c r="C34" s="120"/>
      <c r="D34" s="54" t="str">
        <f>IF(G34=0,"",C33&amp;"-"&amp;G34)</f>
        <v/>
      </c>
      <c r="E34" s="54" t="str">
        <f>IF(G34="","",IF(LEN(LEFT(C33,SEARCH("0",C33,1)-1))&lt;2,RIGHT(LEFT(C33,SEARCH("0",C33,1)-1),1)&amp;INT(RIGHT(C33,4)),RIGHT(LEFT(C33,SEARCH("0",C33,1)-1),1)&amp;INT(RIGHT(C33,4))))</f>
        <v/>
      </c>
      <c r="F34" s="5" t="str">
        <f>IF(G34=0,"",VLOOKUP(D34,[1]Worksheet!$A:$C,3,0))</f>
        <v/>
      </c>
      <c r="G34" s="9"/>
      <c r="H34" s="7"/>
      <c r="I34" s="21"/>
      <c r="J34" s="68" t="str">
        <f t="shared" si="30"/>
        <v/>
      </c>
      <c r="K34" s="94"/>
      <c r="L34" s="94"/>
      <c r="M34" s="81"/>
      <c r="N34" s="43">
        <f t="shared" si="2"/>
        <v>0</v>
      </c>
      <c r="O34" s="28">
        <f t="shared" si="3"/>
        <v>0</v>
      </c>
      <c r="P34" s="111"/>
      <c r="Q34" s="32">
        <f t="shared" si="4"/>
        <v>0</v>
      </c>
      <c r="R34" s="114"/>
      <c r="S34" s="100" t="str">
        <f>IFERROR(VLOOKUP(D34,[1]Worksheet!$A:$F,6,0),"")</f>
        <v/>
      </c>
      <c r="T34" s="117"/>
      <c r="U34" s="78" t="str">
        <f t="shared" si="5"/>
        <v/>
      </c>
      <c r="V34" t="str">
        <f t="shared" si="6"/>
        <v/>
      </c>
    </row>
    <row r="35" spans="1:22" ht="32.450000000000003" customHeight="1">
      <c r="A35" s="156"/>
      <c r="B35" s="159"/>
      <c r="C35" s="120"/>
      <c r="D35" s="54" t="str">
        <f>IF(G35=0,"",C33&amp;"-"&amp;G35)</f>
        <v/>
      </c>
      <c r="E35" s="54" t="str">
        <f>IF(G35="","",IF(LEN(LEFT(C33,SEARCH("0",C33,1)-1))&lt;2,RIGHT(LEFT(C33,SEARCH("0",C33,1)-1),1)&amp;INT(RIGHT(C33,4)),RIGHT(LEFT(C33,SEARCH("0",C33,1)-1),1)&amp;INT(RIGHT(C33,4))))</f>
        <v/>
      </c>
      <c r="F35" s="8" t="str">
        <f>IF(G35=0,"",VLOOKUP(D35,[1]Worksheet!$A:$C,3,0))</f>
        <v/>
      </c>
      <c r="G35" s="9"/>
      <c r="H35" s="10"/>
      <c r="I35" s="22"/>
      <c r="J35" s="68" t="str">
        <f t="shared" si="30"/>
        <v/>
      </c>
      <c r="K35" s="94"/>
      <c r="L35" s="94"/>
      <c r="M35" s="81"/>
      <c r="N35" s="44">
        <f t="shared" si="2"/>
        <v>0</v>
      </c>
      <c r="O35" s="28">
        <f t="shared" ref="O35:O66" si="74">H35*N35</f>
        <v>0</v>
      </c>
      <c r="P35" s="111"/>
      <c r="Q35" s="32">
        <f t="shared" ref="Q35:Q66" si="75">I35*N35</f>
        <v>0</v>
      </c>
      <c r="R35" s="114"/>
      <c r="S35" s="100" t="str">
        <f>IFERROR(VLOOKUP(D35,[1]Worksheet!$A:$F,6,0),"")</f>
        <v/>
      </c>
      <c r="T35" s="117"/>
      <c r="U35" s="78" t="str">
        <f t="shared" ref="U35:U66" si="76">LEFT(E35,1)</f>
        <v/>
      </c>
      <c r="V35" t="str">
        <f t="shared" ref="V35:V66" si="77">IF(H35&lt;&gt;I35,"F","")</f>
        <v/>
      </c>
    </row>
    <row r="36" spans="1:22" ht="32.450000000000003" customHeight="1">
      <c r="A36" s="156"/>
      <c r="B36" s="159"/>
      <c r="C36" s="120"/>
      <c r="D36" s="54" t="str">
        <f>IF(G36=0,"",C33&amp;"-"&amp;G36)</f>
        <v/>
      </c>
      <c r="E36" s="54" t="str">
        <f>IF(G36="","",IF(LEN(LEFT(C33,SEARCH("0",C33,1)-1))&lt;2,RIGHT(LEFT(C33,SEARCH("0",C33,1)-1),1)&amp;INT(RIGHT(C33,4)),RIGHT(LEFT(C33,SEARCH("0",C33,1)-1),1)&amp;INT(RIGHT(C33,4))))</f>
        <v/>
      </c>
      <c r="F36" s="8" t="str">
        <f>IF(G36=0,"",VLOOKUP(D36,[1]Worksheet!$A:$C,3,0))</f>
        <v/>
      </c>
      <c r="G36" s="10"/>
      <c r="H36" s="10"/>
      <c r="I36" s="22"/>
      <c r="J36" s="68" t="str">
        <f t="shared" si="30"/>
        <v/>
      </c>
      <c r="K36" s="94"/>
      <c r="L36" s="94"/>
      <c r="M36" s="82"/>
      <c r="N36" s="43">
        <f t="shared" si="2"/>
        <v>0</v>
      </c>
      <c r="O36" s="28">
        <f t="shared" si="74"/>
        <v>0</v>
      </c>
      <c r="P36" s="111"/>
      <c r="Q36" s="32">
        <f t="shared" si="75"/>
        <v>0</v>
      </c>
      <c r="R36" s="114"/>
      <c r="S36" s="100" t="str">
        <f>IFERROR(VLOOKUP(D36,[1]Worksheet!$A:$F,6,0),"")</f>
        <v/>
      </c>
      <c r="T36" s="117"/>
      <c r="U36" s="78" t="str">
        <f t="shared" si="76"/>
        <v/>
      </c>
      <c r="V36" t="str">
        <f t="shared" si="77"/>
        <v/>
      </c>
    </row>
    <row r="37" spans="1:22" ht="32.450000000000003" customHeight="1" thickBot="1">
      <c r="A37" s="157"/>
      <c r="B37" s="160"/>
      <c r="C37" s="121"/>
      <c r="D37" s="55" t="str">
        <f>IF(G37=0,"",C33&amp;"-"&amp;G37)</f>
        <v/>
      </c>
      <c r="E37" s="55" t="str">
        <f>IF(G37="","",IF(LEN(LEFT(C33,SEARCH("0",C33,1)-1))&lt;2,RIGHT(LEFT(C33,SEARCH("0",C33,1)-1),1)&amp;INT(RIGHT(C33,4)),RIGHT(LEFT(C33,SEARCH("0",C33,1)-1),1)&amp;INT(RIGHT(C33,4))))</f>
        <v/>
      </c>
      <c r="F37" s="11" t="str">
        <f>IF(G37=0,"",VLOOKUP(D37,[1]Worksheet!$A:$C,3,0))</f>
        <v/>
      </c>
      <c r="G37" s="12"/>
      <c r="H37" s="12"/>
      <c r="I37" s="23"/>
      <c r="J37" s="68" t="str">
        <f t="shared" si="30"/>
        <v/>
      </c>
      <c r="K37" s="95"/>
      <c r="L37" s="95"/>
      <c r="M37" s="80"/>
      <c r="N37" s="45">
        <f t="shared" si="2"/>
        <v>0</v>
      </c>
      <c r="O37" s="29">
        <f t="shared" si="74"/>
        <v>0</v>
      </c>
      <c r="P37" s="112"/>
      <c r="Q37" s="36">
        <f t="shared" si="75"/>
        <v>0</v>
      </c>
      <c r="R37" s="115"/>
      <c r="S37" s="100" t="str">
        <f>IFERROR(VLOOKUP(D37,[1]Worksheet!$A:$F,6,0),"")</f>
        <v/>
      </c>
      <c r="T37" s="118"/>
      <c r="U37" s="78" t="str">
        <f t="shared" si="76"/>
        <v/>
      </c>
      <c r="V37" t="str">
        <f t="shared" si="77"/>
        <v/>
      </c>
    </row>
    <row r="38" spans="1:22" ht="32.450000000000003" customHeight="1">
      <c r="A38" s="155">
        <f>A33+1</f>
        <v>8</v>
      </c>
      <c r="B38" s="158"/>
      <c r="C38" s="119"/>
      <c r="D38" s="53" t="str">
        <f>IF(G38=0,"",C38&amp;"-"&amp;G38)</f>
        <v/>
      </c>
      <c r="E38" s="53" t="str">
        <f>IF(G38="","",IF(LEN(LEFT(C38,SEARCH("0",C38,1)-1))&lt;2,RIGHT(LEFT(C38,SEARCH("0",C38,1)-1),1)&amp;INT(RIGHT(C38,4)),RIGHT(LEFT(C38,SEARCH("0",C38,1)-1),1)&amp;INT(RIGHT(C38,4))))</f>
        <v/>
      </c>
      <c r="F38" s="2" t="str">
        <f>IF(G38=0,"",VLOOKUP(D38,[1]Worksheet!$A:$C,3,0))</f>
        <v/>
      </c>
      <c r="G38" s="88"/>
      <c r="H38" s="4"/>
      <c r="I38" s="20"/>
      <c r="J38" s="89" t="str">
        <f t="shared" si="30"/>
        <v/>
      </c>
      <c r="K38" s="93"/>
      <c r="L38" s="93"/>
      <c r="M38" s="79"/>
      <c r="N38" s="42">
        <f t="shared" si="2"/>
        <v>0</v>
      </c>
      <c r="O38" s="27">
        <f t="shared" si="74"/>
        <v>0</v>
      </c>
      <c r="P38" s="110">
        <f>SUM(O38:O42)</f>
        <v>0</v>
      </c>
      <c r="Q38" s="35">
        <f t="shared" si="75"/>
        <v>0</v>
      </c>
      <c r="R38" s="113">
        <f>SUM(Q38:Q42)</f>
        <v>0</v>
      </c>
      <c r="S38" s="100" t="str">
        <f>IFERROR(VLOOKUP(D38,[1]Worksheet!$A:$F,6,0),"")</f>
        <v/>
      </c>
      <c r="T38" s="116" t="str">
        <f t="shared" ref="T38" si="78">IF(P38=R38,"",IF(P38&gt;R38,"Loss",IF(P38&lt;R38,"Over")))</f>
        <v/>
      </c>
      <c r="U38" s="78" t="str">
        <f t="shared" si="76"/>
        <v/>
      </c>
      <c r="V38" t="str">
        <f t="shared" si="77"/>
        <v/>
      </c>
    </row>
    <row r="39" spans="1:22" ht="32.450000000000003" customHeight="1">
      <c r="A39" s="156"/>
      <c r="B39" s="159"/>
      <c r="C39" s="120"/>
      <c r="D39" s="54" t="str">
        <f>IF(G39=0,"",C38&amp;"-"&amp;G39)</f>
        <v/>
      </c>
      <c r="E39" s="54" t="str">
        <f>IF(G39="","",IF(LEN(LEFT(C38,SEARCH("0",C38,1)-1))&lt;2,RIGHT(LEFT(C38,SEARCH("0",C38,1)-1),1)&amp;INT(RIGHT(C38,4)),RIGHT(LEFT(C38,SEARCH("0",C38,1)-1),1)&amp;INT(RIGHT(C38,4))))</f>
        <v/>
      </c>
      <c r="F39" s="5" t="str">
        <f>IF(G39=0,"",VLOOKUP(D39,[1]Worksheet!$A:$C,3,0))</f>
        <v/>
      </c>
      <c r="G39" s="9"/>
      <c r="H39" s="7"/>
      <c r="I39" s="21"/>
      <c r="J39" s="68" t="str">
        <f t="shared" si="30"/>
        <v/>
      </c>
      <c r="K39" s="94"/>
      <c r="L39" s="94"/>
      <c r="M39" s="81"/>
      <c r="N39" s="43">
        <f t="shared" si="2"/>
        <v>0</v>
      </c>
      <c r="O39" s="28">
        <f t="shared" si="74"/>
        <v>0</v>
      </c>
      <c r="P39" s="111"/>
      <c r="Q39" s="32">
        <f t="shared" si="75"/>
        <v>0</v>
      </c>
      <c r="R39" s="114"/>
      <c r="S39" s="100" t="str">
        <f>IFERROR(VLOOKUP(D39,[1]Worksheet!$A:$F,6,0),"")</f>
        <v/>
      </c>
      <c r="T39" s="117"/>
      <c r="U39" s="78" t="str">
        <f t="shared" si="76"/>
        <v/>
      </c>
      <c r="V39" t="str">
        <f t="shared" si="77"/>
        <v/>
      </c>
    </row>
    <row r="40" spans="1:22" ht="32.450000000000003" customHeight="1">
      <c r="A40" s="156"/>
      <c r="B40" s="159"/>
      <c r="C40" s="120"/>
      <c r="D40" s="54" t="str">
        <f>IF(G40=0,"",C38&amp;"-"&amp;G40)</f>
        <v/>
      </c>
      <c r="E40" s="54" t="str">
        <f>IF(G40="","",IF(LEN(LEFT(C38,SEARCH("0",C38,1)-1))&lt;2,RIGHT(LEFT(C38,SEARCH("0",C38,1)-1),1)&amp;INT(RIGHT(C38,4)),RIGHT(LEFT(C38,SEARCH("0",C38,1)-1),1)&amp;INT(RIGHT(C38,4))))</f>
        <v/>
      </c>
      <c r="F40" s="8" t="str">
        <f>IF(G40=0,"",VLOOKUP(D40,[1]Worksheet!$A:$C,3,0))</f>
        <v/>
      </c>
      <c r="G40" s="9"/>
      <c r="H40" s="10"/>
      <c r="I40" s="22"/>
      <c r="J40" s="68" t="str">
        <f t="shared" si="30"/>
        <v/>
      </c>
      <c r="K40" s="94"/>
      <c r="L40" s="94"/>
      <c r="M40" s="81"/>
      <c r="N40" s="44">
        <f t="shared" si="2"/>
        <v>0</v>
      </c>
      <c r="O40" s="28">
        <f t="shared" si="74"/>
        <v>0</v>
      </c>
      <c r="P40" s="111"/>
      <c r="Q40" s="32">
        <f t="shared" si="75"/>
        <v>0</v>
      </c>
      <c r="R40" s="114"/>
      <c r="S40" s="100" t="str">
        <f>IFERROR(VLOOKUP(D40,[1]Worksheet!$A:$F,6,0),"")</f>
        <v/>
      </c>
      <c r="T40" s="117"/>
      <c r="U40" s="78" t="str">
        <f t="shared" si="76"/>
        <v/>
      </c>
      <c r="V40" t="str">
        <f t="shared" si="77"/>
        <v/>
      </c>
    </row>
    <row r="41" spans="1:22" ht="32.450000000000003" customHeight="1">
      <c r="A41" s="156"/>
      <c r="B41" s="159"/>
      <c r="C41" s="120"/>
      <c r="D41" s="54" t="str">
        <f>IF(G41=0,"",C38&amp;"-"&amp;G41)</f>
        <v/>
      </c>
      <c r="E41" s="54" t="str">
        <f>IF(G41="","",IF(LEN(LEFT(C38,SEARCH("0",C38,1)-1))&lt;2,RIGHT(LEFT(C38,SEARCH("0",C38,1)-1),1)&amp;INT(RIGHT(C38,4)),RIGHT(LEFT(C38,SEARCH("0",C38,1)-1),1)&amp;INT(RIGHT(C38,4))))</f>
        <v/>
      </c>
      <c r="F41" s="8" t="str">
        <f>IF(G41=0,"",VLOOKUP(D41,[1]Worksheet!$A:$C,3,0))</f>
        <v/>
      </c>
      <c r="G41" s="10"/>
      <c r="H41" s="10"/>
      <c r="I41" s="22"/>
      <c r="J41" s="68" t="str">
        <f t="shared" si="30"/>
        <v/>
      </c>
      <c r="K41" s="94"/>
      <c r="L41" s="94"/>
      <c r="M41" s="82"/>
      <c r="N41" s="43">
        <f t="shared" si="2"/>
        <v>0</v>
      </c>
      <c r="O41" s="28">
        <f t="shared" si="74"/>
        <v>0</v>
      </c>
      <c r="P41" s="111"/>
      <c r="Q41" s="32">
        <f t="shared" si="75"/>
        <v>0</v>
      </c>
      <c r="R41" s="114"/>
      <c r="S41" s="100" t="str">
        <f>IFERROR(VLOOKUP(D41,[1]Worksheet!$A:$F,6,0),"")</f>
        <v/>
      </c>
      <c r="T41" s="117"/>
      <c r="U41" s="78" t="str">
        <f t="shared" si="76"/>
        <v/>
      </c>
      <c r="V41" t="str">
        <f t="shared" si="77"/>
        <v/>
      </c>
    </row>
    <row r="42" spans="1:22" ht="32.450000000000003" customHeight="1" thickBot="1">
      <c r="A42" s="157"/>
      <c r="B42" s="160"/>
      <c r="C42" s="121"/>
      <c r="D42" s="55" t="str">
        <f>IF(G42=0,"",C38&amp;"-"&amp;G42)</f>
        <v/>
      </c>
      <c r="E42" s="55" t="str">
        <f>IF(G42="","",IF(LEN(LEFT(C38,SEARCH("0",C38,1)-1))&lt;2,RIGHT(LEFT(C38,SEARCH("0",C38,1)-1),1)&amp;INT(RIGHT(C38,4)),RIGHT(LEFT(C38,SEARCH("0",C38,1)-1),1)&amp;INT(RIGHT(C38,4))))</f>
        <v/>
      </c>
      <c r="F42" s="11" t="str">
        <f>IF(G42=0,"",VLOOKUP(D42,[1]Worksheet!$A:$C,3,0))</f>
        <v/>
      </c>
      <c r="G42" s="12"/>
      <c r="H42" s="12"/>
      <c r="I42" s="23"/>
      <c r="J42" s="90" t="str">
        <f t="shared" si="30"/>
        <v/>
      </c>
      <c r="K42" s="95"/>
      <c r="L42" s="95"/>
      <c r="M42" s="80"/>
      <c r="N42" s="45">
        <f t="shared" si="2"/>
        <v>0</v>
      </c>
      <c r="O42" s="29">
        <f t="shared" si="74"/>
        <v>0</v>
      </c>
      <c r="P42" s="112"/>
      <c r="Q42" s="36">
        <f t="shared" si="75"/>
        <v>0</v>
      </c>
      <c r="R42" s="115"/>
      <c r="S42" s="100" t="str">
        <f>IFERROR(VLOOKUP(D42,[1]Worksheet!$A:$F,6,0),"")</f>
        <v/>
      </c>
      <c r="T42" s="118"/>
      <c r="U42" s="78" t="str">
        <f t="shared" si="76"/>
        <v/>
      </c>
      <c r="V42" t="str">
        <f t="shared" si="77"/>
        <v/>
      </c>
    </row>
    <row r="43" spans="1:22" ht="32.450000000000003" customHeight="1">
      <c r="A43" s="155">
        <f>A38+1</f>
        <v>9</v>
      </c>
      <c r="B43" s="158"/>
      <c r="C43" s="119"/>
      <c r="D43" s="53" t="str">
        <f>IF(G43=0,"",C43&amp;"-"&amp;G43)</f>
        <v/>
      </c>
      <c r="E43" s="53" t="str">
        <f>IF(G43="","",IF(LEN(LEFT(C43,SEARCH("0",C43,1)-1))&lt;2,RIGHT(LEFT(C43,SEARCH("0",C43,1)-1),1)&amp;INT(RIGHT(C43,4)),RIGHT(LEFT(C43,SEARCH("0",C43,1)-1),1)&amp;INT(RIGHT(C43,4))))</f>
        <v/>
      </c>
      <c r="F43" s="2" t="str">
        <f>IF(G43=0,"",VLOOKUP(D43,[1]Worksheet!$A:$C,3,0))</f>
        <v/>
      </c>
      <c r="G43" s="88"/>
      <c r="H43" s="4"/>
      <c r="I43" s="20"/>
      <c r="J43" s="89" t="str">
        <f t="shared" si="30"/>
        <v/>
      </c>
      <c r="K43" s="93"/>
      <c r="L43" s="93"/>
      <c r="M43" s="79"/>
      <c r="N43" s="42">
        <f t="shared" si="2"/>
        <v>0</v>
      </c>
      <c r="O43" s="27">
        <f t="shared" si="74"/>
        <v>0</v>
      </c>
      <c r="P43" s="110">
        <f>SUM(O43:O47)</f>
        <v>0</v>
      </c>
      <c r="Q43" s="35">
        <f t="shared" si="75"/>
        <v>0</v>
      </c>
      <c r="R43" s="113">
        <f>SUM(Q43:Q47)</f>
        <v>0</v>
      </c>
      <c r="S43" s="100" t="str">
        <f>IFERROR(VLOOKUP(D43,[1]Worksheet!$A:$F,6,0),"")</f>
        <v/>
      </c>
      <c r="T43" s="116" t="str">
        <f t="shared" ref="T43" si="79">IF(P43=R43,"",IF(P43&gt;R43,"Loss",IF(P43&lt;R43,"Over")))</f>
        <v/>
      </c>
      <c r="U43" s="78" t="str">
        <f t="shared" si="76"/>
        <v/>
      </c>
      <c r="V43" t="str">
        <f t="shared" si="77"/>
        <v/>
      </c>
    </row>
    <row r="44" spans="1:22" ht="32.450000000000003" customHeight="1">
      <c r="A44" s="156"/>
      <c r="B44" s="159"/>
      <c r="C44" s="120"/>
      <c r="D44" s="54" t="str">
        <f>IF(G44=0,"",C43&amp;"-"&amp;G44)</f>
        <v/>
      </c>
      <c r="E44" s="54" t="str">
        <f>IF(G44="","",IF(LEN(LEFT(C43,SEARCH("0",C43,1)-1))&lt;2,RIGHT(LEFT(C43,SEARCH("0",C43,1)-1),1)&amp;INT(RIGHT(C43,4)),RIGHT(LEFT(C43,SEARCH("0",C43,1)-1),1)&amp;INT(RIGHT(C43,4))))</f>
        <v/>
      </c>
      <c r="F44" s="5" t="str">
        <f>IF(G44=0,"",VLOOKUP(D44,[1]Worksheet!$A:$C,3,0))</f>
        <v/>
      </c>
      <c r="G44" s="9"/>
      <c r="H44" s="7"/>
      <c r="I44" s="21"/>
      <c r="J44" s="68" t="str">
        <f t="shared" si="30"/>
        <v/>
      </c>
      <c r="K44" s="94"/>
      <c r="L44" s="94"/>
      <c r="M44" s="81"/>
      <c r="N44" s="43">
        <f t="shared" si="2"/>
        <v>0</v>
      </c>
      <c r="O44" s="28">
        <f t="shared" si="74"/>
        <v>0</v>
      </c>
      <c r="P44" s="111"/>
      <c r="Q44" s="32">
        <f t="shared" si="75"/>
        <v>0</v>
      </c>
      <c r="R44" s="114"/>
      <c r="S44" s="100" t="str">
        <f>IFERROR(VLOOKUP(D44,[1]Worksheet!$A:$F,6,0),"")</f>
        <v/>
      </c>
      <c r="T44" s="117"/>
      <c r="U44" s="78" t="str">
        <f t="shared" si="76"/>
        <v/>
      </c>
      <c r="V44" t="str">
        <f t="shared" si="77"/>
        <v/>
      </c>
    </row>
    <row r="45" spans="1:22" ht="32.450000000000003" customHeight="1">
      <c r="A45" s="156"/>
      <c r="B45" s="159"/>
      <c r="C45" s="120"/>
      <c r="D45" s="54" t="str">
        <f>IF(G45=0,"",C43&amp;"-"&amp;G45)</f>
        <v/>
      </c>
      <c r="E45" s="54" t="str">
        <f>IF(G45="","",IF(LEN(LEFT(C43,SEARCH("0",C43,1)-1))&lt;2,RIGHT(LEFT(C43,SEARCH("0",C43,1)-1),1)&amp;INT(RIGHT(C43,4)),RIGHT(LEFT(C43,SEARCH("0",C43,1)-1),1)&amp;INT(RIGHT(C43,4))))</f>
        <v/>
      </c>
      <c r="F45" s="8" t="str">
        <f>IF(G45=0,"",VLOOKUP(D45,[1]Worksheet!$A:$C,3,0))</f>
        <v/>
      </c>
      <c r="G45" s="9"/>
      <c r="H45" s="10"/>
      <c r="I45" s="22"/>
      <c r="J45" s="68" t="str">
        <f t="shared" si="30"/>
        <v/>
      </c>
      <c r="K45" s="94"/>
      <c r="L45" s="94"/>
      <c r="M45" s="81"/>
      <c r="N45" s="44">
        <f t="shared" si="2"/>
        <v>0</v>
      </c>
      <c r="O45" s="28">
        <f t="shared" si="74"/>
        <v>0</v>
      </c>
      <c r="P45" s="111"/>
      <c r="Q45" s="32">
        <f t="shared" si="75"/>
        <v>0</v>
      </c>
      <c r="R45" s="114"/>
      <c r="S45" s="100" t="str">
        <f>IFERROR(VLOOKUP(D45,[1]Worksheet!$A:$F,6,0),"")</f>
        <v/>
      </c>
      <c r="T45" s="117"/>
      <c r="U45" s="78" t="str">
        <f t="shared" si="76"/>
        <v/>
      </c>
      <c r="V45" t="str">
        <f t="shared" si="77"/>
        <v/>
      </c>
    </row>
    <row r="46" spans="1:22" ht="32.450000000000003" customHeight="1">
      <c r="A46" s="156"/>
      <c r="B46" s="159"/>
      <c r="C46" s="120"/>
      <c r="D46" s="54" t="str">
        <f>IF(G46=0,"",C43&amp;"-"&amp;G46)</f>
        <v/>
      </c>
      <c r="E46" s="54" t="str">
        <f>IF(G46="","",IF(LEN(LEFT(C43,SEARCH("0",C43,1)-1))&lt;2,RIGHT(LEFT(C43,SEARCH("0",C43,1)-1),1)&amp;INT(RIGHT(C43,4)),RIGHT(LEFT(C43,SEARCH("0",C43,1)-1),1)&amp;INT(RIGHT(C43,4))))</f>
        <v/>
      </c>
      <c r="F46" s="8" t="str">
        <f>IF(G46=0,"",VLOOKUP(D46,[1]Worksheet!$A:$C,3,0))</f>
        <v/>
      </c>
      <c r="G46" s="10"/>
      <c r="H46" s="10"/>
      <c r="I46" s="22"/>
      <c r="J46" s="68" t="str">
        <f t="shared" si="30"/>
        <v/>
      </c>
      <c r="K46" s="94"/>
      <c r="L46" s="94"/>
      <c r="M46" s="82"/>
      <c r="N46" s="43">
        <f t="shared" si="2"/>
        <v>0</v>
      </c>
      <c r="O46" s="28">
        <f t="shared" si="74"/>
        <v>0</v>
      </c>
      <c r="P46" s="111"/>
      <c r="Q46" s="32">
        <f t="shared" si="75"/>
        <v>0</v>
      </c>
      <c r="R46" s="114"/>
      <c r="S46" s="100" t="str">
        <f>IFERROR(VLOOKUP(D46,[1]Worksheet!$A:$F,6,0),"")</f>
        <v/>
      </c>
      <c r="T46" s="117"/>
      <c r="U46" s="78" t="str">
        <f t="shared" si="76"/>
        <v/>
      </c>
      <c r="V46" t="str">
        <f t="shared" si="77"/>
        <v/>
      </c>
    </row>
    <row r="47" spans="1:22" ht="32.450000000000003" customHeight="1" thickBot="1">
      <c r="A47" s="157"/>
      <c r="B47" s="160"/>
      <c r="C47" s="121"/>
      <c r="D47" s="55" t="str">
        <f>IF(G47=0,"",C43&amp;"-"&amp;G47)</f>
        <v/>
      </c>
      <c r="E47" s="55" t="str">
        <f>IF(G47="","",IF(LEN(LEFT(C43,SEARCH("0",C43,1)-1))&lt;2,RIGHT(LEFT(C43,SEARCH("0",C43,1)-1),1)&amp;INT(RIGHT(C43,4)),RIGHT(LEFT(C43,SEARCH("0",C43,1)-1),1)&amp;INT(RIGHT(C43,4))))</f>
        <v/>
      </c>
      <c r="F47" s="11" t="str">
        <f>IF(G47=0,"",VLOOKUP(D47,[1]Worksheet!$A:$C,3,0))</f>
        <v/>
      </c>
      <c r="G47" s="12"/>
      <c r="H47" s="12"/>
      <c r="I47" s="23"/>
      <c r="J47" s="90" t="str">
        <f t="shared" si="30"/>
        <v/>
      </c>
      <c r="K47" s="95"/>
      <c r="L47" s="95"/>
      <c r="M47" s="80"/>
      <c r="N47" s="45">
        <f t="shared" si="2"/>
        <v>0</v>
      </c>
      <c r="O47" s="29">
        <f t="shared" si="74"/>
        <v>0</v>
      </c>
      <c r="P47" s="112"/>
      <c r="Q47" s="36">
        <f t="shared" si="75"/>
        <v>0</v>
      </c>
      <c r="R47" s="115"/>
      <c r="S47" s="100" t="str">
        <f>IFERROR(VLOOKUP(D47,[1]Worksheet!$A:$F,6,0),"")</f>
        <v/>
      </c>
      <c r="T47" s="118"/>
      <c r="U47" s="78" t="str">
        <f t="shared" si="76"/>
        <v/>
      </c>
      <c r="V47" t="str">
        <f t="shared" si="77"/>
        <v/>
      </c>
    </row>
    <row r="48" spans="1:22" ht="32.450000000000003" customHeight="1">
      <c r="A48" s="155">
        <f>A43+1</f>
        <v>10</v>
      </c>
      <c r="B48" s="158"/>
      <c r="C48" s="119"/>
      <c r="D48" s="53" t="str">
        <f>IF(G48=0,"",C48&amp;"-"&amp;G48)</f>
        <v/>
      </c>
      <c r="E48" s="53" t="str">
        <f>IF(G48="","",IF(LEN(LEFT(C48,SEARCH("0",C48,1)-1))&lt;2,RIGHT(LEFT(C48,SEARCH("0",C48,1)-1),1)&amp;INT(RIGHT(C48,4)),RIGHT(LEFT(C48,SEARCH("0",C48,1)-1),1)&amp;INT(RIGHT(C48,4))))</f>
        <v/>
      </c>
      <c r="F48" s="2" t="str">
        <f>IF(G48=0,"",VLOOKUP(D48,[1]Worksheet!$A:$C,3,0))</f>
        <v/>
      </c>
      <c r="G48" s="88"/>
      <c r="H48" s="4"/>
      <c r="I48" s="20"/>
      <c r="J48" s="89" t="str">
        <f t="shared" si="30"/>
        <v/>
      </c>
      <c r="K48" s="93"/>
      <c r="L48" s="93"/>
      <c r="M48" s="79"/>
      <c r="N48" s="42">
        <f t="shared" si="2"/>
        <v>0</v>
      </c>
      <c r="O48" s="27">
        <f t="shared" si="74"/>
        <v>0</v>
      </c>
      <c r="P48" s="110">
        <f>SUM(O48:O52)</f>
        <v>0</v>
      </c>
      <c r="Q48" s="35">
        <f t="shared" si="75"/>
        <v>0</v>
      </c>
      <c r="R48" s="113">
        <f>SUM(Q48:Q52)</f>
        <v>0</v>
      </c>
      <c r="S48" s="100" t="str">
        <f>IFERROR(VLOOKUP(D48,[1]Worksheet!$A:$F,6,0),"")</f>
        <v/>
      </c>
      <c r="T48" s="116" t="str">
        <f t="shared" ref="T48" si="80">IF(P48=R48,"",IF(P48&gt;R48,"Loss",IF(P48&lt;R48,"Over")))</f>
        <v/>
      </c>
      <c r="U48" s="78" t="str">
        <f t="shared" si="76"/>
        <v/>
      </c>
      <c r="V48" t="str">
        <f t="shared" si="77"/>
        <v/>
      </c>
    </row>
    <row r="49" spans="1:27" ht="32.450000000000003" customHeight="1">
      <c r="A49" s="156"/>
      <c r="B49" s="159"/>
      <c r="C49" s="120"/>
      <c r="D49" s="54" t="str">
        <f>IF(G49=0,"",C48&amp;"-"&amp;G49)</f>
        <v/>
      </c>
      <c r="E49" s="54" t="str">
        <f>IF(G49="","",IF(LEN(LEFT(C48,SEARCH("0",C48,1)-1))&lt;2,RIGHT(LEFT(C48,SEARCH("0",C48,1)-1),1)&amp;INT(RIGHT(C48,4)),RIGHT(LEFT(C48,SEARCH("0",C48,1)-1),1)&amp;INT(RIGHT(C48,4))))</f>
        <v/>
      </c>
      <c r="F49" s="5" t="str">
        <f>IF(G49=0,"",VLOOKUP(D49,[1]Worksheet!$A:$C,3,0))</f>
        <v/>
      </c>
      <c r="G49" s="9"/>
      <c r="H49" s="7"/>
      <c r="I49" s="21"/>
      <c r="J49" s="68" t="str">
        <f t="shared" si="30"/>
        <v/>
      </c>
      <c r="K49" s="94"/>
      <c r="L49" s="94"/>
      <c r="M49" s="81"/>
      <c r="N49" s="43">
        <f t="shared" si="2"/>
        <v>0</v>
      </c>
      <c r="O49" s="28">
        <f t="shared" si="74"/>
        <v>0</v>
      </c>
      <c r="P49" s="111"/>
      <c r="Q49" s="32">
        <f t="shared" si="75"/>
        <v>0</v>
      </c>
      <c r="R49" s="114"/>
      <c r="S49" s="100" t="str">
        <f>IFERROR(VLOOKUP(D49,[1]Worksheet!$A:$F,6,0),"")</f>
        <v/>
      </c>
      <c r="T49" s="117"/>
      <c r="U49" s="78" t="str">
        <f t="shared" si="76"/>
        <v/>
      </c>
      <c r="V49" t="str">
        <f t="shared" si="77"/>
        <v/>
      </c>
    </row>
    <row r="50" spans="1:27" ht="32.450000000000003" customHeight="1">
      <c r="A50" s="156"/>
      <c r="B50" s="159"/>
      <c r="C50" s="120"/>
      <c r="D50" s="54" t="str">
        <f>IF(G50=0,"",C48&amp;"-"&amp;G50)</f>
        <v/>
      </c>
      <c r="E50" s="54" t="str">
        <f>IF(G50="","",IF(LEN(LEFT(C48,SEARCH("0",C48,1)-1))&lt;2,RIGHT(LEFT(C48,SEARCH("0",C48,1)-1),1)&amp;INT(RIGHT(C48,4)),RIGHT(LEFT(C48,SEARCH("0",C48,1)-1),1)&amp;INT(RIGHT(C48,4))))</f>
        <v/>
      </c>
      <c r="F50" s="8" t="str">
        <f>IF(G50=0,"",VLOOKUP(D50,[1]Worksheet!$A:$C,3,0))</f>
        <v/>
      </c>
      <c r="G50" s="9"/>
      <c r="H50" s="10"/>
      <c r="I50" s="22"/>
      <c r="J50" s="68" t="str">
        <f t="shared" si="30"/>
        <v/>
      </c>
      <c r="K50" s="94"/>
      <c r="L50" s="94"/>
      <c r="M50" s="81"/>
      <c r="N50" s="44">
        <f t="shared" si="2"/>
        <v>0</v>
      </c>
      <c r="O50" s="28">
        <f t="shared" si="74"/>
        <v>0</v>
      </c>
      <c r="P50" s="111"/>
      <c r="Q50" s="32">
        <f t="shared" si="75"/>
        <v>0</v>
      </c>
      <c r="R50" s="114"/>
      <c r="S50" s="100" t="str">
        <f>IFERROR(VLOOKUP(D50,[1]Worksheet!$A:$F,6,0),"")</f>
        <v/>
      </c>
      <c r="T50" s="117"/>
      <c r="U50" s="78" t="str">
        <f t="shared" si="76"/>
        <v/>
      </c>
      <c r="V50" t="str">
        <f t="shared" si="77"/>
        <v/>
      </c>
      <c r="Y50" s="63"/>
      <c r="Z50" s="63"/>
      <c r="AA50" s="63"/>
    </row>
    <row r="51" spans="1:27" ht="32.450000000000003" customHeight="1">
      <c r="A51" s="156"/>
      <c r="B51" s="159"/>
      <c r="C51" s="120"/>
      <c r="D51" s="54" t="str">
        <f>IF(G51=0,"",C48&amp;"-"&amp;G51)</f>
        <v/>
      </c>
      <c r="E51" s="54" t="str">
        <f>IF(G51="","",IF(LEN(LEFT(C48,SEARCH("0",C48,1)-1))&lt;2,RIGHT(LEFT(C48,SEARCH("0",C48,1)-1),1)&amp;INT(RIGHT(C48,4)),RIGHT(LEFT(C48,SEARCH("0",C48,1)-1),1)&amp;INT(RIGHT(C48,4))))</f>
        <v/>
      </c>
      <c r="F51" s="8" t="str">
        <f>IF(G51=0,"",VLOOKUP(D51,[1]Worksheet!$A:$C,3,0))</f>
        <v/>
      </c>
      <c r="G51" s="10"/>
      <c r="H51" s="10"/>
      <c r="I51" s="22"/>
      <c r="J51" s="68" t="str">
        <f t="shared" si="30"/>
        <v/>
      </c>
      <c r="K51" s="94"/>
      <c r="L51" s="94"/>
      <c r="M51" s="82"/>
      <c r="N51" s="43">
        <f t="shared" si="2"/>
        <v>0</v>
      </c>
      <c r="O51" s="28">
        <f t="shared" si="74"/>
        <v>0</v>
      </c>
      <c r="P51" s="111"/>
      <c r="Q51" s="32">
        <f t="shared" si="75"/>
        <v>0</v>
      </c>
      <c r="R51" s="114"/>
      <c r="S51" s="100" t="str">
        <f>IFERROR(VLOOKUP(D51,[1]Worksheet!$A:$F,6,0),"")</f>
        <v/>
      </c>
      <c r="T51" s="117"/>
      <c r="U51" s="78" t="str">
        <f t="shared" si="76"/>
        <v/>
      </c>
      <c r="V51" t="str">
        <f t="shared" si="77"/>
        <v/>
      </c>
    </row>
    <row r="52" spans="1:27" ht="32.450000000000003" customHeight="1" thickBot="1">
      <c r="A52" s="157"/>
      <c r="B52" s="160"/>
      <c r="C52" s="121"/>
      <c r="D52" s="55" t="str">
        <f>IF(G52=0,"",C48&amp;"-"&amp;G52)</f>
        <v/>
      </c>
      <c r="E52" s="55" t="str">
        <f>IF(G52="","",IF(LEN(LEFT(C48,SEARCH("0",C48,1)-1))&lt;2,RIGHT(LEFT(C48,SEARCH("0",C48,1)-1),1)&amp;INT(RIGHT(C48,4)),RIGHT(LEFT(C48,SEARCH("0",C48,1)-1),1)&amp;INT(RIGHT(C48,4))))</f>
        <v/>
      </c>
      <c r="F52" s="11" t="str">
        <f>IF(G52=0,"",VLOOKUP(D52,[1]Worksheet!$A:$C,3,0))</f>
        <v/>
      </c>
      <c r="G52" s="12"/>
      <c r="H52" s="12"/>
      <c r="I52" s="23"/>
      <c r="J52" s="90" t="str">
        <f t="shared" si="30"/>
        <v/>
      </c>
      <c r="K52" s="95"/>
      <c r="L52" s="95"/>
      <c r="M52" s="80"/>
      <c r="N52" s="45">
        <f t="shared" si="2"/>
        <v>0</v>
      </c>
      <c r="O52" s="29">
        <f t="shared" si="74"/>
        <v>0</v>
      </c>
      <c r="P52" s="112"/>
      <c r="Q52" s="36">
        <f t="shared" si="75"/>
        <v>0</v>
      </c>
      <c r="R52" s="115"/>
      <c r="S52" s="100" t="str">
        <f>IFERROR(VLOOKUP(D52,[1]Worksheet!$A:$F,6,0),"")</f>
        <v/>
      </c>
      <c r="T52" s="118"/>
      <c r="U52" s="78" t="str">
        <f t="shared" si="76"/>
        <v/>
      </c>
      <c r="V52" t="str">
        <f t="shared" si="77"/>
        <v/>
      </c>
    </row>
    <row r="53" spans="1:27" ht="32.450000000000003" customHeight="1">
      <c r="A53" s="102">
        <f>A48+1</f>
        <v>11</v>
      </c>
      <c r="B53" s="122"/>
      <c r="C53" s="119"/>
      <c r="D53" s="53" t="str">
        <f>IF(G53=0,"",C53&amp;"-"&amp;G53)</f>
        <v/>
      </c>
      <c r="E53" s="53" t="str">
        <f>IF(G53="","",IF(LEN(LEFT(C53,SEARCH("0",C53,1)-1))&lt;2,RIGHT(LEFT(C53,SEARCH("0",C53,1)-1),1)&amp;INT(RIGHT(C53,4)),RIGHT(LEFT(C53,SEARCH("0",C53,1)-1),1)&amp;INT(RIGHT(C53,4))))</f>
        <v/>
      </c>
      <c r="F53" s="2" t="str">
        <f>IF(G53=0,"",VLOOKUP(D53,[1]Worksheet!$A:$C,3,0))</f>
        <v/>
      </c>
      <c r="G53" s="88"/>
      <c r="H53" s="4"/>
      <c r="I53" s="20"/>
      <c r="J53" s="89" t="str">
        <f t="shared" si="30"/>
        <v/>
      </c>
      <c r="K53" s="93"/>
      <c r="L53" s="93"/>
      <c r="M53" s="79"/>
      <c r="N53" s="42">
        <f t="shared" si="2"/>
        <v>0</v>
      </c>
      <c r="O53" s="27">
        <f t="shared" si="74"/>
        <v>0</v>
      </c>
      <c r="P53" s="110">
        <f>SUM(O53:O57)</f>
        <v>0</v>
      </c>
      <c r="Q53" s="35">
        <f t="shared" si="75"/>
        <v>0</v>
      </c>
      <c r="R53" s="113">
        <f>SUM(Q53:Q57)</f>
        <v>0</v>
      </c>
      <c r="S53" s="100" t="str">
        <f>IFERROR(VLOOKUP(D53,[1]Worksheet!$A:$F,6,0),"")</f>
        <v/>
      </c>
      <c r="T53" s="116" t="str">
        <f t="shared" ref="T53" si="81">IF(P53=R53,"",IF(P53&gt;R53,"Loss",IF(P53&lt;R53,"Over")))</f>
        <v/>
      </c>
      <c r="U53" s="78" t="str">
        <f t="shared" si="76"/>
        <v/>
      </c>
      <c r="V53" t="str">
        <f t="shared" si="77"/>
        <v/>
      </c>
    </row>
    <row r="54" spans="1:27" ht="32.450000000000003" customHeight="1">
      <c r="A54" s="103"/>
      <c r="B54" s="107"/>
      <c r="C54" s="120"/>
      <c r="D54" s="54" t="str">
        <f>IF(G54=0,"",C53&amp;"-"&amp;G54)</f>
        <v/>
      </c>
      <c r="E54" s="54" t="str">
        <f>IF(G54="","",IF(LEN(LEFT(C53,SEARCH("0",C53,1)-1))&lt;2,RIGHT(LEFT(C53,SEARCH("0",C53,1)-1),1)&amp;INT(RIGHT(C53,4)),RIGHT(LEFT(C53,SEARCH("0",C53,1)-1),1)&amp;INT(RIGHT(C53,4))))</f>
        <v/>
      </c>
      <c r="F54" s="5" t="str">
        <f>IF(G54=0,"",VLOOKUP(D54,[1]Worksheet!$A:$C,3,0))</f>
        <v/>
      </c>
      <c r="G54" s="9"/>
      <c r="H54" s="7"/>
      <c r="I54" s="21"/>
      <c r="J54" s="68" t="str">
        <f t="shared" si="30"/>
        <v/>
      </c>
      <c r="K54" s="94"/>
      <c r="L54" s="94"/>
      <c r="M54" s="81"/>
      <c r="N54" s="43">
        <f t="shared" si="2"/>
        <v>0</v>
      </c>
      <c r="O54" s="28">
        <f t="shared" si="74"/>
        <v>0</v>
      </c>
      <c r="P54" s="111"/>
      <c r="Q54" s="32">
        <f t="shared" si="75"/>
        <v>0</v>
      </c>
      <c r="R54" s="114"/>
      <c r="S54" s="100" t="str">
        <f>IFERROR(VLOOKUP(D54,[1]Worksheet!$A:$F,6,0),"")</f>
        <v/>
      </c>
      <c r="T54" s="117"/>
      <c r="U54" s="78" t="str">
        <f t="shared" si="76"/>
        <v/>
      </c>
      <c r="V54" t="str">
        <f t="shared" si="77"/>
        <v/>
      </c>
    </row>
    <row r="55" spans="1:27" ht="32.450000000000003" customHeight="1">
      <c r="A55" s="104"/>
      <c r="B55" s="108"/>
      <c r="C55" s="120"/>
      <c r="D55" s="54" t="str">
        <f>IF(G55=0,"",C53&amp;"-"&amp;G55)</f>
        <v/>
      </c>
      <c r="E55" s="54" t="str">
        <f>IF(G55="","",IF(LEN(LEFT(C53,SEARCH("0",C53,1)-1))&lt;2,RIGHT(LEFT(C53,SEARCH("0",C53,1)-1),1)&amp;INT(RIGHT(C53,4)),RIGHT(LEFT(C53,SEARCH("0",C53,1)-1),1)&amp;INT(RIGHT(C53,4))))</f>
        <v/>
      </c>
      <c r="F55" s="8" t="str">
        <f>IF(G55=0,"",VLOOKUP(D55,[1]Worksheet!$A:$C,3,0))</f>
        <v/>
      </c>
      <c r="G55" s="9"/>
      <c r="H55" s="10"/>
      <c r="I55" s="22"/>
      <c r="J55" s="68" t="str">
        <f t="shared" si="30"/>
        <v/>
      </c>
      <c r="K55" s="94"/>
      <c r="L55" s="94"/>
      <c r="M55" s="81"/>
      <c r="N55" s="44">
        <f t="shared" si="2"/>
        <v>0</v>
      </c>
      <c r="O55" s="28">
        <f t="shared" si="74"/>
        <v>0</v>
      </c>
      <c r="P55" s="111"/>
      <c r="Q55" s="32">
        <f t="shared" si="75"/>
        <v>0</v>
      </c>
      <c r="R55" s="114"/>
      <c r="S55" s="100" t="str">
        <f>IFERROR(VLOOKUP(D55,[1]Worksheet!$A:$F,6,0),"")</f>
        <v/>
      </c>
      <c r="T55" s="117"/>
      <c r="U55" s="78" t="str">
        <f t="shared" si="76"/>
        <v/>
      </c>
      <c r="V55" t="str">
        <f t="shared" si="77"/>
        <v/>
      </c>
    </row>
    <row r="56" spans="1:27" ht="32.450000000000003" customHeight="1">
      <c r="A56" s="104"/>
      <c r="B56" s="108"/>
      <c r="C56" s="120"/>
      <c r="D56" s="54" t="str">
        <f>IF(G56=0,"",C53&amp;"-"&amp;G56)</f>
        <v/>
      </c>
      <c r="E56" s="54" t="str">
        <f>IF(G56="","",IF(LEN(LEFT(C53,SEARCH("0",C53,1)-1))&lt;2,RIGHT(LEFT(C53,SEARCH("0",C53,1)-1),1)&amp;INT(RIGHT(C53,4)),RIGHT(LEFT(C53,SEARCH("0",C53,1)-1),1)&amp;INT(RIGHT(C53,4))))</f>
        <v/>
      </c>
      <c r="F56" s="8" t="str">
        <f>IF(G56=0,"",VLOOKUP(D56,[1]Worksheet!$A:$C,3,0))</f>
        <v/>
      </c>
      <c r="G56" s="10"/>
      <c r="H56" s="10"/>
      <c r="I56" s="22"/>
      <c r="J56" s="68" t="str">
        <f t="shared" si="30"/>
        <v/>
      </c>
      <c r="K56" s="94"/>
      <c r="L56" s="94"/>
      <c r="M56" s="82"/>
      <c r="N56" s="43">
        <f t="shared" si="2"/>
        <v>0</v>
      </c>
      <c r="O56" s="28">
        <f t="shared" si="74"/>
        <v>0</v>
      </c>
      <c r="P56" s="111"/>
      <c r="Q56" s="32">
        <f t="shared" si="75"/>
        <v>0</v>
      </c>
      <c r="R56" s="114"/>
      <c r="S56" s="100" t="str">
        <f>IFERROR(VLOOKUP(D56,[1]Worksheet!$A:$F,6,0),"")</f>
        <v/>
      </c>
      <c r="T56" s="117"/>
      <c r="U56" s="78" t="str">
        <f t="shared" si="76"/>
        <v/>
      </c>
      <c r="V56" t="str">
        <f t="shared" si="77"/>
        <v/>
      </c>
    </row>
    <row r="57" spans="1:27" ht="32.450000000000003" customHeight="1" thickBot="1">
      <c r="A57" s="105"/>
      <c r="B57" s="109"/>
      <c r="C57" s="121"/>
      <c r="D57" s="55" t="str">
        <f>IF(G57=0,"",C53&amp;"-"&amp;G57)</f>
        <v/>
      </c>
      <c r="E57" s="55" t="str">
        <f>IF(G57="","",IF(LEN(LEFT(C53,SEARCH("0",C53,1)-1))&lt;2,RIGHT(LEFT(C53,SEARCH("0",C53,1)-1),1)&amp;INT(RIGHT(C53,4)),RIGHT(LEFT(C53,SEARCH("0",C53,1)-1),1)&amp;INT(RIGHT(C53,4))))</f>
        <v/>
      </c>
      <c r="F57" s="11" t="str">
        <f>IF(G57=0,"",VLOOKUP(D57,[1]Worksheet!$A:$C,3,0))</f>
        <v/>
      </c>
      <c r="G57" s="12"/>
      <c r="H57" s="12"/>
      <c r="I57" s="23"/>
      <c r="J57" s="90" t="str">
        <f t="shared" si="30"/>
        <v/>
      </c>
      <c r="K57" s="95"/>
      <c r="L57" s="95"/>
      <c r="M57" s="80"/>
      <c r="N57" s="45">
        <f t="shared" si="2"/>
        <v>0</v>
      </c>
      <c r="O57" s="29">
        <f t="shared" si="74"/>
        <v>0</v>
      </c>
      <c r="P57" s="112"/>
      <c r="Q57" s="36">
        <f t="shared" si="75"/>
        <v>0</v>
      </c>
      <c r="R57" s="115"/>
      <c r="S57" s="100" t="str">
        <f>IFERROR(VLOOKUP(D57,[1]Worksheet!$A:$F,6,0),"")</f>
        <v/>
      </c>
      <c r="T57" s="118"/>
      <c r="U57" s="78" t="str">
        <f t="shared" si="76"/>
        <v/>
      </c>
      <c r="V57" t="str">
        <f t="shared" si="77"/>
        <v/>
      </c>
    </row>
    <row r="58" spans="1:27" ht="32.450000000000003" customHeight="1">
      <c r="A58" s="102">
        <f>A53+1</f>
        <v>12</v>
      </c>
      <c r="B58" s="106"/>
      <c r="C58" s="119"/>
      <c r="D58" s="53" t="str">
        <f>IF(G58=0,"",C58&amp;"-"&amp;G58)</f>
        <v/>
      </c>
      <c r="E58" s="53" t="str">
        <f>IF(G58="","",IF(LEN(LEFT(C58,SEARCH("0",C58,1)-1))&lt;2,RIGHT(LEFT(C58,SEARCH("0",C58,1)-1),1)&amp;INT(RIGHT(C58,4)),RIGHT(LEFT(C58,SEARCH("0",C58,1)-1),1)&amp;INT(RIGHT(C58,4))))</f>
        <v/>
      </c>
      <c r="F58" s="2" t="str">
        <f>IF(G58=0,"",VLOOKUP(D58,[1]Worksheet!$A:$C,3,0))</f>
        <v/>
      </c>
      <c r="G58" s="88"/>
      <c r="H58" s="4"/>
      <c r="I58" s="20"/>
      <c r="J58" s="89" t="str">
        <f t="shared" si="30"/>
        <v/>
      </c>
      <c r="K58" s="93"/>
      <c r="L58" s="93"/>
      <c r="M58" s="79"/>
      <c r="N58" s="42">
        <f t="shared" si="2"/>
        <v>0</v>
      </c>
      <c r="O58" s="27">
        <f t="shared" si="74"/>
        <v>0</v>
      </c>
      <c r="P58" s="110">
        <f>SUM(O58:O62)</f>
        <v>0</v>
      </c>
      <c r="Q58" s="35">
        <f t="shared" si="75"/>
        <v>0</v>
      </c>
      <c r="R58" s="113">
        <f>SUM(Q58:Q62)</f>
        <v>0</v>
      </c>
      <c r="S58" s="100" t="str">
        <f>IFERROR(VLOOKUP(D58,[1]Worksheet!$A:$F,6,0),"")</f>
        <v/>
      </c>
      <c r="T58" s="116" t="str">
        <f t="shared" ref="T58" si="82">IF(P58=R58,"",IF(P58&gt;R58,"Loss",IF(P58&lt;R58,"Over")))</f>
        <v/>
      </c>
      <c r="U58" s="78" t="str">
        <f t="shared" si="76"/>
        <v/>
      </c>
      <c r="V58" t="str">
        <f t="shared" si="77"/>
        <v/>
      </c>
    </row>
    <row r="59" spans="1:27" ht="32.450000000000003" customHeight="1">
      <c r="A59" s="103"/>
      <c r="B59" s="107"/>
      <c r="C59" s="120"/>
      <c r="D59" s="54" t="str">
        <f>IF(G59=0,"",C58&amp;"-"&amp;G59)</f>
        <v/>
      </c>
      <c r="E59" s="54" t="str">
        <f>IF(G59="","",IF(LEN(LEFT(C58,SEARCH("0",C58,1)-1))&lt;2,RIGHT(LEFT(C58,SEARCH("0",C58,1)-1),1)&amp;INT(RIGHT(C58,4)),RIGHT(LEFT(C58,SEARCH("0",C58,1)-1),1)&amp;INT(RIGHT(C58,4))))</f>
        <v/>
      </c>
      <c r="F59" s="5" t="str">
        <f>IF(G59=0,"",VLOOKUP(D59,[1]Worksheet!$A:$C,3,0))</f>
        <v/>
      </c>
      <c r="G59" s="9"/>
      <c r="H59" s="7"/>
      <c r="I59" s="21"/>
      <c r="J59" s="68" t="str">
        <f t="shared" si="30"/>
        <v/>
      </c>
      <c r="K59" s="94"/>
      <c r="L59" s="94"/>
      <c r="M59" s="81"/>
      <c r="N59" s="43">
        <f t="shared" si="2"/>
        <v>0</v>
      </c>
      <c r="O59" s="28">
        <f t="shared" si="74"/>
        <v>0</v>
      </c>
      <c r="P59" s="111"/>
      <c r="Q59" s="32">
        <f t="shared" si="75"/>
        <v>0</v>
      </c>
      <c r="R59" s="114"/>
      <c r="S59" s="100" t="str">
        <f>IFERROR(VLOOKUP(D59,[1]Worksheet!$A:$F,6,0),"")</f>
        <v/>
      </c>
      <c r="T59" s="117"/>
      <c r="U59" s="78" t="str">
        <f t="shared" si="76"/>
        <v/>
      </c>
      <c r="V59" t="str">
        <f t="shared" si="77"/>
        <v/>
      </c>
    </row>
    <row r="60" spans="1:27" ht="32.450000000000003" customHeight="1">
      <c r="A60" s="104"/>
      <c r="B60" s="108"/>
      <c r="C60" s="120"/>
      <c r="D60" s="54" t="str">
        <f>IF(G60=0,"",C58&amp;"-"&amp;G60)</f>
        <v/>
      </c>
      <c r="E60" s="54" t="str">
        <f>IF(G60="","",IF(LEN(LEFT(C58,SEARCH("0",C58,1)-1))&lt;2,RIGHT(LEFT(C58,SEARCH("0",C58,1)-1),1)&amp;INT(RIGHT(C58,4)),RIGHT(LEFT(C58,SEARCH("0",C58,1)-1),1)&amp;INT(RIGHT(C58,4))))</f>
        <v/>
      </c>
      <c r="F60" s="8" t="str">
        <f>IF(G60=0,"",VLOOKUP(D60,[1]Worksheet!$A:$C,3,0))</f>
        <v/>
      </c>
      <c r="G60" s="9"/>
      <c r="H60" s="10"/>
      <c r="I60" s="22"/>
      <c r="J60" s="68" t="str">
        <f t="shared" si="30"/>
        <v/>
      </c>
      <c r="K60" s="94"/>
      <c r="L60" s="94"/>
      <c r="M60" s="81"/>
      <c r="N60" s="44">
        <f t="shared" si="2"/>
        <v>0</v>
      </c>
      <c r="O60" s="28">
        <f t="shared" si="74"/>
        <v>0</v>
      </c>
      <c r="P60" s="111"/>
      <c r="Q60" s="32">
        <f t="shared" si="75"/>
        <v>0</v>
      </c>
      <c r="R60" s="114"/>
      <c r="S60" s="100" t="str">
        <f>IFERROR(VLOOKUP(D60,[1]Worksheet!$A:$F,6,0),"")</f>
        <v/>
      </c>
      <c r="T60" s="117"/>
      <c r="U60" s="78" t="str">
        <f t="shared" si="76"/>
        <v/>
      </c>
      <c r="V60" t="str">
        <f t="shared" si="77"/>
        <v/>
      </c>
    </row>
    <row r="61" spans="1:27" ht="32.450000000000003" customHeight="1">
      <c r="A61" s="104"/>
      <c r="B61" s="108"/>
      <c r="C61" s="120"/>
      <c r="D61" s="54" t="str">
        <f>IF(G61=0,"",C58&amp;"-"&amp;G61)</f>
        <v/>
      </c>
      <c r="E61" s="54" t="str">
        <f>IF(G61="","",IF(LEN(LEFT(C58,SEARCH("0",C58,1)-1))&lt;2,RIGHT(LEFT(C58,SEARCH("0",C58,1)-1),1)&amp;INT(RIGHT(C58,4)),RIGHT(LEFT(C58,SEARCH("0",C58,1)-1),1)&amp;INT(RIGHT(C58,4))))</f>
        <v/>
      </c>
      <c r="F61" s="8" t="str">
        <f>IF(G61=0,"",VLOOKUP(D61,[1]Worksheet!$A:$C,3,0))</f>
        <v/>
      </c>
      <c r="G61" s="10"/>
      <c r="H61" s="10"/>
      <c r="I61" s="22"/>
      <c r="J61" s="68" t="str">
        <f t="shared" si="30"/>
        <v/>
      </c>
      <c r="K61" s="94"/>
      <c r="L61" s="94"/>
      <c r="M61" s="82"/>
      <c r="N61" s="43">
        <f t="shared" si="2"/>
        <v>0</v>
      </c>
      <c r="O61" s="28">
        <f t="shared" si="74"/>
        <v>0</v>
      </c>
      <c r="P61" s="111"/>
      <c r="Q61" s="32">
        <f t="shared" si="75"/>
        <v>0</v>
      </c>
      <c r="R61" s="114"/>
      <c r="S61" s="100" t="str">
        <f>IFERROR(VLOOKUP(D61,[1]Worksheet!$A:$F,6,0),"")</f>
        <v/>
      </c>
      <c r="T61" s="117"/>
      <c r="U61" s="78" t="str">
        <f t="shared" si="76"/>
        <v/>
      </c>
      <c r="V61" t="str">
        <f t="shared" si="77"/>
        <v/>
      </c>
    </row>
    <row r="62" spans="1:27" ht="32.450000000000003" customHeight="1" thickBot="1">
      <c r="A62" s="105"/>
      <c r="B62" s="109"/>
      <c r="C62" s="121"/>
      <c r="D62" s="55" t="str">
        <f>IF(G62=0,"",C58&amp;"-"&amp;G62)</f>
        <v/>
      </c>
      <c r="E62" s="55" t="str">
        <f>IF(G62="","",IF(LEN(LEFT(C58,SEARCH("0",C58,1)-1))&lt;2,RIGHT(LEFT(C58,SEARCH("0",C58,1)-1),1)&amp;INT(RIGHT(C58,4)),RIGHT(LEFT(C58,SEARCH("0",C58,1)-1),1)&amp;INT(RIGHT(C58,4))))</f>
        <v/>
      </c>
      <c r="F62" s="11" t="str">
        <f>IF(G62=0,"",VLOOKUP(D62,[1]Worksheet!$A:$C,3,0))</f>
        <v/>
      </c>
      <c r="G62" s="12"/>
      <c r="H62" s="12"/>
      <c r="I62" s="23"/>
      <c r="J62" s="90" t="str">
        <f t="shared" si="30"/>
        <v/>
      </c>
      <c r="K62" s="95"/>
      <c r="L62" s="95"/>
      <c r="M62" s="80"/>
      <c r="N62" s="45">
        <f t="shared" si="2"/>
        <v>0</v>
      </c>
      <c r="O62" s="29">
        <f t="shared" si="74"/>
        <v>0</v>
      </c>
      <c r="P62" s="112"/>
      <c r="Q62" s="36">
        <f t="shared" si="75"/>
        <v>0</v>
      </c>
      <c r="R62" s="115"/>
      <c r="S62" s="100" t="str">
        <f>IFERROR(VLOOKUP(D62,[1]Worksheet!$A:$F,6,0),"")</f>
        <v/>
      </c>
      <c r="T62" s="118"/>
      <c r="U62" s="78" t="str">
        <f t="shared" si="76"/>
        <v/>
      </c>
      <c r="V62" t="str">
        <f t="shared" si="77"/>
        <v/>
      </c>
    </row>
    <row r="63" spans="1:27" ht="32.450000000000003" customHeight="1">
      <c r="A63" s="102">
        <f>A58+1</f>
        <v>13</v>
      </c>
      <c r="B63" s="106"/>
      <c r="C63" s="119"/>
      <c r="D63" s="53" t="str">
        <f>IF(G63=0,"",C63&amp;"-"&amp;G63)</f>
        <v/>
      </c>
      <c r="E63" s="53" t="str">
        <f>IF(G63="","",IF(LEN(LEFT(C63,SEARCH("0",C63,1)-1))&lt;2,RIGHT(LEFT(C63,SEARCH("0",C63,1)-1),1)&amp;INT(RIGHT(C63,4)),RIGHT(LEFT(C63,SEARCH("0",C63,1)-1),1)&amp;INT(RIGHT(C63,4))))</f>
        <v/>
      </c>
      <c r="F63" s="2" t="str">
        <f>IF(G63=0,"",VLOOKUP(D63,[1]Worksheet!$A:$C,3,0))</f>
        <v/>
      </c>
      <c r="G63" s="88"/>
      <c r="H63" s="4"/>
      <c r="I63" s="20"/>
      <c r="J63" s="89" t="str">
        <f t="shared" si="30"/>
        <v/>
      </c>
      <c r="K63" s="93"/>
      <c r="L63" s="93"/>
      <c r="M63" s="79"/>
      <c r="N63" s="42">
        <f t="shared" si="2"/>
        <v>0</v>
      </c>
      <c r="O63" s="27">
        <f t="shared" si="74"/>
        <v>0</v>
      </c>
      <c r="P63" s="110">
        <f>SUM(O63:O67)</f>
        <v>0</v>
      </c>
      <c r="Q63" s="35">
        <f t="shared" si="75"/>
        <v>0</v>
      </c>
      <c r="R63" s="113">
        <f>SUM(Q63:Q67)</f>
        <v>0</v>
      </c>
      <c r="S63" s="100" t="str">
        <f>IFERROR(VLOOKUP(D63,[1]Worksheet!$A:$F,6,0),"")</f>
        <v/>
      </c>
      <c r="T63" s="116" t="str">
        <f t="shared" ref="T63" si="83">IF(P63=R63,"",IF(P63&gt;R63,"Loss",IF(P63&lt;R63,"Over")))</f>
        <v/>
      </c>
      <c r="U63" s="78" t="str">
        <f t="shared" si="76"/>
        <v/>
      </c>
      <c r="V63" t="str">
        <f t="shared" si="77"/>
        <v/>
      </c>
    </row>
    <row r="64" spans="1:27" ht="32.450000000000003" customHeight="1">
      <c r="A64" s="103"/>
      <c r="B64" s="107"/>
      <c r="C64" s="120"/>
      <c r="D64" s="54" t="str">
        <f>IF(G64=0,"",C63&amp;"-"&amp;G64)</f>
        <v/>
      </c>
      <c r="E64" s="54" t="str">
        <f>IF(G64="","",IF(LEN(LEFT(C63,SEARCH("0",C63,1)-1))&lt;2,RIGHT(LEFT(C63,SEARCH("0",C63,1)-1),1)&amp;INT(RIGHT(C63,4)),RIGHT(LEFT(C63,SEARCH("0",C63,1)-1),1)&amp;INT(RIGHT(C63,4))))</f>
        <v/>
      </c>
      <c r="F64" s="5" t="str">
        <f>IF(G64=0,"",VLOOKUP(D64,[1]Worksheet!$A:$C,3,0))</f>
        <v/>
      </c>
      <c r="G64" s="9"/>
      <c r="H64" s="7"/>
      <c r="I64" s="21"/>
      <c r="J64" s="68" t="str">
        <f t="shared" si="30"/>
        <v/>
      </c>
      <c r="K64" s="94"/>
      <c r="L64" s="94"/>
      <c r="M64" s="81"/>
      <c r="N64" s="43">
        <f t="shared" si="2"/>
        <v>0</v>
      </c>
      <c r="O64" s="28">
        <f t="shared" si="74"/>
        <v>0</v>
      </c>
      <c r="P64" s="111"/>
      <c r="Q64" s="32">
        <f t="shared" si="75"/>
        <v>0</v>
      </c>
      <c r="R64" s="114"/>
      <c r="S64" s="100" t="str">
        <f>IFERROR(VLOOKUP(D64,[1]Worksheet!$A:$F,6,0),"")</f>
        <v/>
      </c>
      <c r="T64" s="117"/>
      <c r="U64" s="78" t="str">
        <f t="shared" si="76"/>
        <v/>
      </c>
      <c r="V64" t="str">
        <f t="shared" si="77"/>
        <v/>
      </c>
    </row>
    <row r="65" spans="1:22" ht="32.450000000000003" customHeight="1">
      <c r="A65" s="104"/>
      <c r="B65" s="108"/>
      <c r="C65" s="120"/>
      <c r="D65" s="54" t="str">
        <f>IF(G65=0,"",C63&amp;"-"&amp;G65)</f>
        <v/>
      </c>
      <c r="E65" s="54" t="str">
        <f>IF(G65="","",IF(LEN(LEFT(C63,SEARCH("0",C63,1)-1))&lt;2,RIGHT(LEFT(C63,SEARCH("0",C63,1)-1),1)&amp;INT(RIGHT(C63,4)),RIGHT(LEFT(C63,SEARCH("0",C63,1)-1),1)&amp;INT(RIGHT(C63,4))))</f>
        <v/>
      </c>
      <c r="F65" s="8" t="str">
        <f>IF(G65=0,"",VLOOKUP(D65,[1]Worksheet!$A:$C,3,0))</f>
        <v/>
      </c>
      <c r="G65" s="9"/>
      <c r="H65" s="10"/>
      <c r="I65" s="22"/>
      <c r="J65" s="68" t="str">
        <f t="shared" si="30"/>
        <v/>
      </c>
      <c r="K65" s="94"/>
      <c r="L65" s="94"/>
      <c r="M65" s="81"/>
      <c r="N65" s="44">
        <f t="shared" si="2"/>
        <v>0</v>
      </c>
      <c r="O65" s="28">
        <f t="shared" si="74"/>
        <v>0</v>
      </c>
      <c r="P65" s="111"/>
      <c r="Q65" s="32">
        <f t="shared" si="75"/>
        <v>0</v>
      </c>
      <c r="R65" s="114"/>
      <c r="S65" s="100" t="str">
        <f>IFERROR(VLOOKUP(D65,[1]Worksheet!$A:$F,6,0),"")</f>
        <v/>
      </c>
      <c r="T65" s="117"/>
      <c r="U65" s="78" t="str">
        <f t="shared" si="76"/>
        <v/>
      </c>
      <c r="V65" t="str">
        <f t="shared" si="77"/>
        <v/>
      </c>
    </row>
    <row r="66" spans="1:22" ht="32.450000000000003" customHeight="1">
      <c r="A66" s="104"/>
      <c r="B66" s="108"/>
      <c r="C66" s="120"/>
      <c r="D66" s="54" t="str">
        <f>IF(G66=0,"",C63&amp;"-"&amp;G66)</f>
        <v/>
      </c>
      <c r="E66" s="54" t="str">
        <f>IF(G66="","",IF(LEN(LEFT(C63,SEARCH("0",C63,1)-1))&lt;2,RIGHT(LEFT(C63,SEARCH("0",C63,1)-1),1)&amp;INT(RIGHT(C63,4)),RIGHT(LEFT(C63,SEARCH("0",C63,1)-1),1)&amp;INT(RIGHT(C63,4))))</f>
        <v/>
      </c>
      <c r="F66" s="8" t="str">
        <f>IF(G66=0,"",VLOOKUP(D66,[1]Worksheet!$A:$C,3,0))</f>
        <v/>
      </c>
      <c r="G66" s="10"/>
      <c r="H66" s="10"/>
      <c r="I66" s="22"/>
      <c r="J66" s="68" t="str">
        <f t="shared" si="30"/>
        <v/>
      </c>
      <c r="K66" s="94"/>
      <c r="L66" s="94"/>
      <c r="M66" s="82"/>
      <c r="N66" s="43">
        <f t="shared" si="2"/>
        <v>0</v>
      </c>
      <c r="O66" s="28">
        <f t="shared" si="74"/>
        <v>0</v>
      </c>
      <c r="P66" s="111"/>
      <c r="Q66" s="32">
        <f t="shared" si="75"/>
        <v>0</v>
      </c>
      <c r="R66" s="114"/>
      <c r="S66" s="100" t="str">
        <f>IFERROR(VLOOKUP(D66,[1]Worksheet!$A:$F,6,0),"")</f>
        <v/>
      </c>
      <c r="T66" s="117"/>
      <c r="U66" s="78" t="str">
        <f t="shared" si="76"/>
        <v/>
      </c>
      <c r="V66" t="str">
        <f t="shared" si="77"/>
        <v/>
      </c>
    </row>
    <row r="67" spans="1:22" ht="32.450000000000003" customHeight="1" thickBot="1">
      <c r="A67" s="105"/>
      <c r="B67" s="109"/>
      <c r="C67" s="121"/>
      <c r="D67" s="55" t="str">
        <f>IF(G67=0,"",C63&amp;"-"&amp;G67)</f>
        <v/>
      </c>
      <c r="E67" s="55" t="str">
        <f>IF(G67="","",IF(LEN(LEFT(C63,SEARCH("0",C63,1)-1))&lt;2,RIGHT(LEFT(C63,SEARCH("0",C63,1)-1),1)&amp;INT(RIGHT(C63,4)),RIGHT(LEFT(C63,SEARCH("0",C63,1)-1),1)&amp;INT(RIGHT(C63,4))))</f>
        <v/>
      </c>
      <c r="F67" s="11" t="str">
        <f>IF(G67=0,"",VLOOKUP(D67,[1]Worksheet!$A:$C,3,0))</f>
        <v/>
      </c>
      <c r="G67" s="12"/>
      <c r="H67" s="12"/>
      <c r="I67" s="23"/>
      <c r="J67" s="90" t="str">
        <f t="shared" si="30"/>
        <v/>
      </c>
      <c r="K67" s="95"/>
      <c r="L67" s="95"/>
      <c r="M67" s="80"/>
      <c r="N67" s="45">
        <f t="shared" ref="N67" si="84">M67*$X$3</f>
        <v>0</v>
      </c>
      <c r="O67" s="29">
        <f t="shared" ref="O67:O98" si="85">H67*N67</f>
        <v>0</v>
      </c>
      <c r="P67" s="112"/>
      <c r="Q67" s="36">
        <f t="shared" ref="Q67:Q98" si="86">I67*N67</f>
        <v>0</v>
      </c>
      <c r="R67" s="115"/>
      <c r="S67" s="100" t="str">
        <f>IFERROR(VLOOKUP(D67,[1]Worksheet!$A:$F,6,0),"")</f>
        <v/>
      </c>
      <c r="T67" s="118"/>
      <c r="U67" s="78" t="str">
        <f t="shared" ref="U67:U98" si="87">LEFT(E67,1)</f>
        <v/>
      </c>
      <c r="V67" t="str">
        <f t="shared" ref="V67:V98" si="88">IF(H67&lt;&gt;I67,"F","")</f>
        <v/>
      </c>
    </row>
    <row r="68" spans="1:22" ht="32.450000000000003" customHeight="1">
      <c r="A68" s="102">
        <f>A63+1</f>
        <v>14</v>
      </c>
      <c r="B68" s="106"/>
      <c r="C68" s="119"/>
      <c r="D68" s="53" t="str">
        <f>IF(G68=0,"",C68&amp;"-"&amp;G68)</f>
        <v/>
      </c>
      <c r="E68" s="53" t="str">
        <f>IF(G68="","",IF(LEN(LEFT(C68,SEARCH("0",C68,1)-1))&lt;2,RIGHT(LEFT(C68,SEARCH("0",C68,1)-1),1)&amp;INT(RIGHT(C68,4)),RIGHT(LEFT(C68,SEARCH("0",C68,1)-1),1)&amp;INT(RIGHT(C68,4))))</f>
        <v/>
      </c>
      <c r="F68" s="2" t="str">
        <f>IF(G68=0,"",VLOOKUP(D68,[1]Worksheet!$A:$C,3,0))</f>
        <v/>
      </c>
      <c r="G68" s="88"/>
      <c r="H68" s="4"/>
      <c r="I68" s="20"/>
      <c r="J68" s="89" t="str">
        <f t="shared" si="30"/>
        <v/>
      </c>
      <c r="K68" s="93"/>
      <c r="L68" s="93"/>
      <c r="M68" s="79"/>
      <c r="N68" s="42">
        <f t="shared" ref="N68:N69" si="89">M68*$X$3</f>
        <v>0</v>
      </c>
      <c r="O68" s="27">
        <f t="shared" si="85"/>
        <v>0</v>
      </c>
      <c r="P68" s="110">
        <f>SUM(O68:O72)</f>
        <v>0</v>
      </c>
      <c r="Q68" s="35">
        <f t="shared" si="86"/>
        <v>0</v>
      </c>
      <c r="R68" s="113">
        <f>SUM(Q68:Q72)</f>
        <v>0</v>
      </c>
      <c r="S68" s="100" t="str">
        <f>IFERROR(VLOOKUP(D68,[1]Worksheet!$A:$F,6,0),"")</f>
        <v/>
      </c>
      <c r="T68" s="116" t="str">
        <f t="shared" ref="T68" si="90">IF(P68=R68,"",IF(P68&gt;R68,"Loss",IF(P68&lt;R68,"Over")))</f>
        <v/>
      </c>
      <c r="U68" s="78" t="str">
        <f t="shared" si="87"/>
        <v/>
      </c>
      <c r="V68" t="str">
        <f t="shared" si="88"/>
        <v/>
      </c>
    </row>
    <row r="69" spans="1:22" ht="32.450000000000003" customHeight="1">
      <c r="A69" s="103"/>
      <c r="B69" s="107"/>
      <c r="C69" s="120"/>
      <c r="D69" s="54" t="str">
        <f>IF(G69=0,"",C68&amp;"-"&amp;G69)</f>
        <v/>
      </c>
      <c r="E69" s="54" t="str">
        <f>IF(G69="","",IF(LEN(LEFT(C68,SEARCH("0",C68,1)-1))&lt;2,RIGHT(LEFT(C68,SEARCH("0",C68,1)-1),1)&amp;INT(RIGHT(C68,4)),RIGHT(LEFT(C68,SEARCH("0",C68,1)-1),1)&amp;INT(RIGHT(C68,4))))</f>
        <v/>
      </c>
      <c r="F69" s="5" t="str">
        <f>IF(G69=0,"",VLOOKUP(D69,[1]Worksheet!$A:$C,3,0))</f>
        <v/>
      </c>
      <c r="G69" s="9"/>
      <c r="H69" s="7"/>
      <c r="I69" s="21"/>
      <c r="J69" s="68" t="str">
        <f t="shared" si="30"/>
        <v/>
      </c>
      <c r="K69" s="94"/>
      <c r="L69" s="94"/>
      <c r="M69" s="81"/>
      <c r="N69" s="43">
        <f t="shared" si="89"/>
        <v>0</v>
      </c>
      <c r="O69" s="28">
        <f t="shared" si="85"/>
        <v>0</v>
      </c>
      <c r="P69" s="111"/>
      <c r="Q69" s="32">
        <f t="shared" si="86"/>
        <v>0</v>
      </c>
      <c r="R69" s="114"/>
      <c r="S69" s="100" t="str">
        <f>IFERROR(VLOOKUP(D69,[1]Worksheet!$A:$F,6,0),"")</f>
        <v/>
      </c>
      <c r="T69" s="117"/>
      <c r="U69" s="78" t="str">
        <f t="shared" si="87"/>
        <v/>
      </c>
      <c r="V69" t="str">
        <f t="shared" si="88"/>
        <v/>
      </c>
    </row>
    <row r="70" spans="1:22" ht="32.450000000000003" customHeight="1">
      <c r="A70" s="104"/>
      <c r="B70" s="108"/>
      <c r="C70" s="120"/>
      <c r="D70" s="54" t="str">
        <f>IF(G70=0,"",C68&amp;"-"&amp;G70)</f>
        <v/>
      </c>
      <c r="E70" s="54" t="str">
        <f>IF(G70="","",IF(LEN(LEFT(C68,SEARCH("0",C68,1)-1))&lt;2,RIGHT(LEFT(C68,SEARCH("0",C68,1)-1),1)&amp;INT(RIGHT(C68,4)),RIGHT(LEFT(C68,SEARCH("0",C68,1)-1),1)&amp;INT(RIGHT(C68,4))))</f>
        <v/>
      </c>
      <c r="F70" s="8" t="str">
        <f>IF(G70=0,"",VLOOKUP(D70,[1]Worksheet!$A:$C,3,0))</f>
        <v/>
      </c>
      <c r="G70" s="9"/>
      <c r="H70" s="10"/>
      <c r="I70" s="22"/>
      <c r="J70" s="68" t="str">
        <f t="shared" si="30"/>
        <v/>
      </c>
      <c r="K70" s="94"/>
      <c r="L70" s="94"/>
      <c r="M70" s="81"/>
      <c r="N70" s="44">
        <f t="shared" ref="N70:N133" si="91">M70*$X$3</f>
        <v>0</v>
      </c>
      <c r="O70" s="28">
        <f t="shared" si="85"/>
        <v>0</v>
      </c>
      <c r="P70" s="111"/>
      <c r="Q70" s="32">
        <f t="shared" si="86"/>
        <v>0</v>
      </c>
      <c r="R70" s="114"/>
      <c r="S70" s="100" t="str">
        <f>IFERROR(VLOOKUP(D70,[1]Worksheet!$A:$F,6,0),"")</f>
        <v/>
      </c>
      <c r="T70" s="117"/>
      <c r="U70" s="78" t="str">
        <f t="shared" si="87"/>
        <v/>
      </c>
      <c r="V70" t="str">
        <f t="shared" si="88"/>
        <v/>
      </c>
    </row>
    <row r="71" spans="1:22" ht="32.450000000000003" customHeight="1">
      <c r="A71" s="104"/>
      <c r="B71" s="108"/>
      <c r="C71" s="120"/>
      <c r="D71" s="54" t="str">
        <f>IF(G71=0,"",C68&amp;"-"&amp;G71)</f>
        <v/>
      </c>
      <c r="E71" s="54" t="str">
        <f>IF(G71="","",IF(LEN(LEFT(C68,SEARCH("0",C68,1)-1))&lt;2,RIGHT(LEFT(C68,SEARCH("0",C68,1)-1),1)&amp;INT(RIGHT(C68,4)),RIGHT(LEFT(C68,SEARCH("0",C68,1)-1),1)&amp;INT(RIGHT(C68,4))))</f>
        <v/>
      </c>
      <c r="F71" s="8" t="str">
        <f>IF(G71=0,"",VLOOKUP(D71,[1]Worksheet!$A:$C,3,0))</f>
        <v/>
      </c>
      <c r="G71" s="10"/>
      <c r="H71" s="10"/>
      <c r="I71" s="22"/>
      <c r="J71" s="68" t="str">
        <f t="shared" si="30"/>
        <v/>
      </c>
      <c r="K71" s="94"/>
      <c r="L71" s="94"/>
      <c r="M71" s="82"/>
      <c r="N71" s="43">
        <f t="shared" si="91"/>
        <v>0</v>
      </c>
      <c r="O71" s="28">
        <f t="shared" si="85"/>
        <v>0</v>
      </c>
      <c r="P71" s="111"/>
      <c r="Q71" s="32">
        <f t="shared" si="86"/>
        <v>0</v>
      </c>
      <c r="R71" s="114"/>
      <c r="S71" s="100" t="str">
        <f>IFERROR(VLOOKUP(D71,[1]Worksheet!$A:$F,6,0),"")</f>
        <v/>
      </c>
      <c r="T71" s="117"/>
      <c r="U71" s="78" t="str">
        <f t="shared" si="87"/>
        <v/>
      </c>
      <c r="V71" t="str">
        <f t="shared" si="88"/>
        <v/>
      </c>
    </row>
    <row r="72" spans="1:22" ht="32.450000000000003" customHeight="1" thickBot="1">
      <c r="A72" s="105"/>
      <c r="B72" s="109"/>
      <c r="C72" s="121"/>
      <c r="D72" s="55" t="str">
        <f>IF(G72=0,"",C68&amp;"-"&amp;G72)</f>
        <v/>
      </c>
      <c r="E72" s="55" t="str">
        <f>IF(G72="","",IF(LEN(LEFT(C68,SEARCH("0",C68,1)-1))&lt;2,RIGHT(LEFT(C68,SEARCH("0",C68,1)-1),1)&amp;INT(RIGHT(C68,4)),RIGHT(LEFT(C68,SEARCH("0",C68,1)-1),1)&amp;INT(RIGHT(C68,4))))</f>
        <v/>
      </c>
      <c r="F72" s="11" t="str">
        <f>IF(G72=0,"",VLOOKUP(D72,[1]Worksheet!$A:$C,3,0))</f>
        <v/>
      </c>
      <c r="G72" s="12"/>
      <c r="H72" s="12"/>
      <c r="I72" s="23"/>
      <c r="J72" s="90" t="str">
        <f t="shared" si="30"/>
        <v/>
      </c>
      <c r="K72" s="95"/>
      <c r="L72" s="95"/>
      <c r="M72" s="80"/>
      <c r="N72" s="45">
        <f t="shared" si="91"/>
        <v>0</v>
      </c>
      <c r="O72" s="29">
        <f t="shared" si="85"/>
        <v>0</v>
      </c>
      <c r="P72" s="112"/>
      <c r="Q72" s="36">
        <f t="shared" si="86"/>
        <v>0</v>
      </c>
      <c r="R72" s="115"/>
      <c r="S72" s="100" t="str">
        <f>IFERROR(VLOOKUP(D72,[1]Worksheet!$A:$F,6,0),"")</f>
        <v/>
      </c>
      <c r="T72" s="118"/>
      <c r="U72" s="78" t="str">
        <f t="shared" si="87"/>
        <v/>
      </c>
      <c r="V72" t="str">
        <f t="shared" si="88"/>
        <v/>
      </c>
    </row>
    <row r="73" spans="1:22" ht="32.450000000000003" customHeight="1" thickBot="1">
      <c r="A73" s="102">
        <f>A68+1</f>
        <v>15</v>
      </c>
      <c r="B73" s="106"/>
      <c r="C73" s="119"/>
      <c r="D73" s="53" t="str">
        <f>IF(G73=0,"",C73&amp;"-"&amp;G73)</f>
        <v/>
      </c>
      <c r="E73" s="53" t="str">
        <f>IF(G73="","",IF(LEN(LEFT(C73,SEARCH("0",C73,1)-1))&lt;2,RIGHT(LEFT(C73,SEARCH("0",C73,1)-1),1)&amp;INT(RIGHT(C73,4)),RIGHT(LEFT(C73,SEARCH("0",C73,1)-1),1)&amp;INT(RIGHT(C73,4))))</f>
        <v/>
      </c>
      <c r="F73" s="2" t="str">
        <f>IF(G73=0,"",VLOOKUP(D73,[1]Worksheet!$A:$C,3,0))</f>
        <v/>
      </c>
      <c r="G73" s="88"/>
      <c r="H73" s="4"/>
      <c r="I73" s="20"/>
      <c r="J73" s="89" t="str">
        <f t="shared" si="30"/>
        <v/>
      </c>
      <c r="K73" s="93"/>
      <c r="L73" s="93"/>
      <c r="M73" s="79"/>
      <c r="N73" s="42">
        <f t="shared" si="91"/>
        <v>0</v>
      </c>
      <c r="O73" s="27">
        <f t="shared" si="85"/>
        <v>0</v>
      </c>
      <c r="P73" s="110">
        <f>SUM(O73:O77)</f>
        <v>0</v>
      </c>
      <c r="Q73" s="35">
        <f t="shared" si="86"/>
        <v>0</v>
      </c>
      <c r="R73" s="113">
        <f>SUM(Q73:Q77)</f>
        <v>0</v>
      </c>
      <c r="S73" s="100" t="str">
        <f>IFERROR(VLOOKUP(D73,[1]Worksheet!$A:$F,6,0),"")</f>
        <v/>
      </c>
      <c r="T73" s="116" t="str">
        <f t="shared" ref="T73" si="92">IF(P73=R73,"",IF(P73&gt;R73,"Loss",IF(P73&lt;R73,"Over")))</f>
        <v/>
      </c>
      <c r="U73" s="78" t="str">
        <f t="shared" si="87"/>
        <v/>
      </c>
      <c r="V73" t="str">
        <f t="shared" si="88"/>
        <v/>
      </c>
    </row>
    <row r="74" spans="1:22" ht="32.450000000000003" customHeight="1" thickBot="1">
      <c r="A74" s="103"/>
      <c r="B74" s="107"/>
      <c r="C74" s="120"/>
      <c r="D74" s="54" t="str">
        <f>IF(G74=0,"",C73&amp;"-"&amp;G74)</f>
        <v/>
      </c>
      <c r="E74" s="54" t="str">
        <f>IF(G74="","",IF(LEN(LEFT(C73,SEARCH("0",C73,1)-1))&lt;2,RIGHT(LEFT(C73,SEARCH("0",C73,1)-1),1)&amp;INT(RIGHT(C73,4)),RIGHT(LEFT(C73,SEARCH("0",C73,1)-1),1)&amp;INT(RIGHT(C73,4))))</f>
        <v/>
      </c>
      <c r="F74" s="5" t="str">
        <f>IF(G74=0,"",VLOOKUP(D74,[1]Worksheet!$A:$C,3,0))</f>
        <v/>
      </c>
      <c r="G74" s="9"/>
      <c r="H74" s="7"/>
      <c r="I74" s="21"/>
      <c r="J74" s="68" t="str">
        <f t="shared" si="30"/>
        <v/>
      </c>
      <c r="K74" s="94"/>
      <c r="L74" s="94"/>
      <c r="M74" s="79"/>
      <c r="N74" s="43">
        <f t="shared" si="91"/>
        <v>0</v>
      </c>
      <c r="O74" s="28">
        <f t="shared" si="85"/>
        <v>0</v>
      </c>
      <c r="P74" s="111"/>
      <c r="Q74" s="32">
        <f t="shared" si="86"/>
        <v>0</v>
      </c>
      <c r="R74" s="114"/>
      <c r="S74" s="100" t="str">
        <f>IFERROR(VLOOKUP(D74,[1]Worksheet!$A:$F,6,0),"")</f>
        <v/>
      </c>
      <c r="T74" s="117"/>
      <c r="U74" s="78" t="str">
        <f t="shared" si="87"/>
        <v/>
      </c>
      <c r="V74" t="str">
        <f t="shared" si="88"/>
        <v/>
      </c>
    </row>
    <row r="75" spans="1:22" ht="32.450000000000003" customHeight="1" thickBot="1">
      <c r="A75" s="104"/>
      <c r="B75" s="108"/>
      <c r="C75" s="120"/>
      <c r="D75" s="54" t="str">
        <f>IF(G75=0,"",C73&amp;"-"&amp;G75)</f>
        <v/>
      </c>
      <c r="E75" s="54" t="str">
        <f>IF(G75="","",IF(LEN(LEFT(C73,SEARCH("0",C73,1)-1))&lt;2,RIGHT(LEFT(C73,SEARCH("0",C73,1)-1),1)&amp;INT(RIGHT(C73,4)),RIGHT(LEFT(C73,SEARCH("0",C73,1)-1),1)&amp;INT(RIGHT(C73,4))))</f>
        <v/>
      </c>
      <c r="F75" s="8" t="str">
        <f>IF(G75=0,"",VLOOKUP(D75,[1]Worksheet!$A:$C,3,0))</f>
        <v/>
      </c>
      <c r="G75" s="9"/>
      <c r="H75" s="10"/>
      <c r="I75" s="22"/>
      <c r="J75" s="68" t="str">
        <f t="shared" si="30"/>
        <v/>
      </c>
      <c r="K75" s="94"/>
      <c r="L75" s="94"/>
      <c r="M75" s="79"/>
      <c r="N75" s="44">
        <f t="shared" si="91"/>
        <v>0</v>
      </c>
      <c r="O75" s="28">
        <f t="shared" si="85"/>
        <v>0</v>
      </c>
      <c r="P75" s="111"/>
      <c r="Q75" s="32">
        <f t="shared" si="86"/>
        <v>0</v>
      </c>
      <c r="R75" s="114"/>
      <c r="S75" s="100" t="str">
        <f>IFERROR(VLOOKUP(D75,[1]Worksheet!$A:$F,6,0),"")</f>
        <v/>
      </c>
      <c r="T75" s="117"/>
      <c r="U75" s="78" t="str">
        <f t="shared" si="87"/>
        <v/>
      </c>
      <c r="V75" t="str">
        <f t="shared" si="88"/>
        <v/>
      </c>
    </row>
    <row r="76" spans="1:22" ht="32.450000000000003" customHeight="1">
      <c r="A76" s="104"/>
      <c r="B76" s="108"/>
      <c r="C76" s="120"/>
      <c r="D76" s="54" t="str">
        <f>IF(G76=0,"",C73&amp;"-"&amp;G76)</f>
        <v/>
      </c>
      <c r="E76" s="54" t="str">
        <f>IF(G76="","",IF(LEN(LEFT(C73,SEARCH("0",C73,1)-1))&lt;2,RIGHT(LEFT(C73,SEARCH("0",C73,1)-1),1)&amp;INT(RIGHT(C73,4)),RIGHT(LEFT(C73,SEARCH("0",C73,1)-1),1)&amp;INT(RIGHT(C73,4))))</f>
        <v/>
      </c>
      <c r="F76" s="8" t="str">
        <f>IF(G76=0,"",VLOOKUP(D76,[1]Worksheet!$A:$C,3,0))</f>
        <v/>
      </c>
      <c r="G76" s="10"/>
      <c r="H76" s="10"/>
      <c r="I76" s="22"/>
      <c r="J76" s="68" t="str">
        <f t="shared" si="30"/>
        <v/>
      </c>
      <c r="K76" s="94"/>
      <c r="L76" s="94"/>
      <c r="M76" s="79"/>
      <c r="N76" s="43">
        <f t="shared" si="91"/>
        <v>0</v>
      </c>
      <c r="O76" s="28">
        <f t="shared" si="85"/>
        <v>0</v>
      </c>
      <c r="P76" s="111"/>
      <c r="Q76" s="32">
        <f t="shared" si="86"/>
        <v>0</v>
      </c>
      <c r="R76" s="114"/>
      <c r="S76" s="100" t="str">
        <f>IFERROR(VLOOKUP(D76,[1]Worksheet!$A:$F,6,0),"")</f>
        <v/>
      </c>
      <c r="T76" s="117"/>
      <c r="U76" s="78" t="str">
        <f t="shared" si="87"/>
        <v/>
      </c>
      <c r="V76" t="str">
        <f t="shared" si="88"/>
        <v/>
      </c>
    </row>
    <row r="77" spans="1:22" ht="32.450000000000003" customHeight="1" thickBot="1">
      <c r="A77" s="105"/>
      <c r="B77" s="109"/>
      <c r="C77" s="121"/>
      <c r="D77" s="55" t="str">
        <f>IF(G77=0,"",C73&amp;"-"&amp;G77)</f>
        <v/>
      </c>
      <c r="E77" s="55" t="str">
        <f>IF(G77="","",IF(LEN(LEFT(C73,SEARCH("0",C73,1)-1))&lt;2,RIGHT(LEFT(C73,SEARCH("0",C73,1)-1),1)&amp;INT(RIGHT(C73,4)),RIGHT(LEFT(C73,SEARCH("0",C73,1)-1),1)&amp;INT(RIGHT(C73,4))))</f>
        <v/>
      </c>
      <c r="F77" s="11" t="str">
        <f>IF(G77=0,"",VLOOKUP(D77,[1]Worksheet!$A:$C,3,0))</f>
        <v/>
      </c>
      <c r="G77" s="12"/>
      <c r="H77" s="12"/>
      <c r="I77" s="23"/>
      <c r="J77" s="90" t="str">
        <f t="shared" ref="J77:J140" si="93">IF(D77&lt;&gt;"",$J$3,"")</f>
        <v/>
      </c>
      <c r="K77" s="95"/>
      <c r="L77" s="95"/>
      <c r="M77" s="80"/>
      <c r="N77" s="45">
        <f t="shared" si="91"/>
        <v>0</v>
      </c>
      <c r="O77" s="29">
        <f t="shared" si="85"/>
        <v>0</v>
      </c>
      <c r="P77" s="112"/>
      <c r="Q77" s="36">
        <f t="shared" si="86"/>
        <v>0</v>
      </c>
      <c r="R77" s="115"/>
      <c r="S77" s="100" t="str">
        <f>IFERROR(VLOOKUP(D77,[1]Worksheet!$A:$F,6,0),"")</f>
        <v/>
      </c>
      <c r="T77" s="118"/>
      <c r="U77" s="78" t="str">
        <f t="shared" si="87"/>
        <v/>
      </c>
      <c r="V77" t="str">
        <f t="shared" si="88"/>
        <v/>
      </c>
    </row>
    <row r="78" spans="1:22" ht="32.450000000000003" customHeight="1">
      <c r="A78" s="102">
        <f>A73+1</f>
        <v>16</v>
      </c>
      <c r="B78" s="122"/>
      <c r="C78" s="119"/>
      <c r="D78" s="53" t="str">
        <f>IF(G78=0,"",C78&amp;"-"&amp;G78)</f>
        <v/>
      </c>
      <c r="E78" s="53" t="str">
        <f>IF(G78="","",IF(LEN(LEFT(C78,SEARCH("0",C78,1)-1))&lt;2,RIGHT(LEFT(C78,SEARCH("0",C78,1)-1),1)&amp;INT(RIGHT(C78,4)),RIGHT(LEFT(C78,SEARCH("0",C78,1)-1),1)&amp;INT(RIGHT(C78,4))))</f>
        <v/>
      </c>
      <c r="F78" s="2" t="str">
        <f>IF(G78=0,"",VLOOKUP(D78,[1]Worksheet!$A:$C,3,0))</f>
        <v/>
      </c>
      <c r="G78" s="88"/>
      <c r="H78" s="4"/>
      <c r="I78" s="20"/>
      <c r="J78" s="89" t="str">
        <f t="shared" si="93"/>
        <v/>
      </c>
      <c r="K78" s="93"/>
      <c r="L78" s="93"/>
      <c r="M78" s="79"/>
      <c r="N78" s="42">
        <f t="shared" si="91"/>
        <v>0</v>
      </c>
      <c r="O78" s="27">
        <f t="shared" si="85"/>
        <v>0</v>
      </c>
      <c r="P78" s="110">
        <f>SUM(O78:O82)</f>
        <v>0</v>
      </c>
      <c r="Q78" s="35">
        <f t="shared" si="86"/>
        <v>0</v>
      </c>
      <c r="R78" s="113">
        <f>SUM(Q78:Q82)</f>
        <v>0</v>
      </c>
      <c r="S78" s="100" t="str">
        <f>IFERROR(VLOOKUP(D78,[1]Worksheet!$A:$F,6,0),"")</f>
        <v/>
      </c>
      <c r="T78" s="116" t="str">
        <f t="shared" ref="T78" si="94">IF(P78=R78,"",IF(P78&gt;R78,"Loss",IF(P78&lt;R78,"Over")))</f>
        <v/>
      </c>
      <c r="U78" s="78" t="str">
        <f t="shared" si="87"/>
        <v/>
      </c>
      <c r="V78" t="str">
        <f t="shared" si="88"/>
        <v/>
      </c>
    </row>
    <row r="79" spans="1:22" ht="32.450000000000003" customHeight="1">
      <c r="A79" s="103"/>
      <c r="B79" s="107"/>
      <c r="C79" s="120"/>
      <c r="D79" s="54" t="str">
        <f>IF(G79=0,"",C78&amp;"-"&amp;G79)</f>
        <v/>
      </c>
      <c r="E79" s="54" t="str">
        <f>IF(G79="","",IF(LEN(LEFT(C78,SEARCH("0",C78,1)-1))&lt;2,RIGHT(LEFT(C78,SEARCH("0",C78,1)-1),1)&amp;INT(RIGHT(C78,4)),RIGHT(LEFT(C78,SEARCH("0",C78,1)-1),1)&amp;INT(RIGHT(C78,4))))</f>
        <v/>
      </c>
      <c r="F79" s="5" t="str">
        <f>IF(G79=0,"",VLOOKUP(D79,[1]Worksheet!$A:$C,3,0))</f>
        <v/>
      </c>
      <c r="G79" s="9"/>
      <c r="H79" s="7"/>
      <c r="I79" s="21"/>
      <c r="J79" s="68" t="str">
        <f t="shared" si="93"/>
        <v/>
      </c>
      <c r="K79" s="94"/>
      <c r="L79" s="94"/>
      <c r="M79" s="81"/>
      <c r="N79" s="43">
        <f t="shared" si="91"/>
        <v>0</v>
      </c>
      <c r="O79" s="28">
        <f t="shared" si="85"/>
        <v>0</v>
      </c>
      <c r="P79" s="111"/>
      <c r="Q79" s="32">
        <f t="shared" si="86"/>
        <v>0</v>
      </c>
      <c r="R79" s="114"/>
      <c r="S79" s="100" t="str">
        <f>IFERROR(VLOOKUP(D79,[1]Worksheet!$A:$F,6,0),"")</f>
        <v/>
      </c>
      <c r="T79" s="117"/>
      <c r="U79" s="78" t="str">
        <f t="shared" si="87"/>
        <v/>
      </c>
      <c r="V79" t="str">
        <f t="shared" si="88"/>
        <v/>
      </c>
    </row>
    <row r="80" spans="1:22" ht="32.450000000000003" customHeight="1">
      <c r="A80" s="104"/>
      <c r="B80" s="108"/>
      <c r="C80" s="120"/>
      <c r="D80" s="54" t="str">
        <f>IF(G80=0,"",C78&amp;"-"&amp;G80)</f>
        <v/>
      </c>
      <c r="E80" s="54" t="str">
        <f>IF(G80="","",IF(LEN(LEFT(C78,SEARCH("0",C78,1)-1))&lt;2,RIGHT(LEFT(C78,SEARCH("0",C78,1)-1),1)&amp;INT(RIGHT(C78,4)),RIGHT(LEFT(C78,SEARCH("0",C78,1)-1),1)&amp;INT(RIGHT(C78,4))))</f>
        <v/>
      </c>
      <c r="F80" s="8" t="str">
        <f>IF(G80=0,"",VLOOKUP(D80,[1]Worksheet!$A:$C,3,0))</f>
        <v/>
      </c>
      <c r="G80" s="9"/>
      <c r="H80" s="10"/>
      <c r="I80" s="22"/>
      <c r="J80" s="68" t="str">
        <f t="shared" si="93"/>
        <v/>
      </c>
      <c r="K80" s="94"/>
      <c r="L80" s="94"/>
      <c r="M80" s="81"/>
      <c r="N80" s="44">
        <f t="shared" si="91"/>
        <v>0</v>
      </c>
      <c r="O80" s="28">
        <f t="shared" si="85"/>
        <v>0</v>
      </c>
      <c r="P80" s="111"/>
      <c r="Q80" s="32">
        <f t="shared" si="86"/>
        <v>0</v>
      </c>
      <c r="R80" s="114"/>
      <c r="S80" s="100" t="str">
        <f>IFERROR(VLOOKUP(D80,[1]Worksheet!$A:$F,6,0),"")</f>
        <v/>
      </c>
      <c r="T80" s="117"/>
      <c r="U80" s="78" t="str">
        <f t="shared" si="87"/>
        <v/>
      </c>
      <c r="V80" t="str">
        <f t="shared" si="88"/>
        <v/>
      </c>
    </row>
    <row r="81" spans="1:27" ht="32.450000000000003" customHeight="1">
      <c r="A81" s="104"/>
      <c r="B81" s="108"/>
      <c r="C81" s="120"/>
      <c r="D81" s="54" t="str">
        <f>IF(G81=0,"",C78&amp;"-"&amp;G81)</f>
        <v/>
      </c>
      <c r="E81" s="54" t="str">
        <f>IF(G81="","",IF(LEN(LEFT(C78,SEARCH("0",C78,1)-1))&lt;2,RIGHT(LEFT(C78,SEARCH("0",C78,1)-1),1)&amp;INT(RIGHT(C78,4)),RIGHT(LEFT(C78,SEARCH("0",C78,1)-1),1)&amp;INT(RIGHT(C78,4))))</f>
        <v/>
      </c>
      <c r="F81" s="8" t="str">
        <f>IF(G81=0,"",VLOOKUP(D81,[1]Worksheet!$A:$C,3,0))</f>
        <v/>
      </c>
      <c r="G81" s="10"/>
      <c r="H81" s="10"/>
      <c r="I81" s="22"/>
      <c r="J81" s="68" t="str">
        <f t="shared" si="93"/>
        <v/>
      </c>
      <c r="K81" s="94"/>
      <c r="L81" s="94"/>
      <c r="M81" s="82"/>
      <c r="N81" s="43">
        <f t="shared" si="91"/>
        <v>0</v>
      </c>
      <c r="O81" s="28">
        <f t="shared" si="85"/>
        <v>0</v>
      </c>
      <c r="P81" s="111"/>
      <c r="Q81" s="32">
        <f t="shared" si="86"/>
        <v>0</v>
      </c>
      <c r="R81" s="114"/>
      <c r="S81" s="100" t="str">
        <f>IFERROR(VLOOKUP(D81,[1]Worksheet!$A:$F,6,0),"")</f>
        <v/>
      </c>
      <c r="T81" s="117"/>
      <c r="U81" s="78" t="str">
        <f t="shared" si="87"/>
        <v/>
      </c>
      <c r="V81" t="str">
        <f t="shared" si="88"/>
        <v/>
      </c>
    </row>
    <row r="82" spans="1:27" ht="32.450000000000003" customHeight="1" thickBot="1">
      <c r="A82" s="105"/>
      <c r="B82" s="109"/>
      <c r="C82" s="121"/>
      <c r="D82" s="55" t="str">
        <f>IF(G82=0,"",C78&amp;"-"&amp;G82)</f>
        <v/>
      </c>
      <c r="E82" s="55" t="str">
        <f>IF(G82="","",IF(LEN(LEFT(C78,SEARCH("0",C78,1)-1))&lt;2,RIGHT(LEFT(C78,SEARCH("0",C78,1)-1),1)&amp;INT(RIGHT(C78,4)),RIGHT(LEFT(C78,SEARCH("0",C78,1)-1),1)&amp;INT(RIGHT(C78,4))))</f>
        <v/>
      </c>
      <c r="F82" s="11" t="str">
        <f>IF(G82=0,"",VLOOKUP(D82,[1]Worksheet!$A:$C,3,0))</f>
        <v/>
      </c>
      <c r="G82" s="12"/>
      <c r="H82" s="12"/>
      <c r="I82" s="23"/>
      <c r="J82" s="90" t="str">
        <f t="shared" si="93"/>
        <v/>
      </c>
      <c r="K82" s="95"/>
      <c r="L82" s="95"/>
      <c r="M82" s="80"/>
      <c r="N82" s="45">
        <f t="shared" si="91"/>
        <v>0</v>
      </c>
      <c r="O82" s="29">
        <f t="shared" si="85"/>
        <v>0</v>
      </c>
      <c r="P82" s="112"/>
      <c r="Q82" s="36">
        <f t="shared" si="86"/>
        <v>0</v>
      </c>
      <c r="R82" s="115"/>
      <c r="S82" s="100" t="str">
        <f>IFERROR(VLOOKUP(D82,[1]Worksheet!$A:$F,6,0),"")</f>
        <v/>
      </c>
      <c r="T82" s="118"/>
      <c r="U82" s="78" t="str">
        <f t="shared" si="87"/>
        <v/>
      </c>
      <c r="V82" t="str">
        <f t="shared" si="88"/>
        <v/>
      </c>
    </row>
    <row r="83" spans="1:27" ht="32.450000000000003" customHeight="1">
      <c r="A83" s="102">
        <f>A78+1</f>
        <v>17</v>
      </c>
      <c r="B83" s="106"/>
      <c r="C83" s="119"/>
      <c r="D83" s="53" t="str">
        <f>IF(G83=0,"",C83&amp;"-"&amp;G83)</f>
        <v/>
      </c>
      <c r="E83" s="53" t="str">
        <f>IF(G83="","",IF(LEN(LEFT(C83,SEARCH("0",C83,1)-1))&lt;2,RIGHT(LEFT(C83,SEARCH("0",C83,1)-1),1)&amp;INT(RIGHT(C83,4)),RIGHT(LEFT(C83,SEARCH("0",C83,1)-1),1)&amp;INT(RIGHT(C83,4))))</f>
        <v/>
      </c>
      <c r="F83" s="2" t="str">
        <f>IF(G83=0,"",VLOOKUP(D83,[1]Worksheet!$A:$C,3,0))</f>
        <v/>
      </c>
      <c r="G83" s="88"/>
      <c r="H83" s="4"/>
      <c r="I83" s="20"/>
      <c r="J83" s="89" t="str">
        <f t="shared" si="93"/>
        <v/>
      </c>
      <c r="K83" s="93"/>
      <c r="L83" s="93"/>
      <c r="M83" s="79"/>
      <c r="N83" s="42">
        <f t="shared" si="91"/>
        <v>0</v>
      </c>
      <c r="O83" s="27">
        <f t="shared" si="85"/>
        <v>0</v>
      </c>
      <c r="P83" s="110">
        <f>SUM(O83:O87)</f>
        <v>0</v>
      </c>
      <c r="Q83" s="35">
        <f t="shared" si="86"/>
        <v>0</v>
      </c>
      <c r="R83" s="113">
        <f>SUM(Q83:Q87)</f>
        <v>0</v>
      </c>
      <c r="S83" s="100" t="str">
        <f>IFERROR(VLOOKUP(D83,[1]Worksheet!$A:$F,6,0),"")</f>
        <v/>
      </c>
      <c r="T83" s="116" t="str">
        <f t="shared" ref="T83" si="95">IF(P83=R83,"",IF(P83&gt;R83,"Loss",IF(P83&lt;R83,"Over")))</f>
        <v/>
      </c>
      <c r="U83" s="78" t="str">
        <f t="shared" si="87"/>
        <v/>
      </c>
      <c r="V83" t="str">
        <f t="shared" si="88"/>
        <v/>
      </c>
    </row>
    <row r="84" spans="1:27" ht="32.450000000000003" customHeight="1">
      <c r="A84" s="103"/>
      <c r="B84" s="107"/>
      <c r="C84" s="120"/>
      <c r="D84" s="54" t="str">
        <f>IF(G84=0,"",C83&amp;"-"&amp;G84)</f>
        <v/>
      </c>
      <c r="E84" s="54" t="str">
        <f>IF(G84="","",IF(LEN(LEFT(C83,SEARCH("0",C83,1)-1))&lt;2,RIGHT(LEFT(C83,SEARCH("0",C83,1)-1),1)&amp;INT(RIGHT(C83,4)),RIGHT(LEFT(C83,SEARCH("0",C83,1)-1),1)&amp;INT(RIGHT(C83,4))))</f>
        <v/>
      </c>
      <c r="F84" s="5" t="str">
        <f>IF(G84=0,"",VLOOKUP(D84,[1]Worksheet!$A:$C,3,0))</f>
        <v/>
      </c>
      <c r="G84" s="9"/>
      <c r="H84" s="7"/>
      <c r="I84" s="21"/>
      <c r="J84" s="68" t="str">
        <f t="shared" si="93"/>
        <v/>
      </c>
      <c r="K84" s="94"/>
      <c r="L84" s="94"/>
      <c r="M84" s="81"/>
      <c r="N84" s="43">
        <f t="shared" si="91"/>
        <v>0</v>
      </c>
      <c r="O84" s="28">
        <f t="shared" si="85"/>
        <v>0</v>
      </c>
      <c r="P84" s="111"/>
      <c r="Q84" s="32">
        <f t="shared" si="86"/>
        <v>0</v>
      </c>
      <c r="R84" s="114"/>
      <c r="S84" s="100" t="str">
        <f>IFERROR(VLOOKUP(D84,[1]Worksheet!$A:$F,6,0),"")</f>
        <v/>
      </c>
      <c r="T84" s="117"/>
      <c r="U84" s="78" t="str">
        <f t="shared" si="87"/>
        <v/>
      </c>
      <c r="V84" t="str">
        <f t="shared" si="88"/>
        <v/>
      </c>
    </row>
    <row r="85" spans="1:27" ht="32.450000000000003" customHeight="1">
      <c r="A85" s="104"/>
      <c r="B85" s="108"/>
      <c r="C85" s="120"/>
      <c r="D85" s="54" t="str">
        <f>IF(G85=0,"",C83&amp;"-"&amp;G85)</f>
        <v/>
      </c>
      <c r="E85" s="54" t="str">
        <f>IF(G85="","",IF(LEN(LEFT(C83,SEARCH("0",C83,1)-1))&lt;2,RIGHT(LEFT(C83,SEARCH("0",C83,1)-1),1)&amp;INT(RIGHT(C83,4)),RIGHT(LEFT(C83,SEARCH("0",C83,1)-1),1)&amp;INT(RIGHT(C83,4))))</f>
        <v/>
      </c>
      <c r="F85" s="8" t="str">
        <f>IF(G85=0,"",VLOOKUP(D85,[1]Worksheet!$A:$C,3,0))</f>
        <v/>
      </c>
      <c r="G85" s="9"/>
      <c r="H85" s="10"/>
      <c r="I85" s="22"/>
      <c r="J85" s="68" t="str">
        <f t="shared" si="93"/>
        <v/>
      </c>
      <c r="K85" s="94"/>
      <c r="L85" s="94"/>
      <c r="M85" s="81"/>
      <c r="N85" s="44">
        <f t="shared" si="91"/>
        <v>0</v>
      </c>
      <c r="O85" s="28">
        <f t="shared" si="85"/>
        <v>0</v>
      </c>
      <c r="P85" s="111"/>
      <c r="Q85" s="32">
        <f t="shared" si="86"/>
        <v>0</v>
      </c>
      <c r="R85" s="114"/>
      <c r="S85" s="100" t="str">
        <f>IFERROR(VLOOKUP(D85,[1]Worksheet!$A:$F,6,0),"")</f>
        <v/>
      </c>
      <c r="T85" s="117"/>
      <c r="U85" s="78" t="str">
        <f t="shared" si="87"/>
        <v/>
      </c>
      <c r="V85" t="str">
        <f t="shared" si="88"/>
        <v/>
      </c>
    </row>
    <row r="86" spans="1:27" ht="32.450000000000003" customHeight="1">
      <c r="A86" s="104"/>
      <c r="B86" s="108"/>
      <c r="C86" s="120"/>
      <c r="D86" s="54" t="str">
        <f>IF(G86=0,"",C83&amp;"-"&amp;G86)</f>
        <v/>
      </c>
      <c r="E86" s="54" t="str">
        <f>IF(G86="","",IF(LEN(LEFT(C83,SEARCH("0",C83,1)-1))&lt;2,RIGHT(LEFT(C83,SEARCH("0",C83,1)-1),1)&amp;INT(RIGHT(C83,4)),RIGHT(LEFT(C83,SEARCH("0",C83,1)-1),1)&amp;INT(RIGHT(C83,4))))</f>
        <v/>
      </c>
      <c r="F86" s="8" t="str">
        <f>IF(G86=0,"",VLOOKUP(D86,[1]Worksheet!$A:$C,3,0))</f>
        <v/>
      </c>
      <c r="G86" s="10"/>
      <c r="H86" s="10"/>
      <c r="I86" s="22"/>
      <c r="J86" s="68" t="str">
        <f t="shared" si="93"/>
        <v/>
      </c>
      <c r="K86" s="94"/>
      <c r="L86" s="94"/>
      <c r="M86" s="82"/>
      <c r="N86" s="43">
        <f t="shared" si="91"/>
        <v>0</v>
      </c>
      <c r="O86" s="28">
        <f t="shared" si="85"/>
        <v>0</v>
      </c>
      <c r="P86" s="111"/>
      <c r="Q86" s="32">
        <f t="shared" si="86"/>
        <v>0</v>
      </c>
      <c r="R86" s="114"/>
      <c r="S86" s="100" t="str">
        <f>IFERROR(VLOOKUP(D86,[1]Worksheet!$A:$F,6,0),"")</f>
        <v/>
      </c>
      <c r="T86" s="117"/>
      <c r="U86" s="78" t="str">
        <f t="shared" si="87"/>
        <v/>
      </c>
      <c r="V86" t="str">
        <f t="shared" si="88"/>
        <v/>
      </c>
    </row>
    <row r="87" spans="1:27" ht="32.450000000000003" customHeight="1" thickBot="1">
      <c r="A87" s="105"/>
      <c r="B87" s="109"/>
      <c r="C87" s="121"/>
      <c r="D87" s="55" t="str">
        <f>IF(G87=0,"",C83&amp;"-"&amp;G87)</f>
        <v/>
      </c>
      <c r="E87" s="55" t="str">
        <f>IF(G87="","",IF(LEN(LEFT(C83,SEARCH("0",C83,1)-1))&lt;2,RIGHT(LEFT(C83,SEARCH("0",C83,1)-1),1)&amp;INT(RIGHT(C83,4)),RIGHT(LEFT(C83,SEARCH("0",C83,1)-1),1)&amp;INT(RIGHT(C83,4))))</f>
        <v/>
      </c>
      <c r="F87" s="11" t="str">
        <f>IF(G87=0,"",VLOOKUP(D87,[1]Worksheet!$A:$C,3,0))</f>
        <v/>
      </c>
      <c r="G87" s="12"/>
      <c r="H87" s="12"/>
      <c r="I87" s="23"/>
      <c r="J87" s="90" t="str">
        <f t="shared" si="93"/>
        <v/>
      </c>
      <c r="K87" s="95"/>
      <c r="L87" s="95"/>
      <c r="M87" s="80"/>
      <c r="N87" s="45">
        <f t="shared" si="91"/>
        <v>0</v>
      </c>
      <c r="O87" s="29">
        <f t="shared" si="85"/>
        <v>0</v>
      </c>
      <c r="P87" s="112"/>
      <c r="Q87" s="36">
        <f t="shared" si="86"/>
        <v>0</v>
      </c>
      <c r="R87" s="115"/>
      <c r="S87" s="100" t="str">
        <f>IFERROR(VLOOKUP(D87,[1]Worksheet!$A:$F,6,0),"")</f>
        <v/>
      </c>
      <c r="T87" s="118"/>
      <c r="U87" s="78" t="str">
        <f t="shared" si="87"/>
        <v/>
      </c>
      <c r="V87" t="str">
        <f t="shared" si="88"/>
        <v/>
      </c>
    </row>
    <row r="88" spans="1:27" ht="32.450000000000003" customHeight="1">
      <c r="A88" s="102">
        <f>A83+1</f>
        <v>18</v>
      </c>
      <c r="B88" s="106"/>
      <c r="C88" s="119"/>
      <c r="D88" s="53" t="str">
        <f>IF(G88=0,"",C88&amp;"-"&amp;G88)</f>
        <v/>
      </c>
      <c r="E88" s="53" t="str">
        <f>IF(G88="","",IF(LEN(LEFT(C88,SEARCH("0",C88,1)-1))&lt;2,RIGHT(LEFT(C88,SEARCH("0",C88,1)-1),1)&amp;INT(RIGHT(C88,4)),RIGHT(LEFT(C88,SEARCH("0",C88,1)-1),1)&amp;INT(RIGHT(C88,4))))</f>
        <v/>
      </c>
      <c r="F88" s="2" t="str">
        <f>IF(G88=0,"",VLOOKUP(D88,[1]Worksheet!$A:$C,3,0))</f>
        <v/>
      </c>
      <c r="G88" s="88"/>
      <c r="H88" s="4"/>
      <c r="I88" s="20"/>
      <c r="J88" s="89" t="str">
        <f t="shared" si="93"/>
        <v/>
      </c>
      <c r="K88" s="93"/>
      <c r="L88" s="93"/>
      <c r="M88" s="79"/>
      <c r="N88" s="42">
        <f t="shared" si="91"/>
        <v>0</v>
      </c>
      <c r="O88" s="27">
        <f t="shared" si="85"/>
        <v>0</v>
      </c>
      <c r="P88" s="110">
        <f>SUM(O88:O92)</f>
        <v>0</v>
      </c>
      <c r="Q88" s="35">
        <f t="shared" si="86"/>
        <v>0</v>
      </c>
      <c r="R88" s="113">
        <f>SUM(Q88:Q92)</f>
        <v>0</v>
      </c>
      <c r="S88" s="100" t="str">
        <f>IFERROR(VLOOKUP(D88,[1]Worksheet!$A:$F,6,0),"")</f>
        <v/>
      </c>
      <c r="T88" s="116" t="str">
        <f t="shared" ref="T88" si="96">IF(P88=R88,"",IF(P88&gt;R88,"Loss",IF(P88&lt;R88,"Over")))</f>
        <v/>
      </c>
      <c r="U88" s="78" t="str">
        <f t="shared" si="87"/>
        <v/>
      </c>
      <c r="V88" t="str">
        <f t="shared" si="88"/>
        <v/>
      </c>
    </row>
    <row r="89" spans="1:27" ht="32.450000000000003" customHeight="1">
      <c r="A89" s="103"/>
      <c r="B89" s="107"/>
      <c r="C89" s="120"/>
      <c r="D89" s="54" t="str">
        <f>IF(G89=0,"",C88&amp;"-"&amp;G89)</f>
        <v/>
      </c>
      <c r="E89" s="54" t="str">
        <f>IF(G89="","",IF(LEN(LEFT(C88,SEARCH("0",C88,1)-1))&lt;2,RIGHT(LEFT(C88,SEARCH("0",C88,1)-1),1)&amp;INT(RIGHT(C88,4)),RIGHT(LEFT(C88,SEARCH("0",C88,1)-1),1)&amp;INT(RIGHT(C88,4))))</f>
        <v/>
      </c>
      <c r="F89" s="5" t="str">
        <f>IF(G89=0,"",VLOOKUP(D89,[1]Worksheet!$A:$C,3,0))</f>
        <v/>
      </c>
      <c r="G89" s="9"/>
      <c r="H89" s="7"/>
      <c r="I89" s="21"/>
      <c r="J89" s="68" t="str">
        <f t="shared" si="93"/>
        <v/>
      </c>
      <c r="K89" s="94"/>
      <c r="L89" s="94"/>
      <c r="M89" s="81"/>
      <c r="N89" s="43">
        <f t="shared" si="91"/>
        <v>0</v>
      </c>
      <c r="O89" s="28">
        <f t="shared" si="85"/>
        <v>0</v>
      </c>
      <c r="P89" s="111"/>
      <c r="Q89" s="32">
        <f t="shared" si="86"/>
        <v>0</v>
      </c>
      <c r="R89" s="114"/>
      <c r="S89" s="100" t="str">
        <f>IFERROR(VLOOKUP(D89,[1]Worksheet!$A:$F,6,0),"")</f>
        <v/>
      </c>
      <c r="T89" s="117"/>
      <c r="U89" s="78" t="str">
        <f t="shared" si="87"/>
        <v/>
      </c>
      <c r="V89" t="str">
        <f t="shared" si="88"/>
        <v/>
      </c>
    </row>
    <row r="90" spans="1:27" ht="32.450000000000003" customHeight="1">
      <c r="A90" s="104"/>
      <c r="B90" s="108"/>
      <c r="C90" s="120"/>
      <c r="D90" s="54" t="str">
        <f>IF(G90=0,"",C88&amp;"-"&amp;G90)</f>
        <v/>
      </c>
      <c r="E90" s="54" t="str">
        <f>IF(G90="","",IF(LEN(LEFT(C88,SEARCH("0",C88,1)-1))&lt;2,RIGHT(LEFT(C88,SEARCH("0",C88,1)-1),1)&amp;INT(RIGHT(C88,4)),RIGHT(LEFT(C88,SEARCH("0",C88,1)-1),1)&amp;INT(RIGHT(C88,4))))</f>
        <v/>
      </c>
      <c r="F90" s="8" t="str">
        <f>IF(G90=0,"",VLOOKUP(D90,[1]Worksheet!$A:$C,3,0))</f>
        <v/>
      </c>
      <c r="G90" s="9"/>
      <c r="H90" s="10"/>
      <c r="I90" s="22"/>
      <c r="J90" s="68" t="str">
        <f t="shared" si="93"/>
        <v/>
      </c>
      <c r="K90" s="94"/>
      <c r="L90" s="94"/>
      <c r="M90" s="81"/>
      <c r="N90" s="44">
        <f t="shared" si="91"/>
        <v>0</v>
      </c>
      <c r="O90" s="28">
        <f t="shared" si="85"/>
        <v>0</v>
      </c>
      <c r="P90" s="111"/>
      <c r="Q90" s="32">
        <f t="shared" si="86"/>
        <v>0</v>
      </c>
      <c r="R90" s="114"/>
      <c r="S90" s="100" t="str">
        <f>IFERROR(VLOOKUP(D90,[1]Worksheet!$A:$F,6,0),"")</f>
        <v/>
      </c>
      <c r="T90" s="117"/>
      <c r="U90" s="78" t="str">
        <f t="shared" si="87"/>
        <v/>
      </c>
      <c r="V90" t="str">
        <f t="shared" si="88"/>
        <v/>
      </c>
    </row>
    <row r="91" spans="1:27" ht="32.450000000000003" customHeight="1">
      <c r="A91" s="104"/>
      <c r="B91" s="108"/>
      <c r="C91" s="120"/>
      <c r="D91" s="54" t="str">
        <f>IF(G91=0,"",C88&amp;"-"&amp;G91)</f>
        <v/>
      </c>
      <c r="E91" s="54" t="str">
        <f>IF(G91="","",IF(LEN(LEFT(C88,SEARCH("0",C88,1)-1))&lt;2,RIGHT(LEFT(C88,SEARCH("0",C88,1)-1),1)&amp;INT(RIGHT(C88,4)),RIGHT(LEFT(C88,SEARCH("0",C88,1)-1),1)&amp;INT(RIGHT(C88,4))))</f>
        <v/>
      </c>
      <c r="F91" s="8" t="str">
        <f>IF(G91=0,"",VLOOKUP(D91,[1]Worksheet!$A:$C,3,0))</f>
        <v/>
      </c>
      <c r="G91" s="10"/>
      <c r="H91" s="10"/>
      <c r="I91" s="22"/>
      <c r="J91" s="68" t="str">
        <f t="shared" si="93"/>
        <v/>
      </c>
      <c r="K91" s="94"/>
      <c r="L91" s="94"/>
      <c r="M91" s="82"/>
      <c r="N91" s="43">
        <f t="shared" si="91"/>
        <v>0</v>
      </c>
      <c r="O91" s="28">
        <f t="shared" si="85"/>
        <v>0</v>
      </c>
      <c r="P91" s="111"/>
      <c r="Q91" s="32">
        <f t="shared" si="86"/>
        <v>0</v>
      </c>
      <c r="R91" s="114"/>
      <c r="S91" s="100" t="str">
        <f>IFERROR(VLOOKUP(D91,[1]Worksheet!$A:$F,6,0),"")</f>
        <v/>
      </c>
      <c r="T91" s="117"/>
      <c r="U91" s="78" t="str">
        <f t="shared" si="87"/>
        <v/>
      </c>
      <c r="V91" t="str">
        <f t="shared" si="88"/>
        <v/>
      </c>
    </row>
    <row r="92" spans="1:27" ht="32.450000000000003" customHeight="1" thickBot="1">
      <c r="A92" s="105"/>
      <c r="B92" s="109"/>
      <c r="C92" s="121"/>
      <c r="D92" s="55" t="str">
        <f>IF(G92=0,"",C88&amp;"-"&amp;G92)</f>
        <v/>
      </c>
      <c r="E92" s="55" t="str">
        <f>IF(G92="","",IF(LEN(LEFT(C88,SEARCH("0",C88,1)-1))&lt;2,RIGHT(LEFT(C88,SEARCH("0",C88,1)-1),1)&amp;INT(RIGHT(C88,4)),RIGHT(LEFT(C88,SEARCH("0",C88,1)-1),1)&amp;INT(RIGHT(C88,4))))</f>
        <v/>
      </c>
      <c r="F92" s="11" t="str">
        <f>IF(G92=0,"",VLOOKUP(D92,[1]Worksheet!$A:$C,3,0))</f>
        <v/>
      </c>
      <c r="G92" s="12"/>
      <c r="H92" s="12"/>
      <c r="I92" s="23"/>
      <c r="J92" s="90" t="str">
        <f t="shared" si="93"/>
        <v/>
      </c>
      <c r="K92" s="95"/>
      <c r="L92" s="95"/>
      <c r="M92" s="80"/>
      <c r="N92" s="45">
        <f t="shared" si="91"/>
        <v>0</v>
      </c>
      <c r="O92" s="29">
        <f t="shared" si="85"/>
        <v>0</v>
      </c>
      <c r="P92" s="112"/>
      <c r="Q92" s="36">
        <f t="shared" si="86"/>
        <v>0</v>
      </c>
      <c r="R92" s="115"/>
      <c r="S92" s="100" t="str">
        <f>IFERROR(VLOOKUP(D92,[1]Worksheet!$A:$F,6,0),"")</f>
        <v/>
      </c>
      <c r="T92" s="118"/>
      <c r="U92" s="78" t="str">
        <f t="shared" si="87"/>
        <v/>
      </c>
      <c r="V92" t="str">
        <f t="shared" si="88"/>
        <v/>
      </c>
    </row>
    <row r="93" spans="1:27" ht="32.450000000000003" customHeight="1">
      <c r="A93" s="102">
        <f>A88+1</f>
        <v>19</v>
      </c>
      <c r="B93" s="106"/>
      <c r="C93" s="119"/>
      <c r="D93" s="53" t="str">
        <f>IF(G93=0,"",C93&amp;"-"&amp;G93)</f>
        <v/>
      </c>
      <c r="E93" s="53" t="str">
        <f>IF(G93="","",IF(LEN(LEFT(C93,SEARCH("0",C93,1)-1))&lt;2,RIGHT(LEFT(C93,SEARCH("0",C93,1)-1),1)&amp;INT(RIGHT(C93,4)),RIGHT(LEFT(C93,SEARCH("0",C93,1)-1),1)&amp;INT(RIGHT(C93,4))))</f>
        <v/>
      </c>
      <c r="F93" s="2" t="str">
        <f>IF(G93=0,"",VLOOKUP(D93,[1]Worksheet!$A:$C,3,0))</f>
        <v/>
      </c>
      <c r="G93" s="88"/>
      <c r="H93" s="4"/>
      <c r="I93" s="20"/>
      <c r="J93" s="89" t="str">
        <f t="shared" si="93"/>
        <v/>
      </c>
      <c r="K93" s="93"/>
      <c r="L93" s="93"/>
      <c r="M93" s="79"/>
      <c r="N93" s="42">
        <f t="shared" si="91"/>
        <v>0</v>
      </c>
      <c r="O93" s="27">
        <f t="shared" si="85"/>
        <v>0</v>
      </c>
      <c r="P93" s="110">
        <f>SUM(O93:O97)</f>
        <v>0</v>
      </c>
      <c r="Q93" s="35">
        <f t="shared" si="86"/>
        <v>0</v>
      </c>
      <c r="R93" s="113">
        <f>SUM(Q93:Q97)</f>
        <v>0</v>
      </c>
      <c r="S93" s="100" t="str">
        <f>IFERROR(VLOOKUP(D93,[1]Worksheet!$A:$F,6,0),"")</f>
        <v/>
      </c>
      <c r="T93" s="116" t="str">
        <f t="shared" ref="T93" si="97">IF(P93=R93,"",IF(P93&gt;R93,"Loss",IF(P93&lt;R93,"Over")))</f>
        <v/>
      </c>
      <c r="U93" s="78" t="str">
        <f t="shared" si="87"/>
        <v/>
      </c>
      <c r="V93" t="str">
        <f t="shared" si="88"/>
        <v/>
      </c>
    </row>
    <row r="94" spans="1:27" ht="32.450000000000003" customHeight="1">
      <c r="A94" s="103"/>
      <c r="B94" s="107"/>
      <c r="C94" s="120"/>
      <c r="D94" s="54" t="str">
        <f>IF(G94=0,"",C93&amp;"-"&amp;G94)</f>
        <v/>
      </c>
      <c r="E94" s="54" t="str">
        <f>IF(G94="","",IF(LEN(LEFT(C93,SEARCH("0",C93,1)-1))&lt;2,RIGHT(LEFT(C93,SEARCH("0",C93,1)-1),1)&amp;INT(RIGHT(C93,4)),RIGHT(LEFT(C93,SEARCH("0",C93,1)-1),1)&amp;INT(RIGHT(C93,4))))</f>
        <v/>
      </c>
      <c r="F94" s="5" t="str">
        <f>IF(G94=0,"",VLOOKUP(D94,[1]Worksheet!$A:$C,3,0))</f>
        <v/>
      </c>
      <c r="G94" s="9"/>
      <c r="H94" s="7"/>
      <c r="I94" s="21"/>
      <c r="J94" s="68" t="str">
        <f t="shared" si="93"/>
        <v/>
      </c>
      <c r="K94" s="94"/>
      <c r="L94" s="94"/>
      <c r="M94" s="81"/>
      <c r="N94" s="43">
        <f t="shared" si="91"/>
        <v>0</v>
      </c>
      <c r="O94" s="28">
        <f t="shared" si="85"/>
        <v>0</v>
      </c>
      <c r="P94" s="111"/>
      <c r="Q94" s="32">
        <f t="shared" si="86"/>
        <v>0</v>
      </c>
      <c r="R94" s="114"/>
      <c r="S94" s="100" t="str">
        <f>IFERROR(VLOOKUP(D94,[1]Worksheet!$A:$F,6,0),"")</f>
        <v/>
      </c>
      <c r="T94" s="117"/>
      <c r="U94" s="78" t="str">
        <f t="shared" si="87"/>
        <v/>
      </c>
      <c r="V94" t="str">
        <f t="shared" si="88"/>
        <v/>
      </c>
    </row>
    <row r="95" spans="1:27" ht="32.450000000000003" customHeight="1">
      <c r="A95" s="104"/>
      <c r="B95" s="108"/>
      <c r="C95" s="120"/>
      <c r="D95" s="54" t="str">
        <f>IF(G95=0,"",C93&amp;"-"&amp;G95)</f>
        <v/>
      </c>
      <c r="E95" s="54" t="str">
        <f>IF(G95="","",IF(LEN(LEFT(C93,SEARCH("0",C93,1)-1))&lt;2,RIGHT(LEFT(C93,SEARCH("0",C93,1)-1),1)&amp;INT(RIGHT(C93,4)),RIGHT(LEFT(C93,SEARCH("0",C93,1)-1),1)&amp;INT(RIGHT(C93,4))))</f>
        <v/>
      </c>
      <c r="F95" s="8" t="str">
        <f>IF(G95=0,"",VLOOKUP(D95,[1]Worksheet!$A:$C,3,0))</f>
        <v/>
      </c>
      <c r="G95" s="9"/>
      <c r="H95" s="10"/>
      <c r="I95" s="22"/>
      <c r="J95" s="68" t="str">
        <f t="shared" si="93"/>
        <v/>
      </c>
      <c r="K95" s="94"/>
      <c r="L95" s="94"/>
      <c r="M95" s="81"/>
      <c r="N95" s="44">
        <f t="shared" si="91"/>
        <v>0</v>
      </c>
      <c r="O95" s="28">
        <f t="shared" si="85"/>
        <v>0</v>
      </c>
      <c r="P95" s="111"/>
      <c r="Q95" s="32">
        <f t="shared" si="86"/>
        <v>0</v>
      </c>
      <c r="R95" s="114"/>
      <c r="S95" s="100" t="str">
        <f>IFERROR(VLOOKUP(D95,[1]Worksheet!$A:$F,6,0),"")</f>
        <v/>
      </c>
      <c r="T95" s="117"/>
      <c r="U95" s="78" t="str">
        <f t="shared" si="87"/>
        <v/>
      </c>
      <c r="V95" t="str">
        <f t="shared" si="88"/>
        <v/>
      </c>
      <c r="Y95" s="64"/>
      <c r="Z95" s="64"/>
      <c r="AA95" s="64"/>
    </row>
    <row r="96" spans="1:27" ht="32.450000000000003" customHeight="1">
      <c r="A96" s="104"/>
      <c r="B96" s="108"/>
      <c r="C96" s="120"/>
      <c r="D96" s="54" t="str">
        <f>IF(G96=0,"",C93&amp;"-"&amp;G96)</f>
        <v/>
      </c>
      <c r="E96" s="54" t="str">
        <f>IF(G96="","",IF(LEN(LEFT(C93,SEARCH("0",C93,1)-1))&lt;2,RIGHT(LEFT(C93,SEARCH("0",C93,1)-1),1)&amp;INT(RIGHT(C93,4)),RIGHT(LEFT(C93,SEARCH("0",C93,1)-1),1)&amp;INT(RIGHT(C93,4))))</f>
        <v/>
      </c>
      <c r="F96" s="8" t="str">
        <f>IF(G96=0,"",VLOOKUP(D96,[1]Worksheet!$A:$C,3,0))</f>
        <v/>
      </c>
      <c r="G96" s="10"/>
      <c r="H96" s="10"/>
      <c r="I96" s="22"/>
      <c r="J96" s="68" t="str">
        <f t="shared" si="93"/>
        <v/>
      </c>
      <c r="K96" s="94"/>
      <c r="L96" s="94"/>
      <c r="M96" s="82"/>
      <c r="N96" s="43">
        <f t="shared" si="91"/>
        <v>0</v>
      </c>
      <c r="O96" s="28">
        <f t="shared" si="85"/>
        <v>0</v>
      </c>
      <c r="P96" s="111"/>
      <c r="Q96" s="32">
        <f t="shared" si="86"/>
        <v>0</v>
      </c>
      <c r="R96" s="114"/>
      <c r="S96" s="100" t="str">
        <f>IFERROR(VLOOKUP(D96,[1]Worksheet!$A:$F,6,0),"")</f>
        <v/>
      </c>
      <c r="T96" s="117"/>
      <c r="U96" s="78" t="str">
        <f t="shared" si="87"/>
        <v/>
      </c>
      <c r="V96" t="str">
        <f t="shared" si="88"/>
        <v/>
      </c>
    </row>
    <row r="97" spans="1:22" ht="32.450000000000003" customHeight="1" thickBot="1">
      <c r="A97" s="105"/>
      <c r="B97" s="109"/>
      <c r="C97" s="121"/>
      <c r="D97" s="55" t="str">
        <f>IF(G97=0,"",C93&amp;"-"&amp;G97)</f>
        <v/>
      </c>
      <c r="E97" s="55" t="str">
        <f>IF(G97="","",IF(LEN(LEFT(C93,SEARCH("0",C93,1)-1))&lt;2,RIGHT(LEFT(C93,SEARCH("0",C93,1)-1),1)&amp;INT(RIGHT(C93,4)),RIGHT(LEFT(C93,SEARCH("0",C93,1)-1),1)&amp;INT(RIGHT(C93,4))))</f>
        <v/>
      </c>
      <c r="F97" s="11" t="str">
        <f>IF(G97=0,"",VLOOKUP(D97,[1]Worksheet!$A:$C,3,0))</f>
        <v/>
      </c>
      <c r="G97" s="12"/>
      <c r="H97" s="12"/>
      <c r="I97" s="23"/>
      <c r="J97" s="90" t="str">
        <f t="shared" si="93"/>
        <v/>
      </c>
      <c r="K97" s="95"/>
      <c r="L97" s="95"/>
      <c r="M97" s="80"/>
      <c r="N97" s="45">
        <f t="shared" si="91"/>
        <v>0</v>
      </c>
      <c r="O97" s="29">
        <f t="shared" si="85"/>
        <v>0</v>
      </c>
      <c r="P97" s="112"/>
      <c r="Q97" s="36">
        <f t="shared" si="86"/>
        <v>0</v>
      </c>
      <c r="R97" s="115"/>
      <c r="S97" s="100" t="str">
        <f>IFERROR(VLOOKUP(D97,[1]Worksheet!$A:$F,6,0),"")</f>
        <v/>
      </c>
      <c r="T97" s="118"/>
      <c r="U97" s="78" t="str">
        <f t="shared" si="87"/>
        <v/>
      </c>
      <c r="V97" t="str">
        <f t="shared" si="88"/>
        <v/>
      </c>
    </row>
    <row r="98" spans="1:22" ht="32.450000000000003" customHeight="1">
      <c r="A98" s="102">
        <f>A93+1</f>
        <v>20</v>
      </c>
      <c r="B98" s="122"/>
      <c r="C98" s="119"/>
      <c r="D98" s="53" t="str">
        <f>IF(G98=0,"",C98&amp;"-"&amp;G98)</f>
        <v/>
      </c>
      <c r="E98" s="53" t="str">
        <f>IF(G98="","",IF(LEN(LEFT(C98,SEARCH("0",C98,1)-1))&lt;2,RIGHT(LEFT(C98,SEARCH("0",C98,1)-1),1)&amp;INT(RIGHT(C98,4)),RIGHT(LEFT(C98,SEARCH("0",C98,1)-1),1)&amp;INT(RIGHT(C98,4))))</f>
        <v/>
      </c>
      <c r="F98" s="2" t="str">
        <f>IF(G98=0,"",VLOOKUP(D98,[1]Worksheet!$A:$C,3,0))</f>
        <v/>
      </c>
      <c r="G98" s="88"/>
      <c r="H98" s="4"/>
      <c r="I98" s="20"/>
      <c r="J98" s="89" t="str">
        <f t="shared" si="93"/>
        <v/>
      </c>
      <c r="K98" s="93"/>
      <c r="L98" s="93"/>
      <c r="M98" s="79"/>
      <c r="N98" s="42">
        <f t="shared" si="91"/>
        <v>0</v>
      </c>
      <c r="O98" s="27">
        <f t="shared" si="85"/>
        <v>0</v>
      </c>
      <c r="P98" s="110">
        <f>SUM(O98:O102)</f>
        <v>0</v>
      </c>
      <c r="Q98" s="35">
        <f t="shared" si="86"/>
        <v>0</v>
      </c>
      <c r="R98" s="113">
        <f>SUM(Q98:Q102)</f>
        <v>0</v>
      </c>
      <c r="S98" s="100" t="str">
        <f>IFERROR(VLOOKUP(D98,[1]Worksheet!$A:$F,6,0),"")</f>
        <v/>
      </c>
      <c r="T98" s="116" t="str">
        <f t="shared" ref="T98" si="98">IF(P98=R98,"",IF(P98&gt;R98,"Loss",IF(P98&lt;R98,"Over")))</f>
        <v/>
      </c>
      <c r="U98" s="78" t="str">
        <f t="shared" si="87"/>
        <v/>
      </c>
      <c r="V98" t="str">
        <f t="shared" si="88"/>
        <v/>
      </c>
    </row>
    <row r="99" spans="1:22" ht="32.450000000000003" customHeight="1">
      <c r="A99" s="103"/>
      <c r="B99" s="107"/>
      <c r="C99" s="120"/>
      <c r="D99" s="54" t="str">
        <f>IF(G99=0,"",C98&amp;"-"&amp;G99)</f>
        <v/>
      </c>
      <c r="E99" s="54" t="str">
        <f>IF(G99="","",IF(LEN(LEFT(C98,SEARCH("0",C98,1)-1))&lt;2,RIGHT(LEFT(C98,SEARCH("0",C98,1)-1),1)&amp;INT(RIGHT(C98,4)),RIGHT(LEFT(C98,SEARCH("0",C98,1)-1),1)&amp;INT(RIGHT(C98,4))))</f>
        <v/>
      </c>
      <c r="F99" s="5" t="str">
        <f>IF(G99=0,"",VLOOKUP(D99,[1]Worksheet!$A:$C,3,0))</f>
        <v/>
      </c>
      <c r="G99" s="9"/>
      <c r="H99" s="7"/>
      <c r="I99" s="21"/>
      <c r="J99" s="68" t="str">
        <f t="shared" si="93"/>
        <v/>
      </c>
      <c r="K99" s="94"/>
      <c r="L99" s="94"/>
      <c r="M99" s="81"/>
      <c r="N99" s="43">
        <f t="shared" si="91"/>
        <v>0</v>
      </c>
      <c r="O99" s="28">
        <f t="shared" ref="O99:O130" si="99">H99*N99</f>
        <v>0</v>
      </c>
      <c r="P99" s="111"/>
      <c r="Q99" s="32">
        <f t="shared" ref="Q99:Q130" si="100">I99*N99</f>
        <v>0</v>
      </c>
      <c r="R99" s="114"/>
      <c r="S99" s="100" t="str">
        <f>IFERROR(VLOOKUP(D99,[1]Worksheet!$A:$F,6,0),"")</f>
        <v/>
      </c>
      <c r="T99" s="117"/>
      <c r="U99" s="78" t="str">
        <f t="shared" ref="U99:U130" si="101">LEFT(E99,1)</f>
        <v/>
      </c>
      <c r="V99" t="str">
        <f t="shared" ref="V99:V130" si="102">IF(H99&lt;&gt;I99,"F","")</f>
        <v/>
      </c>
    </row>
    <row r="100" spans="1:22" ht="32.450000000000003" customHeight="1">
      <c r="A100" s="104"/>
      <c r="B100" s="108"/>
      <c r="C100" s="120"/>
      <c r="D100" s="54" t="str">
        <f>IF(G100=0,"",C98&amp;"-"&amp;G100)</f>
        <v/>
      </c>
      <c r="E100" s="54" t="str">
        <f>IF(G100="","",IF(LEN(LEFT(C98,SEARCH("0",C98,1)-1))&lt;2,RIGHT(LEFT(C98,SEARCH("0",C98,1)-1),1)&amp;INT(RIGHT(C98,4)),RIGHT(LEFT(C98,SEARCH("0",C98,1)-1),1)&amp;INT(RIGHT(C98,4))))</f>
        <v/>
      </c>
      <c r="F100" s="8" t="str">
        <f>IF(G100=0,"",VLOOKUP(D100,[1]Worksheet!$A:$C,3,0))</f>
        <v/>
      </c>
      <c r="G100" s="9"/>
      <c r="H100" s="10"/>
      <c r="I100" s="22"/>
      <c r="J100" s="68" t="str">
        <f t="shared" si="93"/>
        <v/>
      </c>
      <c r="K100" s="94"/>
      <c r="L100" s="94"/>
      <c r="M100" s="81"/>
      <c r="N100" s="44">
        <f t="shared" si="91"/>
        <v>0</v>
      </c>
      <c r="O100" s="28">
        <f t="shared" si="99"/>
        <v>0</v>
      </c>
      <c r="P100" s="111"/>
      <c r="Q100" s="32">
        <f t="shared" si="100"/>
        <v>0</v>
      </c>
      <c r="R100" s="114"/>
      <c r="S100" s="100" t="str">
        <f>IFERROR(VLOOKUP(D100,[1]Worksheet!$A:$F,6,0),"")</f>
        <v/>
      </c>
      <c r="T100" s="117"/>
      <c r="U100" s="78" t="str">
        <f t="shared" si="101"/>
        <v/>
      </c>
      <c r="V100" t="str">
        <f t="shared" si="102"/>
        <v/>
      </c>
    </row>
    <row r="101" spans="1:22" ht="32.450000000000003" customHeight="1">
      <c r="A101" s="104"/>
      <c r="B101" s="108"/>
      <c r="C101" s="120"/>
      <c r="D101" s="54" t="str">
        <f>IF(G101=0,"",C98&amp;"-"&amp;G101)</f>
        <v/>
      </c>
      <c r="E101" s="54" t="str">
        <f>IF(G101="","",IF(LEN(LEFT(C98,SEARCH("0",C98,1)-1))&lt;2,RIGHT(LEFT(C98,SEARCH("0",C98,1)-1),1)&amp;INT(RIGHT(C98,4)),RIGHT(LEFT(C98,SEARCH("0",C98,1)-1),1)&amp;INT(RIGHT(C98,4))))</f>
        <v/>
      </c>
      <c r="F101" s="8" t="str">
        <f>IF(G101=0,"",VLOOKUP(D101,[1]Worksheet!$A:$C,3,0))</f>
        <v/>
      </c>
      <c r="G101" s="10"/>
      <c r="H101" s="10"/>
      <c r="I101" s="22"/>
      <c r="J101" s="68" t="str">
        <f t="shared" si="93"/>
        <v/>
      </c>
      <c r="K101" s="94"/>
      <c r="L101" s="94"/>
      <c r="M101" s="82"/>
      <c r="N101" s="43">
        <f t="shared" si="91"/>
        <v>0</v>
      </c>
      <c r="O101" s="28">
        <f t="shared" si="99"/>
        <v>0</v>
      </c>
      <c r="P101" s="111"/>
      <c r="Q101" s="32">
        <f t="shared" si="100"/>
        <v>0</v>
      </c>
      <c r="R101" s="114"/>
      <c r="S101" s="100" t="str">
        <f>IFERROR(VLOOKUP(D101,[1]Worksheet!$A:$F,6,0),"")</f>
        <v/>
      </c>
      <c r="T101" s="117"/>
      <c r="U101" s="78" t="str">
        <f t="shared" si="101"/>
        <v/>
      </c>
      <c r="V101" t="str">
        <f t="shared" si="102"/>
        <v/>
      </c>
    </row>
    <row r="102" spans="1:22" ht="32.450000000000003" customHeight="1" thickBot="1">
      <c r="A102" s="105"/>
      <c r="B102" s="109"/>
      <c r="C102" s="121"/>
      <c r="D102" s="55" t="str">
        <f>IF(G102=0,"",C98&amp;"-"&amp;G102)</f>
        <v/>
      </c>
      <c r="E102" s="55" t="str">
        <f>IF(G102="","",IF(LEN(LEFT(C98,SEARCH("0",C98,1)-1))&lt;2,RIGHT(LEFT(C98,SEARCH("0",C98,1)-1),1)&amp;INT(RIGHT(C98,4)),RIGHT(LEFT(C98,SEARCH("0",C98,1)-1),1)&amp;INT(RIGHT(C98,4))))</f>
        <v/>
      </c>
      <c r="F102" s="11" t="str">
        <f>IF(G102=0,"",VLOOKUP(D102,[1]Worksheet!$A:$C,3,0))</f>
        <v/>
      </c>
      <c r="G102" s="12"/>
      <c r="H102" s="12"/>
      <c r="I102" s="23"/>
      <c r="J102" s="90" t="str">
        <f t="shared" si="93"/>
        <v/>
      </c>
      <c r="K102" s="95"/>
      <c r="L102" s="95"/>
      <c r="M102" s="80"/>
      <c r="N102" s="45">
        <f t="shared" si="91"/>
        <v>0</v>
      </c>
      <c r="O102" s="29">
        <f t="shared" si="99"/>
        <v>0</v>
      </c>
      <c r="P102" s="112"/>
      <c r="Q102" s="36">
        <f t="shared" si="100"/>
        <v>0</v>
      </c>
      <c r="R102" s="115"/>
      <c r="S102" s="100" t="str">
        <f>IFERROR(VLOOKUP(D102,[1]Worksheet!$A:$F,6,0),"")</f>
        <v/>
      </c>
      <c r="T102" s="118"/>
      <c r="U102" s="78" t="str">
        <f t="shared" si="101"/>
        <v/>
      </c>
      <c r="V102" t="str">
        <f t="shared" si="102"/>
        <v/>
      </c>
    </row>
    <row r="103" spans="1:22" ht="32.450000000000003" customHeight="1">
      <c r="A103" s="102">
        <f>A98+1</f>
        <v>21</v>
      </c>
      <c r="B103" s="106"/>
      <c r="C103" s="119"/>
      <c r="D103" s="53" t="str">
        <f>IF(G103=0,"",C103&amp;"-"&amp;G103)</f>
        <v/>
      </c>
      <c r="E103" s="53" t="str">
        <f>IF(G103="","",IF(LEN(LEFT(C103,SEARCH("0",C103,1)-1))&lt;2,RIGHT(LEFT(C103,SEARCH("0",C103,1)-1),1)&amp;INT(RIGHT(C103,4)),RIGHT(LEFT(C103,SEARCH("0",C103,1)-1),1)&amp;INT(RIGHT(C103,4))))</f>
        <v/>
      </c>
      <c r="F103" s="2" t="str">
        <f>IF(G103=0,"",VLOOKUP(D103,[1]Worksheet!$A:$C,3,0))</f>
        <v/>
      </c>
      <c r="G103" s="88"/>
      <c r="H103" s="4"/>
      <c r="I103" s="20"/>
      <c r="J103" s="89" t="str">
        <f t="shared" si="93"/>
        <v/>
      </c>
      <c r="K103" s="93"/>
      <c r="L103" s="93"/>
      <c r="M103" s="79"/>
      <c r="N103" s="42">
        <f t="shared" si="91"/>
        <v>0</v>
      </c>
      <c r="O103" s="27">
        <f t="shared" si="99"/>
        <v>0</v>
      </c>
      <c r="P103" s="110">
        <f>SUM(O103:O107)</f>
        <v>0</v>
      </c>
      <c r="Q103" s="35">
        <f t="shared" si="100"/>
        <v>0</v>
      </c>
      <c r="R103" s="113">
        <f>SUM(Q103:Q107)</f>
        <v>0</v>
      </c>
      <c r="S103" s="100" t="str">
        <f>IFERROR(VLOOKUP(D103,[1]Worksheet!$A:$F,6,0),"")</f>
        <v/>
      </c>
      <c r="T103" s="116" t="str">
        <f t="shared" ref="T103" si="103">IF(P103=R103,"",IF(P103&gt;R103,"Loss",IF(P103&lt;R103,"Over")))</f>
        <v/>
      </c>
      <c r="U103" s="78" t="str">
        <f t="shared" si="101"/>
        <v/>
      </c>
      <c r="V103" t="str">
        <f t="shared" si="102"/>
        <v/>
      </c>
    </row>
    <row r="104" spans="1:22" ht="32.450000000000003" customHeight="1">
      <c r="A104" s="103"/>
      <c r="B104" s="107"/>
      <c r="C104" s="120"/>
      <c r="D104" s="54" t="str">
        <f>IF(G104=0,"",C103&amp;"-"&amp;G104)</f>
        <v/>
      </c>
      <c r="E104" s="54" t="str">
        <f>IF(G104="","",IF(LEN(LEFT(C103,SEARCH("0",C103,1)-1))&lt;2,RIGHT(LEFT(C103,SEARCH("0",C103,1)-1),1)&amp;INT(RIGHT(C103,4)),RIGHT(LEFT(C103,SEARCH("0",C103,1)-1),1)&amp;INT(RIGHT(C103,4))))</f>
        <v/>
      </c>
      <c r="F104" s="5" t="str">
        <f>IF(G104=0,"",VLOOKUP(D104,[1]Worksheet!$A:$C,3,0))</f>
        <v/>
      </c>
      <c r="G104" s="9"/>
      <c r="H104" s="7"/>
      <c r="I104" s="21"/>
      <c r="J104" s="68" t="str">
        <f t="shared" si="93"/>
        <v/>
      </c>
      <c r="K104" s="94"/>
      <c r="L104" s="94"/>
      <c r="M104" s="81"/>
      <c r="N104" s="43">
        <f t="shared" si="91"/>
        <v>0</v>
      </c>
      <c r="O104" s="28">
        <f t="shared" si="99"/>
        <v>0</v>
      </c>
      <c r="P104" s="111"/>
      <c r="Q104" s="32">
        <f t="shared" si="100"/>
        <v>0</v>
      </c>
      <c r="R104" s="114"/>
      <c r="S104" s="100" t="str">
        <f>IFERROR(VLOOKUP(D104,[1]Worksheet!$A:$F,6,0),"")</f>
        <v/>
      </c>
      <c r="T104" s="117"/>
      <c r="U104" s="78" t="str">
        <f t="shared" si="101"/>
        <v/>
      </c>
      <c r="V104" t="str">
        <f t="shared" si="102"/>
        <v/>
      </c>
    </row>
    <row r="105" spans="1:22" ht="32.450000000000003" customHeight="1">
      <c r="A105" s="104"/>
      <c r="B105" s="108"/>
      <c r="C105" s="120"/>
      <c r="D105" s="54" t="str">
        <f>IF(G105=0,"",C103&amp;"-"&amp;G105)</f>
        <v/>
      </c>
      <c r="E105" s="54" t="str">
        <f>IF(G105="","",IF(LEN(LEFT(C103,SEARCH("0",C103,1)-1))&lt;2,RIGHT(LEFT(C103,SEARCH("0",C103,1)-1),1)&amp;INT(RIGHT(C103,4)),RIGHT(LEFT(C103,SEARCH("0",C103,1)-1),1)&amp;INT(RIGHT(C103,4))))</f>
        <v/>
      </c>
      <c r="F105" s="8" t="str">
        <f>IF(G105=0,"",VLOOKUP(D105,[1]Worksheet!$A:$C,3,0))</f>
        <v/>
      </c>
      <c r="G105" s="9"/>
      <c r="H105" s="10"/>
      <c r="I105" s="22"/>
      <c r="J105" s="68" t="str">
        <f t="shared" si="93"/>
        <v/>
      </c>
      <c r="K105" s="94"/>
      <c r="L105" s="94"/>
      <c r="M105" s="81"/>
      <c r="N105" s="44">
        <f t="shared" si="91"/>
        <v>0</v>
      </c>
      <c r="O105" s="28">
        <f t="shared" si="99"/>
        <v>0</v>
      </c>
      <c r="P105" s="111"/>
      <c r="Q105" s="32">
        <f t="shared" si="100"/>
        <v>0</v>
      </c>
      <c r="R105" s="114"/>
      <c r="S105" s="100" t="str">
        <f>IFERROR(VLOOKUP(D105,[1]Worksheet!$A:$F,6,0),"")</f>
        <v/>
      </c>
      <c r="T105" s="117"/>
      <c r="U105" s="78" t="str">
        <f t="shared" si="101"/>
        <v/>
      </c>
      <c r="V105" t="str">
        <f t="shared" si="102"/>
        <v/>
      </c>
    </row>
    <row r="106" spans="1:22" ht="32.450000000000003" customHeight="1">
      <c r="A106" s="104"/>
      <c r="B106" s="108"/>
      <c r="C106" s="120"/>
      <c r="D106" s="54" t="str">
        <f>IF(G106=0,"",C103&amp;"-"&amp;G106)</f>
        <v/>
      </c>
      <c r="E106" s="54" t="str">
        <f>IF(G106="","",IF(LEN(LEFT(C103,SEARCH("0",C103,1)-1))&lt;2,RIGHT(LEFT(C103,SEARCH("0",C103,1)-1),1)&amp;INT(RIGHT(C103,4)),RIGHT(LEFT(C103,SEARCH("0",C103,1)-1),1)&amp;INT(RIGHT(C103,4))))</f>
        <v/>
      </c>
      <c r="F106" s="8" t="str">
        <f>IF(G106=0,"",VLOOKUP(D106,[1]Worksheet!$A:$C,3,0))</f>
        <v/>
      </c>
      <c r="G106" s="10"/>
      <c r="H106" s="10"/>
      <c r="I106" s="22"/>
      <c r="J106" s="68" t="str">
        <f t="shared" si="93"/>
        <v/>
      </c>
      <c r="K106" s="94"/>
      <c r="L106" s="94"/>
      <c r="M106" s="82"/>
      <c r="N106" s="43">
        <f t="shared" si="91"/>
        <v>0</v>
      </c>
      <c r="O106" s="28">
        <f t="shared" si="99"/>
        <v>0</v>
      </c>
      <c r="P106" s="111"/>
      <c r="Q106" s="32">
        <f t="shared" si="100"/>
        <v>0</v>
      </c>
      <c r="R106" s="114"/>
      <c r="S106" s="100" t="str">
        <f>IFERROR(VLOOKUP(D106,[1]Worksheet!$A:$F,6,0),"")</f>
        <v/>
      </c>
      <c r="T106" s="117"/>
      <c r="U106" s="78" t="str">
        <f t="shared" si="101"/>
        <v/>
      </c>
      <c r="V106" t="str">
        <f t="shared" si="102"/>
        <v/>
      </c>
    </row>
    <row r="107" spans="1:22" ht="32.450000000000003" customHeight="1" thickBot="1">
      <c r="A107" s="105"/>
      <c r="B107" s="109"/>
      <c r="C107" s="121"/>
      <c r="D107" s="55" t="str">
        <f>IF(G107=0,"",C103&amp;"-"&amp;G107)</f>
        <v/>
      </c>
      <c r="E107" s="55" t="str">
        <f>IF(G107="","",IF(LEN(LEFT(C103,SEARCH("0",C103,1)-1))&lt;2,RIGHT(LEFT(C103,SEARCH("0",C103,1)-1),1)&amp;INT(RIGHT(C103,4)),RIGHT(LEFT(C103,SEARCH("0",C103,1)-1),1)&amp;INT(RIGHT(C103,4))))</f>
        <v/>
      </c>
      <c r="F107" s="11" t="str">
        <f>IF(G107=0,"",VLOOKUP(D107,[1]Worksheet!$A:$C,3,0))</f>
        <v/>
      </c>
      <c r="G107" s="12"/>
      <c r="H107" s="12"/>
      <c r="I107" s="23"/>
      <c r="J107" s="90" t="str">
        <f t="shared" si="93"/>
        <v/>
      </c>
      <c r="K107" s="95"/>
      <c r="L107" s="95"/>
      <c r="M107" s="80"/>
      <c r="N107" s="45">
        <f t="shared" si="91"/>
        <v>0</v>
      </c>
      <c r="O107" s="29">
        <f t="shared" si="99"/>
        <v>0</v>
      </c>
      <c r="P107" s="112"/>
      <c r="Q107" s="36">
        <f t="shared" si="100"/>
        <v>0</v>
      </c>
      <c r="R107" s="115"/>
      <c r="S107" s="100" t="str">
        <f>IFERROR(VLOOKUP(D107,[1]Worksheet!$A:$F,6,0),"")</f>
        <v/>
      </c>
      <c r="T107" s="118"/>
      <c r="U107" s="78" t="str">
        <f t="shared" si="101"/>
        <v/>
      </c>
      <c r="V107" t="str">
        <f t="shared" si="102"/>
        <v/>
      </c>
    </row>
    <row r="108" spans="1:22" ht="32.450000000000003" customHeight="1">
      <c r="A108" s="102">
        <f>A103+1</f>
        <v>22</v>
      </c>
      <c r="B108" s="106"/>
      <c r="C108" s="119"/>
      <c r="D108" s="53" t="str">
        <f>IF(G108=0,"",C108&amp;"-"&amp;G108)</f>
        <v/>
      </c>
      <c r="E108" s="53" t="str">
        <f>IF(G108="","",IF(LEN(LEFT(C108,SEARCH("0",C108,1)-1))&lt;2,RIGHT(LEFT(C108,SEARCH("0",C108,1)-1),1)&amp;INT(RIGHT(C108,4)),RIGHT(LEFT(C108,SEARCH("0",C108,1)-1),1)&amp;INT(RIGHT(C108,4))))</f>
        <v/>
      </c>
      <c r="F108" s="2" t="str">
        <f>IF(G108=0,"",VLOOKUP(D108,[1]Worksheet!$A:$C,3,0))</f>
        <v/>
      </c>
      <c r="G108" s="88"/>
      <c r="H108" s="4"/>
      <c r="I108" s="20"/>
      <c r="J108" s="89" t="str">
        <f t="shared" si="93"/>
        <v/>
      </c>
      <c r="K108" s="93"/>
      <c r="L108" s="93"/>
      <c r="M108" s="79"/>
      <c r="N108" s="42">
        <f t="shared" si="91"/>
        <v>0</v>
      </c>
      <c r="O108" s="27">
        <f t="shared" si="99"/>
        <v>0</v>
      </c>
      <c r="P108" s="110">
        <f>SUM(O108:O112)</f>
        <v>0</v>
      </c>
      <c r="Q108" s="35">
        <f t="shared" si="100"/>
        <v>0</v>
      </c>
      <c r="R108" s="113">
        <f>SUM(Q108:Q112)</f>
        <v>0</v>
      </c>
      <c r="S108" s="100" t="str">
        <f>IFERROR(VLOOKUP(D108,[1]Worksheet!$A:$F,6,0),"")</f>
        <v/>
      </c>
      <c r="T108" s="116" t="str">
        <f t="shared" ref="T108" si="104">IF(P108=R108,"",IF(P108&gt;R108,"Loss",IF(P108&lt;R108,"Over")))</f>
        <v/>
      </c>
      <c r="U108" s="78" t="str">
        <f t="shared" si="101"/>
        <v/>
      </c>
      <c r="V108" t="str">
        <f t="shared" si="102"/>
        <v/>
      </c>
    </row>
    <row r="109" spans="1:22" ht="32.450000000000003" customHeight="1">
      <c r="A109" s="103"/>
      <c r="B109" s="107"/>
      <c r="C109" s="120"/>
      <c r="D109" s="54" t="str">
        <f>IF(G109=0,"",C108&amp;"-"&amp;G109)</f>
        <v/>
      </c>
      <c r="E109" s="54" t="str">
        <f>IF(G109="","",IF(LEN(LEFT(C108,SEARCH("0",C108,1)-1))&lt;2,RIGHT(LEFT(C108,SEARCH("0",C108,1)-1),1)&amp;INT(RIGHT(C108,4)),RIGHT(LEFT(C108,SEARCH("0",C108,1)-1),1)&amp;INT(RIGHT(C108,4))))</f>
        <v/>
      </c>
      <c r="F109" s="5" t="str">
        <f>IF(G109=0,"",VLOOKUP(D109,[1]Worksheet!$A:$C,3,0))</f>
        <v/>
      </c>
      <c r="G109" s="9"/>
      <c r="H109" s="7"/>
      <c r="I109" s="21"/>
      <c r="J109" s="68" t="str">
        <f t="shared" si="93"/>
        <v/>
      </c>
      <c r="K109" s="94"/>
      <c r="L109" s="94"/>
      <c r="M109" s="81"/>
      <c r="N109" s="43">
        <f t="shared" si="91"/>
        <v>0</v>
      </c>
      <c r="O109" s="28">
        <f t="shared" si="99"/>
        <v>0</v>
      </c>
      <c r="P109" s="111"/>
      <c r="Q109" s="32">
        <f t="shared" si="100"/>
        <v>0</v>
      </c>
      <c r="R109" s="114"/>
      <c r="S109" s="100" t="str">
        <f>IFERROR(VLOOKUP(D109,[1]Worksheet!$A:$F,6,0),"")</f>
        <v/>
      </c>
      <c r="T109" s="117"/>
      <c r="U109" s="78" t="str">
        <f t="shared" si="101"/>
        <v/>
      </c>
      <c r="V109" t="str">
        <f t="shared" si="102"/>
        <v/>
      </c>
    </row>
    <row r="110" spans="1:22" ht="32.450000000000003" customHeight="1">
      <c r="A110" s="104"/>
      <c r="B110" s="108"/>
      <c r="C110" s="120"/>
      <c r="D110" s="54" t="str">
        <f>IF(G110=0,"",C108&amp;"-"&amp;G110)</f>
        <v/>
      </c>
      <c r="E110" s="54" t="str">
        <f>IF(G110="","",IF(LEN(LEFT(C108,SEARCH("0",C108,1)-1))&lt;2,RIGHT(LEFT(C108,SEARCH("0",C108,1)-1),1)&amp;INT(RIGHT(C108,4)),RIGHT(LEFT(C108,SEARCH("0",C108,1)-1),1)&amp;INT(RIGHT(C108,4))))</f>
        <v/>
      </c>
      <c r="F110" s="8" t="str">
        <f>IF(G110=0,"",VLOOKUP(D110,[1]Worksheet!$A:$C,3,0))</f>
        <v/>
      </c>
      <c r="G110" s="9"/>
      <c r="H110" s="10"/>
      <c r="I110" s="22"/>
      <c r="J110" s="68" t="str">
        <f t="shared" si="93"/>
        <v/>
      </c>
      <c r="K110" s="94"/>
      <c r="L110" s="94"/>
      <c r="M110" s="81"/>
      <c r="N110" s="44">
        <f t="shared" si="91"/>
        <v>0</v>
      </c>
      <c r="O110" s="28">
        <f t="shared" si="99"/>
        <v>0</v>
      </c>
      <c r="P110" s="111"/>
      <c r="Q110" s="32">
        <f t="shared" si="100"/>
        <v>0</v>
      </c>
      <c r="R110" s="114"/>
      <c r="S110" s="100" t="str">
        <f>IFERROR(VLOOKUP(D110,[1]Worksheet!$A:$F,6,0),"")</f>
        <v/>
      </c>
      <c r="T110" s="117"/>
      <c r="U110" s="78" t="str">
        <f t="shared" si="101"/>
        <v/>
      </c>
      <c r="V110" t="str">
        <f t="shared" si="102"/>
        <v/>
      </c>
    </row>
    <row r="111" spans="1:22" ht="32.450000000000003" customHeight="1">
      <c r="A111" s="104"/>
      <c r="B111" s="108"/>
      <c r="C111" s="120"/>
      <c r="D111" s="54" t="str">
        <f>IF(G111=0,"",C108&amp;"-"&amp;G111)</f>
        <v/>
      </c>
      <c r="E111" s="54" t="str">
        <f>IF(G111="","",IF(LEN(LEFT(C108,SEARCH("0",C108,1)-1))&lt;2,RIGHT(LEFT(C108,SEARCH("0",C108,1)-1),1)&amp;INT(RIGHT(C108,4)),RIGHT(LEFT(C108,SEARCH("0",C108,1)-1),1)&amp;INT(RIGHT(C108,4))))</f>
        <v/>
      </c>
      <c r="F111" s="8" t="str">
        <f>IF(G111=0,"",VLOOKUP(D111,[1]Worksheet!$A:$C,3,0))</f>
        <v/>
      </c>
      <c r="G111" s="10"/>
      <c r="H111" s="10"/>
      <c r="I111" s="22"/>
      <c r="J111" s="68" t="str">
        <f t="shared" si="93"/>
        <v/>
      </c>
      <c r="K111" s="94"/>
      <c r="L111" s="94"/>
      <c r="M111" s="82"/>
      <c r="N111" s="43">
        <f t="shared" si="91"/>
        <v>0</v>
      </c>
      <c r="O111" s="28">
        <f t="shared" si="99"/>
        <v>0</v>
      </c>
      <c r="P111" s="111"/>
      <c r="Q111" s="32">
        <f t="shared" si="100"/>
        <v>0</v>
      </c>
      <c r="R111" s="114"/>
      <c r="S111" s="100" t="str">
        <f>IFERROR(VLOOKUP(D111,[1]Worksheet!$A:$F,6,0),"")</f>
        <v/>
      </c>
      <c r="T111" s="117"/>
      <c r="U111" s="78" t="str">
        <f t="shared" si="101"/>
        <v/>
      </c>
      <c r="V111" t="str">
        <f t="shared" si="102"/>
        <v/>
      </c>
    </row>
    <row r="112" spans="1:22" ht="32.450000000000003" customHeight="1" thickBot="1">
      <c r="A112" s="105"/>
      <c r="B112" s="109"/>
      <c r="C112" s="121"/>
      <c r="D112" s="55" t="str">
        <f>IF(G112=0,"",C108&amp;"-"&amp;G112)</f>
        <v/>
      </c>
      <c r="E112" s="55" t="str">
        <f>IF(G112="","",IF(LEN(LEFT(C108,SEARCH("0",C108,1)-1))&lt;2,RIGHT(LEFT(C108,SEARCH("0",C108,1)-1),1)&amp;INT(RIGHT(C108,4)),RIGHT(LEFT(C108,SEARCH("0",C108,1)-1),1)&amp;INT(RIGHT(C108,4))))</f>
        <v/>
      </c>
      <c r="F112" s="11" t="str">
        <f>IF(G112=0,"",VLOOKUP(D112,[1]Worksheet!$A:$C,3,0))</f>
        <v/>
      </c>
      <c r="G112" s="12"/>
      <c r="H112" s="12"/>
      <c r="I112" s="23"/>
      <c r="J112" s="90" t="str">
        <f t="shared" si="93"/>
        <v/>
      </c>
      <c r="K112" s="95"/>
      <c r="L112" s="95"/>
      <c r="M112" s="80"/>
      <c r="N112" s="45">
        <f t="shared" si="91"/>
        <v>0</v>
      </c>
      <c r="O112" s="29">
        <f t="shared" si="99"/>
        <v>0</v>
      </c>
      <c r="P112" s="112"/>
      <c r="Q112" s="36">
        <f t="shared" si="100"/>
        <v>0</v>
      </c>
      <c r="R112" s="115"/>
      <c r="S112" s="100" t="str">
        <f>IFERROR(VLOOKUP(D112,[1]Worksheet!$A:$F,6,0),"")</f>
        <v/>
      </c>
      <c r="T112" s="118"/>
      <c r="U112" s="78" t="str">
        <f t="shared" si="101"/>
        <v/>
      </c>
      <c r="V112" t="str">
        <f t="shared" si="102"/>
        <v/>
      </c>
    </row>
    <row r="113" spans="1:22" ht="32.450000000000003" customHeight="1">
      <c r="A113" s="102">
        <f>A108+1</f>
        <v>23</v>
      </c>
      <c r="B113" s="106"/>
      <c r="C113" s="119"/>
      <c r="D113" s="53" t="str">
        <f>IF(G113=0,"",C113&amp;"-"&amp;G113)</f>
        <v/>
      </c>
      <c r="E113" s="53" t="str">
        <f>IF(G113="","",IF(LEN(LEFT(C113,SEARCH("0",C113,1)-1))&lt;2,RIGHT(LEFT(C113,SEARCH("0",C113,1)-1),1)&amp;INT(RIGHT(C113,4)),RIGHT(LEFT(C113,SEARCH("0",C113,1)-1),1)&amp;INT(RIGHT(C113,4))))</f>
        <v/>
      </c>
      <c r="F113" s="2" t="str">
        <f>IF(G113=0,"",VLOOKUP(D113,[1]Worksheet!$A:$C,3,0))</f>
        <v/>
      </c>
      <c r="G113" s="88"/>
      <c r="H113" s="4"/>
      <c r="I113" s="20"/>
      <c r="J113" s="89" t="str">
        <f t="shared" si="93"/>
        <v/>
      </c>
      <c r="K113" s="93"/>
      <c r="L113" s="93"/>
      <c r="M113" s="79"/>
      <c r="N113" s="42">
        <f t="shared" si="91"/>
        <v>0</v>
      </c>
      <c r="O113" s="27">
        <f t="shared" si="99"/>
        <v>0</v>
      </c>
      <c r="P113" s="110">
        <f>SUM(O113:O117)</f>
        <v>0</v>
      </c>
      <c r="Q113" s="35">
        <f t="shared" si="100"/>
        <v>0</v>
      </c>
      <c r="R113" s="113">
        <f>SUM(Q113:Q117)</f>
        <v>0</v>
      </c>
      <c r="S113" s="100" t="str">
        <f>IFERROR(VLOOKUP(D113,[1]Worksheet!$A:$F,6,0),"")</f>
        <v/>
      </c>
      <c r="T113" s="116" t="str">
        <f t="shared" ref="T113" si="105">IF(P113=R113,"",IF(P113&gt;R113,"Loss",IF(P113&lt;R113,"Over")))</f>
        <v/>
      </c>
      <c r="U113" s="78" t="str">
        <f t="shared" si="101"/>
        <v/>
      </c>
      <c r="V113" t="str">
        <f t="shared" si="102"/>
        <v/>
      </c>
    </row>
    <row r="114" spans="1:22" ht="32.450000000000003" customHeight="1">
      <c r="A114" s="103"/>
      <c r="B114" s="107"/>
      <c r="C114" s="120"/>
      <c r="D114" s="54" t="str">
        <f>IF(G114=0,"",C113&amp;"-"&amp;G114)</f>
        <v/>
      </c>
      <c r="E114" s="54" t="str">
        <f>IF(G114="","",IF(LEN(LEFT(C113,SEARCH("0",C113,1)-1))&lt;2,RIGHT(LEFT(C113,SEARCH("0",C113,1)-1),1)&amp;INT(RIGHT(C113,4)),RIGHT(LEFT(C113,SEARCH("0",C113,1)-1),1)&amp;INT(RIGHT(C113,4))))</f>
        <v/>
      </c>
      <c r="F114" s="5" t="str">
        <f>IF(G114=0,"",VLOOKUP(D114,[1]Worksheet!$A:$C,3,0))</f>
        <v/>
      </c>
      <c r="G114" s="9"/>
      <c r="H114" s="7"/>
      <c r="I114" s="21"/>
      <c r="J114" s="68" t="str">
        <f t="shared" si="93"/>
        <v/>
      </c>
      <c r="K114" s="94"/>
      <c r="L114" s="94"/>
      <c r="M114" s="81"/>
      <c r="N114" s="43">
        <f t="shared" si="91"/>
        <v>0</v>
      </c>
      <c r="O114" s="28">
        <f t="shared" si="99"/>
        <v>0</v>
      </c>
      <c r="P114" s="111"/>
      <c r="Q114" s="32">
        <f t="shared" si="100"/>
        <v>0</v>
      </c>
      <c r="R114" s="114"/>
      <c r="S114" s="100" t="str">
        <f>IFERROR(VLOOKUP(D114,[1]Worksheet!$A:$F,6,0),"")</f>
        <v/>
      </c>
      <c r="T114" s="117"/>
      <c r="U114" s="78" t="str">
        <f t="shared" si="101"/>
        <v/>
      </c>
      <c r="V114" t="str">
        <f t="shared" si="102"/>
        <v/>
      </c>
    </row>
    <row r="115" spans="1:22" ht="32.450000000000003" customHeight="1">
      <c r="A115" s="104"/>
      <c r="B115" s="108"/>
      <c r="C115" s="120"/>
      <c r="D115" s="54" t="str">
        <f>IF(G115=0,"",C113&amp;"-"&amp;G115)</f>
        <v/>
      </c>
      <c r="E115" s="54" t="str">
        <f>IF(G115="","",IF(LEN(LEFT(C113,SEARCH("0",C113,1)-1))&lt;2,RIGHT(LEFT(C113,SEARCH("0",C113,1)-1),1)&amp;INT(RIGHT(C113,4)),RIGHT(LEFT(C113,SEARCH("0",C113,1)-1),1)&amp;INT(RIGHT(C113,4))))</f>
        <v/>
      </c>
      <c r="F115" s="8" t="str">
        <f>IF(G115=0,"",VLOOKUP(D115,[1]Worksheet!$A:$C,3,0))</f>
        <v/>
      </c>
      <c r="G115" s="9"/>
      <c r="H115" s="10"/>
      <c r="I115" s="22"/>
      <c r="J115" s="68" t="str">
        <f t="shared" si="93"/>
        <v/>
      </c>
      <c r="K115" s="94"/>
      <c r="L115" s="94"/>
      <c r="M115" s="81"/>
      <c r="N115" s="44">
        <f t="shared" si="91"/>
        <v>0</v>
      </c>
      <c r="O115" s="28">
        <f t="shared" si="99"/>
        <v>0</v>
      </c>
      <c r="P115" s="111"/>
      <c r="Q115" s="32">
        <f t="shared" si="100"/>
        <v>0</v>
      </c>
      <c r="R115" s="114"/>
      <c r="S115" s="100" t="str">
        <f>IFERROR(VLOOKUP(D115,[1]Worksheet!$A:$F,6,0),"")</f>
        <v/>
      </c>
      <c r="T115" s="117"/>
      <c r="U115" s="78" t="str">
        <f t="shared" si="101"/>
        <v/>
      </c>
      <c r="V115" t="str">
        <f t="shared" si="102"/>
        <v/>
      </c>
    </row>
    <row r="116" spans="1:22" ht="32.450000000000003" customHeight="1">
      <c r="A116" s="104"/>
      <c r="B116" s="108"/>
      <c r="C116" s="120"/>
      <c r="D116" s="54" t="str">
        <f>IF(G116=0,"",C113&amp;"-"&amp;G116)</f>
        <v/>
      </c>
      <c r="E116" s="54" t="str">
        <f>IF(G116="","",IF(LEN(LEFT(C113,SEARCH("0",C113,1)-1))&lt;2,RIGHT(LEFT(C113,SEARCH("0",C113,1)-1),1)&amp;INT(RIGHT(C113,4)),RIGHT(LEFT(C113,SEARCH("0",C113,1)-1),1)&amp;INT(RIGHT(C113,4))))</f>
        <v/>
      </c>
      <c r="F116" s="8" t="str">
        <f>IF(G116=0,"",VLOOKUP(D116,[1]Worksheet!$A:$C,3,0))</f>
        <v/>
      </c>
      <c r="G116" s="10"/>
      <c r="H116" s="10"/>
      <c r="I116" s="22"/>
      <c r="J116" s="68" t="str">
        <f t="shared" si="93"/>
        <v/>
      </c>
      <c r="K116" s="94"/>
      <c r="L116" s="94"/>
      <c r="M116" s="82"/>
      <c r="N116" s="43">
        <f t="shared" si="91"/>
        <v>0</v>
      </c>
      <c r="O116" s="28">
        <f t="shared" si="99"/>
        <v>0</v>
      </c>
      <c r="P116" s="111"/>
      <c r="Q116" s="32">
        <f t="shared" si="100"/>
        <v>0</v>
      </c>
      <c r="R116" s="114"/>
      <c r="S116" s="100" t="str">
        <f>IFERROR(VLOOKUP(D116,[1]Worksheet!$A:$F,6,0),"")</f>
        <v/>
      </c>
      <c r="T116" s="117"/>
      <c r="U116" s="78" t="str">
        <f t="shared" si="101"/>
        <v/>
      </c>
      <c r="V116" t="str">
        <f t="shared" si="102"/>
        <v/>
      </c>
    </row>
    <row r="117" spans="1:22" ht="32.450000000000003" customHeight="1" thickBot="1">
      <c r="A117" s="105"/>
      <c r="B117" s="109"/>
      <c r="C117" s="121"/>
      <c r="D117" s="55" t="str">
        <f>IF(G117=0,"",C113&amp;"-"&amp;G117)</f>
        <v/>
      </c>
      <c r="E117" s="55" t="str">
        <f>IF(G117="","",IF(LEN(LEFT(C113,SEARCH("0",C113,1)-1))&lt;2,RIGHT(LEFT(C113,SEARCH("0",C113,1)-1),1)&amp;INT(RIGHT(C113,4)),RIGHT(LEFT(C113,SEARCH("0",C113,1)-1),1)&amp;INT(RIGHT(C113,4))))</f>
        <v/>
      </c>
      <c r="F117" s="11" t="str">
        <f>IF(G117=0,"",VLOOKUP(D117,[1]Worksheet!$A:$C,3,0))</f>
        <v/>
      </c>
      <c r="G117" s="12"/>
      <c r="H117" s="12"/>
      <c r="I117" s="23"/>
      <c r="J117" s="90" t="str">
        <f t="shared" si="93"/>
        <v/>
      </c>
      <c r="K117" s="95"/>
      <c r="L117" s="95"/>
      <c r="M117" s="80"/>
      <c r="N117" s="45">
        <f t="shared" si="91"/>
        <v>0</v>
      </c>
      <c r="O117" s="29">
        <f t="shared" si="99"/>
        <v>0</v>
      </c>
      <c r="P117" s="112"/>
      <c r="Q117" s="36">
        <f t="shared" si="100"/>
        <v>0</v>
      </c>
      <c r="R117" s="115"/>
      <c r="S117" s="100" t="str">
        <f>IFERROR(VLOOKUP(D117,[1]Worksheet!$A:$F,6,0),"")</f>
        <v/>
      </c>
      <c r="T117" s="118"/>
      <c r="U117" s="78" t="str">
        <f t="shared" si="101"/>
        <v/>
      </c>
      <c r="V117" t="str">
        <f t="shared" si="102"/>
        <v/>
      </c>
    </row>
    <row r="118" spans="1:22" ht="32.450000000000003" customHeight="1">
      <c r="A118" s="102">
        <f>A113+1</f>
        <v>24</v>
      </c>
      <c r="B118" s="106"/>
      <c r="C118" s="119"/>
      <c r="D118" s="53" t="str">
        <f>IF(G118=0,"",C118&amp;"-"&amp;G118)</f>
        <v/>
      </c>
      <c r="E118" s="53" t="str">
        <f>IF(G118="","",IF(LEN(LEFT(C118,SEARCH("0",C118,1)-1))&lt;2,RIGHT(LEFT(C118,SEARCH("0",C118,1)-1),1)&amp;INT(RIGHT(C118,4)),RIGHT(LEFT(C118,SEARCH("0",C118,1)-1),1)&amp;INT(RIGHT(C118,4))))</f>
        <v/>
      </c>
      <c r="F118" s="2" t="str">
        <f>IF(G118=0,"",VLOOKUP(D118,[1]Worksheet!$A:$C,3,0))</f>
        <v/>
      </c>
      <c r="G118" s="88"/>
      <c r="H118" s="4"/>
      <c r="I118" s="20"/>
      <c r="J118" s="89" t="str">
        <f t="shared" si="93"/>
        <v/>
      </c>
      <c r="K118" s="93"/>
      <c r="L118" s="93"/>
      <c r="M118" s="79"/>
      <c r="N118" s="42">
        <f t="shared" si="91"/>
        <v>0</v>
      </c>
      <c r="O118" s="27">
        <f t="shared" si="99"/>
        <v>0</v>
      </c>
      <c r="P118" s="110">
        <f>SUM(O118:O122)</f>
        <v>0</v>
      </c>
      <c r="Q118" s="35">
        <f t="shared" si="100"/>
        <v>0</v>
      </c>
      <c r="R118" s="113">
        <f>SUM(Q118:Q122)</f>
        <v>0</v>
      </c>
      <c r="S118" s="100" t="str">
        <f>IFERROR(VLOOKUP(D118,[1]Worksheet!$A:$F,6,0),"")</f>
        <v/>
      </c>
      <c r="T118" s="116" t="str">
        <f t="shared" ref="T118" si="106">IF(P118=R118,"",IF(P118&gt;R118,"Loss",IF(P118&lt;R118,"Over")))</f>
        <v/>
      </c>
      <c r="U118" s="78" t="str">
        <f t="shared" si="101"/>
        <v/>
      </c>
      <c r="V118" t="str">
        <f t="shared" si="102"/>
        <v/>
      </c>
    </row>
    <row r="119" spans="1:22" ht="32.450000000000003" customHeight="1">
      <c r="A119" s="103"/>
      <c r="B119" s="107"/>
      <c r="C119" s="120"/>
      <c r="D119" s="54" t="str">
        <f>IF(G119=0,"",C118&amp;"-"&amp;G119)</f>
        <v/>
      </c>
      <c r="E119" s="54" t="str">
        <f>IF(G119="","",IF(LEN(LEFT(C118,SEARCH("0",C118,1)-1))&lt;2,RIGHT(LEFT(C118,SEARCH("0",C118,1)-1),1)&amp;INT(RIGHT(C118,4)),RIGHT(LEFT(C118,SEARCH("0",C118,1)-1),1)&amp;INT(RIGHT(C118,4))))</f>
        <v/>
      </c>
      <c r="F119" s="5" t="str">
        <f>IF(G119=0,"",VLOOKUP(D119,[1]Worksheet!$A:$C,3,0))</f>
        <v/>
      </c>
      <c r="G119" s="9"/>
      <c r="H119" s="7"/>
      <c r="I119" s="21"/>
      <c r="J119" s="68" t="str">
        <f t="shared" si="93"/>
        <v/>
      </c>
      <c r="K119" s="94"/>
      <c r="L119" s="94"/>
      <c r="M119" s="81"/>
      <c r="N119" s="43">
        <f t="shared" si="91"/>
        <v>0</v>
      </c>
      <c r="O119" s="28">
        <f t="shared" si="99"/>
        <v>0</v>
      </c>
      <c r="P119" s="111"/>
      <c r="Q119" s="32">
        <f t="shared" si="100"/>
        <v>0</v>
      </c>
      <c r="R119" s="114"/>
      <c r="S119" s="100" t="str">
        <f>IFERROR(VLOOKUP(D119,[1]Worksheet!$A:$F,6,0),"")</f>
        <v/>
      </c>
      <c r="T119" s="117"/>
      <c r="U119" s="78" t="str">
        <f t="shared" si="101"/>
        <v/>
      </c>
      <c r="V119" t="str">
        <f t="shared" si="102"/>
        <v/>
      </c>
    </row>
    <row r="120" spans="1:22" ht="32.450000000000003" customHeight="1">
      <c r="A120" s="104"/>
      <c r="B120" s="108"/>
      <c r="C120" s="120"/>
      <c r="D120" s="54" t="str">
        <f>IF(G120=0,"",C118&amp;"-"&amp;G120)</f>
        <v/>
      </c>
      <c r="E120" s="54" t="str">
        <f>IF(G120="","",IF(LEN(LEFT(C118,SEARCH("0",C118,1)-1))&lt;2,RIGHT(LEFT(C118,SEARCH("0",C118,1)-1),1)&amp;INT(RIGHT(C118,4)),RIGHT(LEFT(C118,SEARCH("0",C118,1)-1),1)&amp;INT(RIGHT(C118,4))))</f>
        <v/>
      </c>
      <c r="F120" s="8" t="str">
        <f>IF(G120=0,"",VLOOKUP(D120,[1]Worksheet!$A:$C,3,0))</f>
        <v/>
      </c>
      <c r="G120" s="9"/>
      <c r="H120" s="10"/>
      <c r="I120" s="22"/>
      <c r="J120" s="68" t="str">
        <f t="shared" si="93"/>
        <v/>
      </c>
      <c r="K120" s="94"/>
      <c r="L120" s="94"/>
      <c r="M120" s="81"/>
      <c r="N120" s="44">
        <f t="shared" si="91"/>
        <v>0</v>
      </c>
      <c r="O120" s="28">
        <f t="shared" si="99"/>
        <v>0</v>
      </c>
      <c r="P120" s="111"/>
      <c r="Q120" s="32">
        <f t="shared" si="100"/>
        <v>0</v>
      </c>
      <c r="R120" s="114"/>
      <c r="S120" s="100" t="str">
        <f>IFERROR(VLOOKUP(D120,[1]Worksheet!$A:$F,6,0),"")</f>
        <v/>
      </c>
      <c r="T120" s="117"/>
      <c r="U120" s="78" t="str">
        <f t="shared" si="101"/>
        <v/>
      </c>
      <c r="V120" t="str">
        <f t="shared" si="102"/>
        <v/>
      </c>
    </row>
    <row r="121" spans="1:22" ht="32.450000000000003" customHeight="1">
      <c r="A121" s="104"/>
      <c r="B121" s="108"/>
      <c r="C121" s="120"/>
      <c r="D121" s="54" t="str">
        <f>IF(G121=0,"",C118&amp;"-"&amp;G121)</f>
        <v/>
      </c>
      <c r="E121" s="54" t="str">
        <f>IF(G121="","",IF(LEN(LEFT(C118,SEARCH("0",C118,1)-1))&lt;2,RIGHT(LEFT(C118,SEARCH("0",C118,1)-1),1)&amp;INT(RIGHT(C118,4)),RIGHT(LEFT(C118,SEARCH("0",C118,1)-1),1)&amp;INT(RIGHT(C118,4))))</f>
        <v/>
      </c>
      <c r="F121" s="8" t="str">
        <f>IF(G121=0,"",VLOOKUP(D121,[1]Worksheet!$A:$C,3,0))</f>
        <v/>
      </c>
      <c r="G121" s="10"/>
      <c r="H121" s="10"/>
      <c r="I121" s="22"/>
      <c r="J121" s="68" t="str">
        <f t="shared" si="93"/>
        <v/>
      </c>
      <c r="K121" s="94"/>
      <c r="L121" s="94"/>
      <c r="M121" s="82"/>
      <c r="N121" s="43">
        <f t="shared" si="91"/>
        <v>0</v>
      </c>
      <c r="O121" s="28">
        <f t="shared" si="99"/>
        <v>0</v>
      </c>
      <c r="P121" s="111"/>
      <c r="Q121" s="32">
        <f t="shared" si="100"/>
        <v>0</v>
      </c>
      <c r="R121" s="114"/>
      <c r="S121" s="100" t="str">
        <f>IFERROR(VLOOKUP(D121,[1]Worksheet!$A:$F,6,0),"")</f>
        <v/>
      </c>
      <c r="T121" s="117"/>
      <c r="U121" s="78" t="str">
        <f t="shared" si="101"/>
        <v/>
      </c>
      <c r="V121" t="str">
        <f t="shared" si="102"/>
        <v/>
      </c>
    </row>
    <row r="122" spans="1:22" ht="32.450000000000003" customHeight="1" thickBot="1">
      <c r="A122" s="105"/>
      <c r="B122" s="109"/>
      <c r="C122" s="121"/>
      <c r="D122" s="55" t="str">
        <f>IF(G122=0,"",C118&amp;"-"&amp;G122)</f>
        <v/>
      </c>
      <c r="E122" s="55" t="str">
        <f>IF(G122="","",IF(LEN(LEFT(C118,SEARCH("0",C118,1)-1))&lt;2,RIGHT(LEFT(C118,SEARCH("0",C118,1)-1),1)&amp;INT(RIGHT(C118,4)),RIGHT(LEFT(C118,SEARCH("0",C118,1)-1),1)&amp;INT(RIGHT(C118,4))))</f>
        <v/>
      </c>
      <c r="F122" s="11" t="str">
        <f>IF(G122=0,"",VLOOKUP(D122,[1]Worksheet!$A:$C,3,0))</f>
        <v/>
      </c>
      <c r="G122" s="12"/>
      <c r="H122" s="12"/>
      <c r="I122" s="23"/>
      <c r="J122" s="90" t="str">
        <f t="shared" si="93"/>
        <v/>
      </c>
      <c r="K122" s="95"/>
      <c r="L122" s="95"/>
      <c r="M122" s="80"/>
      <c r="N122" s="45">
        <f t="shared" si="91"/>
        <v>0</v>
      </c>
      <c r="O122" s="29">
        <f t="shared" si="99"/>
        <v>0</v>
      </c>
      <c r="P122" s="112"/>
      <c r="Q122" s="36">
        <f t="shared" si="100"/>
        <v>0</v>
      </c>
      <c r="R122" s="115"/>
      <c r="S122" s="100" t="str">
        <f>IFERROR(VLOOKUP(D122,[1]Worksheet!$A:$F,6,0),"")</f>
        <v/>
      </c>
      <c r="T122" s="118"/>
      <c r="U122" s="78" t="str">
        <f t="shared" si="101"/>
        <v/>
      </c>
      <c r="V122" t="str">
        <f t="shared" si="102"/>
        <v/>
      </c>
    </row>
    <row r="123" spans="1:22" ht="32.450000000000003" customHeight="1">
      <c r="A123" s="102">
        <f>A118+1</f>
        <v>25</v>
      </c>
      <c r="B123" s="122"/>
      <c r="C123" s="119"/>
      <c r="D123" s="53" t="str">
        <f>IF(G123=0,"",C123&amp;"-"&amp;G123)</f>
        <v/>
      </c>
      <c r="E123" s="53" t="str">
        <f>IF(G123="","",IF(LEN(LEFT(C123,SEARCH("0",C123,1)-1))&lt;2,RIGHT(LEFT(C123,SEARCH("0",C123,1)-1),1)&amp;INT(RIGHT(C123,4)),RIGHT(LEFT(C123,SEARCH("0",C123,1)-1),1)&amp;INT(RIGHT(C123,4))))</f>
        <v/>
      </c>
      <c r="F123" s="2" t="str">
        <f>IF(G123=0,"",VLOOKUP(D123,[1]Worksheet!$A:$C,3,0))</f>
        <v/>
      </c>
      <c r="G123" s="88"/>
      <c r="H123" s="4"/>
      <c r="I123" s="20"/>
      <c r="J123" s="89" t="str">
        <f t="shared" si="93"/>
        <v/>
      </c>
      <c r="K123" s="93"/>
      <c r="L123" s="93"/>
      <c r="M123" s="79"/>
      <c r="N123" s="42">
        <f t="shared" si="91"/>
        <v>0</v>
      </c>
      <c r="O123" s="27">
        <f t="shared" si="99"/>
        <v>0</v>
      </c>
      <c r="P123" s="110">
        <f>SUM(O123:O127)</f>
        <v>0</v>
      </c>
      <c r="Q123" s="35">
        <f t="shared" si="100"/>
        <v>0</v>
      </c>
      <c r="R123" s="113">
        <f>SUM(Q123:Q127)</f>
        <v>0</v>
      </c>
      <c r="S123" s="100" t="str">
        <f>IFERROR(VLOOKUP(D123,[1]Worksheet!$A:$F,6,0),"")</f>
        <v/>
      </c>
      <c r="T123" s="116" t="str">
        <f t="shared" ref="T123" si="107">IF(P123=R123,"",IF(P123&gt;R123,"Loss",IF(P123&lt;R123,"Over")))</f>
        <v/>
      </c>
      <c r="U123" s="78" t="str">
        <f t="shared" si="101"/>
        <v/>
      </c>
      <c r="V123" t="str">
        <f t="shared" si="102"/>
        <v/>
      </c>
    </row>
    <row r="124" spans="1:22" ht="32.450000000000003" customHeight="1">
      <c r="A124" s="103"/>
      <c r="B124" s="107"/>
      <c r="C124" s="120"/>
      <c r="D124" s="54" t="str">
        <f>IF(G124=0,"",C123&amp;"-"&amp;G124)</f>
        <v/>
      </c>
      <c r="E124" s="54" t="str">
        <f>IF(G124="","",IF(LEN(LEFT(C123,SEARCH("0",C123,1)-1))&lt;2,RIGHT(LEFT(C123,SEARCH("0",C123,1)-1),1)&amp;INT(RIGHT(C123,4)),RIGHT(LEFT(C123,SEARCH("0",C123,1)-1),1)&amp;INT(RIGHT(C123,4))))</f>
        <v/>
      </c>
      <c r="F124" s="5" t="str">
        <f>IF(G124=0,"",VLOOKUP(D124,[1]Worksheet!$A:$C,3,0))</f>
        <v/>
      </c>
      <c r="G124" s="9"/>
      <c r="H124" s="7"/>
      <c r="I124" s="21"/>
      <c r="J124" s="68" t="str">
        <f t="shared" si="93"/>
        <v/>
      </c>
      <c r="K124" s="94"/>
      <c r="L124" s="94"/>
      <c r="M124" s="81"/>
      <c r="N124" s="43">
        <f t="shared" si="91"/>
        <v>0</v>
      </c>
      <c r="O124" s="28">
        <f t="shared" si="99"/>
        <v>0</v>
      </c>
      <c r="P124" s="111"/>
      <c r="Q124" s="32">
        <f t="shared" si="100"/>
        <v>0</v>
      </c>
      <c r="R124" s="114"/>
      <c r="S124" s="100" t="str">
        <f>IFERROR(VLOOKUP(D124,[1]Worksheet!$A:$F,6,0),"")</f>
        <v/>
      </c>
      <c r="T124" s="117"/>
      <c r="U124" s="78" t="str">
        <f t="shared" si="101"/>
        <v/>
      </c>
      <c r="V124" t="str">
        <f t="shared" si="102"/>
        <v/>
      </c>
    </row>
    <row r="125" spans="1:22" ht="32.450000000000003" customHeight="1">
      <c r="A125" s="104"/>
      <c r="B125" s="108"/>
      <c r="C125" s="120"/>
      <c r="D125" s="54" t="str">
        <f>IF(G125=0,"",C123&amp;"-"&amp;G125)</f>
        <v/>
      </c>
      <c r="E125" s="54" t="str">
        <f>IF(G125="","",IF(LEN(LEFT(C123,SEARCH("0",C123,1)-1))&lt;2,RIGHT(LEFT(C123,SEARCH("0",C123,1)-1),1)&amp;INT(RIGHT(C123,4)),RIGHT(LEFT(C123,SEARCH("0",C123,1)-1),1)&amp;INT(RIGHT(C123,4))))</f>
        <v/>
      </c>
      <c r="F125" s="8" t="str">
        <f>IF(G125=0,"",VLOOKUP(D125,[1]Worksheet!$A:$C,3,0))</f>
        <v/>
      </c>
      <c r="G125" s="9"/>
      <c r="H125" s="10"/>
      <c r="I125" s="22"/>
      <c r="J125" s="68" t="str">
        <f t="shared" si="93"/>
        <v/>
      </c>
      <c r="K125" s="94"/>
      <c r="L125" s="94"/>
      <c r="M125" s="81"/>
      <c r="N125" s="44">
        <f t="shared" si="91"/>
        <v>0</v>
      </c>
      <c r="O125" s="28">
        <f t="shared" si="99"/>
        <v>0</v>
      </c>
      <c r="P125" s="111"/>
      <c r="Q125" s="32">
        <f t="shared" si="100"/>
        <v>0</v>
      </c>
      <c r="R125" s="114"/>
      <c r="S125" s="100" t="str">
        <f>IFERROR(VLOOKUP(D125,[1]Worksheet!$A:$F,6,0),"")</f>
        <v/>
      </c>
      <c r="T125" s="117"/>
      <c r="U125" s="78" t="str">
        <f t="shared" si="101"/>
        <v/>
      </c>
      <c r="V125" t="str">
        <f t="shared" si="102"/>
        <v/>
      </c>
    </row>
    <row r="126" spans="1:22" ht="32.450000000000003" customHeight="1">
      <c r="A126" s="104"/>
      <c r="B126" s="108"/>
      <c r="C126" s="120"/>
      <c r="D126" s="54" t="str">
        <f>IF(G126=0,"",C123&amp;"-"&amp;G126)</f>
        <v/>
      </c>
      <c r="E126" s="54" t="str">
        <f>IF(G126="","",IF(LEN(LEFT(C123,SEARCH("0",C123,1)-1))&lt;2,RIGHT(LEFT(C123,SEARCH("0",C123,1)-1),1)&amp;INT(RIGHT(C123,4)),RIGHT(LEFT(C123,SEARCH("0",C123,1)-1),1)&amp;INT(RIGHT(C123,4))))</f>
        <v/>
      </c>
      <c r="F126" s="8" t="str">
        <f>IF(G126=0,"",VLOOKUP(D126,[1]Worksheet!$A:$C,3,0))</f>
        <v/>
      </c>
      <c r="G126" s="10"/>
      <c r="H126" s="10"/>
      <c r="I126" s="22"/>
      <c r="J126" s="68" t="str">
        <f t="shared" si="93"/>
        <v/>
      </c>
      <c r="K126" s="94"/>
      <c r="L126" s="94"/>
      <c r="M126" s="82"/>
      <c r="N126" s="43">
        <f t="shared" si="91"/>
        <v>0</v>
      </c>
      <c r="O126" s="28">
        <f t="shared" si="99"/>
        <v>0</v>
      </c>
      <c r="P126" s="111"/>
      <c r="Q126" s="32">
        <f t="shared" si="100"/>
        <v>0</v>
      </c>
      <c r="R126" s="114"/>
      <c r="S126" s="100" t="str">
        <f>IFERROR(VLOOKUP(D126,[1]Worksheet!$A:$F,6,0),"")</f>
        <v/>
      </c>
      <c r="T126" s="117"/>
      <c r="U126" s="78" t="str">
        <f t="shared" si="101"/>
        <v/>
      </c>
      <c r="V126" t="str">
        <f t="shared" si="102"/>
        <v/>
      </c>
    </row>
    <row r="127" spans="1:22" ht="32.450000000000003" customHeight="1" thickBot="1">
      <c r="A127" s="105"/>
      <c r="B127" s="109"/>
      <c r="C127" s="121"/>
      <c r="D127" s="55" t="str">
        <f>IF(G127=0,"",C123&amp;"-"&amp;G127)</f>
        <v/>
      </c>
      <c r="E127" s="55" t="str">
        <f>IF(G127="","",IF(LEN(LEFT(C123,SEARCH("0",C123,1)-1))&lt;2,RIGHT(LEFT(C123,SEARCH("0",C123,1)-1),1)&amp;INT(RIGHT(C123,4)),RIGHT(LEFT(C123,SEARCH("0",C123,1)-1),1)&amp;INT(RIGHT(C123,4))))</f>
        <v/>
      </c>
      <c r="F127" s="11" t="str">
        <f>IF(G127=0,"",VLOOKUP(D127,[1]Worksheet!$A:$C,3,0))</f>
        <v/>
      </c>
      <c r="G127" s="12"/>
      <c r="H127" s="12"/>
      <c r="I127" s="23"/>
      <c r="J127" s="90" t="str">
        <f t="shared" si="93"/>
        <v/>
      </c>
      <c r="K127" s="95"/>
      <c r="L127" s="95"/>
      <c r="M127" s="80"/>
      <c r="N127" s="45">
        <f t="shared" si="91"/>
        <v>0</v>
      </c>
      <c r="O127" s="29">
        <f t="shared" si="99"/>
        <v>0</v>
      </c>
      <c r="P127" s="112"/>
      <c r="Q127" s="36">
        <f t="shared" si="100"/>
        <v>0</v>
      </c>
      <c r="R127" s="115"/>
      <c r="S127" s="100" t="str">
        <f>IFERROR(VLOOKUP(D127,[1]Worksheet!$A:$F,6,0),"")</f>
        <v/>
      </c>
      <c r="T127" s="118"/>
      <c r="U127" s="78" t="str">
        <f t="shared" si="101"/>
        <v/>
      </c>
      <c r="V127" t="str">
        <f t="shared" si="102"/>
        <v/>
      </c>
    </row>
    <row r="128" spans="1:22" ht="32.450000000000003" customHeight="1">
      <c r="A128" s="102">
        <f>A123+1</f>
        <v>26</v>
      </c>
      <c r="B128" s="106"/>
      <c r="C128" s="119"/>
      <c r="D128" s="53" t="str">
        <f>IF(G128=0,"",C128&amp;"-"&amp;G128)</f>
        <v/>
      </c>
      <c r="E128" s="53" t="str">
        <f>IF(G128="","",IF(LEN(LEFT(C128,SEARCH("0",C128,1)-1))&lt;2,RIGHT(LEFT(C128,SEARCH("0",C128,1)-1),1)&amp;INT(RIGHT(C128,4)),RIGHT(LEFT(C128,SEARCH("0",C128,1)-1),1)&amp;INT(RIGHT(C128,4))))</f>
        <v/>
      </c>
      <c r="F128" s="2" t="str">
        <f>IF(G128=0,"",VLOOKUP(D128,[1]Worksheet!$A:$C,3,0))</f>
        <v/>
      </c>
      <c r="G128" s="88"/>
      <c r="H128" s="4"/>
      <c r="I128" s="20"/>
      <c r="J128" s="89" t="str">
        <f t="shared" si="93"/>
        <v/>
      </c>
      <c r="K128" s="93"/>
      <c r="L128" s="93"/>
      <c r="M128" s="79"/>
      <c r="N128" s="42">
        <f t="shared" si="91"/>
        <v>0</v>
      </c>
      <c r="O128" s="27">
        <f t="shared" si="99"/>
        <v>0</v>
      </c>
      <c r="P128" s="110">
        <f>SUM(O128:O132)</f>
        <v>0</v>
      </c>
      <c r="Q128" s="35">
        <f t="shared" si="100"/>
        <v>0</v>
      </c>
      <c r="R128" s="113">
        <f>SUM(Q128:Q132)</f>
        <v>0</v>
      </c>
      <c r="S128" s="100" t="str">
        <f>IFERROR(VLOOKUP(D128,[1]Worksheet!$A:$F,6,0),"")</f>
        <v/>
      </c>
      <c r="T128" s="116" t="str">
        <f t="shared" ref="T128" si="108">IF(P128=R128,"",IF(P128&gt;R128,"Loss",IF(P128&lt;R128,"Over")))</f>
        <v/>
      </c>
      <c r="U128" s="78" t="str">
        <f t="shared" si="101"/>
        <v/>
      </c>
      <c r="V128" t="str">
        <f t="shared" si="102"/>
        <v/>
      </c>
    </row>
    <row r="129" spans="1:27" ht="32.450000000000003" customHeight="1">
      <c r="A129" s="103"/>
      <c r="B129" s="107"/>
      <c r="C129" s="120"/>
      <c r="D129" s="54" t="str">
        <f>IF(G129=0,"",C128&amp;"-"&amp;G129)</f>
        <v/>
      </c>
      <c r="E129" s="54" t="str">
        <f>IF(G129="","",IF(LEN(LEFT(C128,SEARCH("0",C128,1)-1))&lt;2,RIGHT(LEFT(C128,SEARCH("0",C128,1)-1),1)&amp;INT(RIGHT(C128,4)),RIGHT(LEFT(C128,SEARCH("0",C128,1)-1),1)&amp;INT(RIGHT(C128,4))))</f>
        <v/>
      </c>
      <c r="F129" s="5" t="str">
        <f>IF(G129=0,"",VLOOKUP(D129,[1]Worksheet!$A:$C,3,0))</f>
        <v/>
      </c>
      <c r="G129" s="9"/>
      <c r="H129" s="7"/>
      <c r="I129" s="21"/>
      <c r="J129" s="68" t="str">
        <f t="shared" si="93"/>
        <v/>
      </c>
      <c r="K129" s="94"/>
      <c r="L129" s="94"/>
      <c r="M129" s="81"/>
      <c r="N129" s="43">
        <f t="shared" si="91"/>
        <v>0</v>
      </c>
      <c r="O129" s="28">
        <f t="shared" si="99"/>
        <v>0</v>
      </c>
      <c r="P129" s="111"/>
      <c r="Q129" s="32">
        <f t="shared" si="100"/>
        <v>0</v>
      </c>
      <c r="R129" s="114"/>
      <c r="S129" s="100" t="str">
        <f>IFERROR(VLOOKUP(D129,[1]Worksheet!$A:$F,6,0),"")</f>
        <v/>
      </c>
      <c r="T129" s="117"/>
      <c r="U129" s="78" t="str">
        <f t="shared" si="101"/>
        <v/>
      </c>
      <c r="V129" t="str">
        <f t="shared" si="102"/>
        <v/>
      </c>
    </row>
    <row r="130" spans="1:27" ht="32.450000000000003" customHeight="1">
      <c r="A130" s="104"/>
      <c r="B130" s="108"/>
      <c r="C130" s="120"/>
      <c r="D130" s="54" t="str">
        <f>IF(G130=0,"",C128&amp;"-"&amp;G130)</f>
        <v/>
      </c>
      <c r="E130" s="54" t="str">
        <f>IF(G130="","",IF(LEN(LEFT(C128,SEARCH("0",C128,1)-1))&lt;2,RIGHT(LEFT(C128,SEARCH("0",C128,1)-1),1)&amp;INT(RIGHT(C128,4)),RIGHT(LEFT(C128,SEARCH("0",C128,1)-1),1)&amp;INT(RIGHT(C128,4))))</f>
        <v/>
      </c>
      <c r="F130" s="8" t="str">
        <f>IF(G130=0,"",VLOOKUP(D130,[1]Worksheet!$A:$C,3,0))</f>
        <v/>
      </c>
      <c r="G130" s="9"/>
      <c r="H130" s="10"/>
      <c r="I130" s="22"/>
      <c r="J130" s="68" t="str">
        <f t="shared" si="93"/>
        <v/>
      </c>
      <c r="K130" s="94"/>
      <c r="L130" s="94"/>
      <c r="M130" s="81"/>
      <c r="N130" s="44">
        <f t="shared" si="91"/>
        <v>0</v>
      </c>
      <c r="O130" s="28">
        <f t="shared" si="99"/>
        <v>0</v>
      </c>
      <c r="P130" s="111"/>
      <c r="Q130" s="32">
        <f t="shared" si="100"/>
        <v>0</v>
      </c>
      <c r="R130" s="114"/>
      <c r="S130" s="100" t="str">
        <f>IFERROR(VLOOKUP(D130,[1]Worksheet!$A:$F,6,0),"")</f>
        <v/>
      </c>
      <c r="T130" s="117"/>
      <c r="U130" s="78" t="str">
        <f t="shared" si="101"/>
        <v/>
      </c>
      <c r="V130" t="str">
        <f t="shared" si="102"/>
        <v/>
      </c>
      <c r="Y130" s="64"/>
      <c r="Z130" s="64"/>
      <c r="AA130" s="64"/>
    </row>
    <row r="131" spans="1:27" ht="32.450000000000003" customHeight="1">
      <c r="A131" s="104"/>
      <c r="B131" s="108"/>
      <c r="C131" s="120"/>
      <c r="D131" s="54" t="str">
        <f>IF(G131=0,"",C128&amp;"-"&amp;G131)</f>
        <v/>
      </c>
      <c r="E131" s="54" t="str">
        <f>IF(G131="","",IF(LEN(LEFT(C128,SEARCH("0",C128,1)-1))&lt;2,RIGHT(LEFT(C128,SEARCH("0",C128,1)-1),1)&amp;INT(RIGHT(C128,4)),RIGHT(LEFT(C128,SEARCH("0",C128,1)-1),1)&amp;INT(RIGHT(C128,4))))</f>
        <v/>
      </c>
      <c r="F131" s="8" t="str">
        <f>IF(G131=0,"",VLOOKUP(D131,[1]Worksheet!$A:$C,3,0))</f>
        <v/>
      </c>
      <c r="G131" s="10"/>
      <c r="H131" s="10"/>
      <c r="I131" s="22"/>
      <c r="J131" s="68" t="str">
        <f t="shared" si="93"/>
        <v/>
      </c>
      <c r="K131" s="94"/>
      <c r="L131" s="94"/>
      <c r="M131" s="82"/>
      <c r="N131" s="43">
        <f t="shared" si="91"/>
        <v>0</v>
      </c>
      <c r="O131" s="28">
        <f t="shared" ref="O131:O162" si="109">H131*N131</f>
        <v>0</v>
      </c>
      <c r="P131" s="111"/>
      <c r="Q131" s="32">
        <f t="shared" ref="Q131:Q162" si="110">I131*N131</f>
        <v>0</v>
      </c>
      <c r="R131" s="114"/>
      <c r="S131" s="100" t="str">
        <f>IFERROR(VLOOKUP(D131,[1]Worksheet!$A:$F,6,0),"")</f>
        <v/>
      </c>
      <c r="T131" s="117"/>
      <c r="U131" s="78" t="str">
        <f t="shared" ref="U131:U162" si="111">LEFT(E131,1)</f>
        <v/>
      </c>
      <c r="V131" t="str">
        <f t="shared" ref="V131:V162" si="112">IF(H131&lt;&gt;I131,"F","")</f>
        <v/>
      </c>
    </row>
    <row r="132" spans="1:27" ht="32.450000000000003" customHeight="1" thickBot="1">
      <c r="A132" s="105"/>
      <c r="B132" s="109"/>
      <c r="C132" s="121"/>
      <c r="D132" s="55" t="str">
        <f>IF(G132=0,"",C128&amp;"-"&amp;G132)</f>
        <v/>
      </c>
      <c r="E132" s="55" t="str">
        <f>IF(G132="","",IF(LEN(LEFT(C128,SEARCH("0",C128,1)-1))&lt;2,RIGHT(LEFT(C128,SEARCH("0",C128,1)-1),1)&amp;INT(RIGHT(C128,4)),RIGHT(LEFT(C128,SEARCH("0",C128,1)-1),1)&amp;INT(RIGHT(C128,4))))</f>
        <v/>
      </c>
      <c r="F132" s="11" t="str">
        <f>IF(G132=0,"",VLOOKUP(D132,[1]Worksheet!$A:$C,3,0))</f>
        <v/>
      </c>
      <c r="G132" s="12"/>
      <c r="H132" s="12"/>
      <c r="I132" s="23"/>
      <c r="J132" s="90" t="str">
        <f t="shared" si="93"/>
        <v/>
      </c>
      <c r="K132" s="95"/>
      <c r="L132" s="95"/>
      <c r="M132" s="80"/>
      <c r="N132" s="45">
        <f t="shared" si="91"/>
        <v>0</v>
      </c>
      <c r="O132" s="29">
        <f t="shared" si="109"/>
        <v>0</v>
      </c>
      <c r="P132" s="112"/>
      <c r="Q132" s="36">
        <f t="shared" si="110"/>
        <v>0</v>
      </c>
      <c r="R132" s="115"/>
      <c r="S132" s="100" t="str">
        <f>IFERROR(VLOOKUP(D132,[1]Worksheet!$A:$F,6,0),"")</f>
        <v/>
      </c>
      <c r="T132" s="118"/>
      <c r="U132" s="78" t="str">
        <f t="shared" si="111"/>
        <v/>
      </c>
      <c r="V132" t="str">
        <f t="shared" si="112"/>
        <v/>
      </c>
    </row>
    <row r="133" spans="1:27" ht="32.450000000000003" customHeight="1" thickBot="1">
      <c r="A133" s="102">
        <f>A128+1</f>
        <v>27</v>
      </c>
      <c r="B133" s="106"/>
      <c r="C133" s="119"/>
      <c r="D133" s="53" t="str">
        <f>IF(G133=0,"",C133&amp;"-"&amp;G133)</f>
        <v/>
      </c>
      <c r="E133" s="53" t="str">
        <f>IF(G133="","",IF(LEN(LEFT(C133,SEARCH("0",C133,1)-1))&lt;2,RIGHT(LEFT(C133,SEARCH("0",C133,1)-1),1)&amp;INT(RIGHT(C133,4)),RIGHT(LEFT(C133,SEARCH("0",C133,1)-1),1)&amp;INT(RIGHT(C133,4))))</f>
        <v/>
      </c>
      <c r="F133" s="2" t="str">
        <f>IF(G133=0,"",VLOOKUP(D133,[1]Worksheet!$A:$C,3,0))</f>
        <v/>
      </c>
      <c r="G133" s="88"/>
      <c r="H133" s="4"/>
      <c r="I133" s="20"/>
      <c r="J133" s="89" t="str">
        <f t="shared" si="93"/>
        <v/>
      </c>
      <c r="K133" s="93"/>
      <c r="L133" s="93"/>
      <c r="M133" s="79"/>
      <c r="N133" s="42">
        <f t="shared" si="91"/>
        <v>0</v>
      </c>
      <c r="O133" s="27">
        <f t="shared" si="109"/>
        <v>0</v>
      </c>
      <c r="P133" s="110">
        <f>SUM(O133:O137)</f>
        <v>0</v>
      </c>
      <c r="Q133" s="35">
        <f t="shared" si="110"/>
        <v>0</v>
      </c>
      <c r="R133" s="113">
        <f>SUM(Q133:Q137)</f>
        <v>0</v>
      </c>
      <c r="S133" s="100" t="str">
        <f>IFERROR(VLOOKUP(D133,[1]Worksheet!$A:$F,6,0),"")</f>
        <v/>
      </c>
      <c r="T133" s="116" t="str">
        <f t="shared" ref="T133" si="113">IF(P133=R133,"",IF(P133&gt;R133,"Loss",IF(P133&lt;R133,"Over")))</f>
        <v/>
      </c>
      <c r="U133" s="78" t="str">
        <f t="shared" si="111"/>
        <v/>
      </c>
      <c r="V133" t="str">
        <f t="shared" si="112"/>
        <v/>
      </c>
    </row>
    <row r="134" spans="1:27" ht="32.450000000000003" customHeight="1">
      <c r="A134" s="103"/>
      <c r="B134" s="107"/>
      <c r="C134" s="120"/>
      <c r="D134" s="54" t="str">
        <f>IF(G134=0,"",C133&amp;"-"&amp;G134)</f>
        <v/>
      </c>
      <c r="E134" s="54" t="str">
        <f>IF(G134="","",IF(LEN(LEFT(C133,SEARCH("0",C133,1)-1))&lt;2,RIGHT(LEFT(C133,SEARCH("0",C133,1)-1),1)&amp;INT(RIGHT(C133,4)),RIGHT(LEFT(C133,SEARCH("0",C133,1)-1),1)&amp;INT(RIGHT(C133,4))))</f>
        <v/>
      </c>
      <c r="F134" s="5" t="str">
        <f>IF(G134=0,"",VLOOKUP(D134,[1]Worksheet!$A:$C,3,0))</f>
        <v/>
      </c>
      <c r="G134" s="9"/>
      <c r="H134" s="7"/>
      <c r="I134" s="21"/>
      <c r="J134" s="68" t="str">
        <f t="shared" si="93"/>
        <v/>
      </c>
      <c r="K134" s="94"/>
      <c r="L134" s="94"/>
      <c r="M134" s="79"/>
      <c r="N134" s="43">
        <f t="shared" ref="N134:N187" si="114">M134*$X$3</f>
        <v>0</v>
      </c>
      <c r="O134" s="28">
        <f t="shared" si="109"/>
        <v>0</v>
      </c>
      <c r="P134" s="111"/>
      <c r="Q134" s="32">
        <f t="shared" si="110"/>
        <v>0</v>
      </c>
      <c r="R134" s="114"/>
      <c r="S134" s="100" t="str">
        <f>IFERROR(VLOOKUP(D134,[1]Worksheet!$A:$F,6,0),"")</f>
        <v/>
      </c>
      <c r="T134" s="117"/>
      <c r="U134" s="78" t="str">
        <f t="shared" si="111"/>
        <v/>
      </c>
      <c r="V134" t="str">
        <f t="shared" si="112"/>
        <v/>
      </c>
    </row>
    <row r="135" spans="1:27" ht="32.450000000000003" customHeight="1">
      <c r="A135" s="104"/>
      <c r="B135" s="108"/>
      <c r="C135" s="120"/>
      <c r="D135" s="54" t="str">
        <f>IF(G135=0,"",C133&amp;"-"&amp;G135)</f>
        <v/>
      </c>
      <c r="E135" s="54" t="str">
        <f>IF(G135="","",IF(LEN(LEFT(C133,SEARCH("0",C133,1)-1))&lt;2,RIGHT(LEFT(C133,SEARCH("0",C133,1)-1),1)&amp;INT(RIGHT(C133,4)),RIGHT(LEFT(C133,SEARCH("0",C133,1)-1),1)&amp;INT(RIGHT(C133,4))))</f>
        <v/>
      </c>
      <c r="F135" s="8" t="str">
        <f>IF(G135=0,"",VLOOKUP(D135,[1]Worksheet!$A:$C,3,0))</f>
        <v/>
      </c>
      <c r="G135" s="9"/>
      <c r="H135" s="10"/>
      <c r="I135" s="22"/>
      <c r="J135" s="68" t="str">
        <f t="shared" si="93"/>
        <v/>
      </c>
      <c r="K135" s="94"/>
      <c r="L135" s="94"/>
      <c r="M135" s="81"/>
      <c r="N135" s="44">
        <f t="shared" si="114"/>
        <v>0</v>
      </c>
      <c r="O135" s="28">
        <f t="shared" si="109"/>
        <v>0</v>
      </c>
      <c r="P135" s="111"/>
      <c r="Q135" s="32">
        <f t="shared" si="110"/>
        <v>0</v>
      </c>
      <c r="R135" s="114"/>
      <c r="S135" s="100" t="str">
        <f>IFERROR(VLOOKUP(D135,[1]Worksheet!$A:$F,6,0),"")</f>
        <v/>
      </c>
      <c r="T135" s="117"/>
      <c r="U135" s="78" t="str">
        <f t="shared" si="111"/>
        <v/>
      </c>
      <c r="V135" t="str">
        <f t="shared" si="112"/>
        <v/>
      </c>
    </row>
    <row r="136" spans="1:27" ht="32.450000000000003" customHeight="1">
      <c r="A136" s="104"/>
      <c r="B136" s="108"/>
      <c r="C136" s="120"/>
      <c r="D136" s="54" t="str">
        <f>IF(G136=0,"",C133&amp;"-"&amp;G136)</f>
        <v/>
      </c>
      <c r="E136" s="54" t="str">
        <f>IF(G136="","",IF(LEN(LEFT(C133,SEARCH("0",C133,1)-1))&lt;2,RIGHT(LEFT(C133,SEARCH("0",C133,1)-1),1)&amp;INT(RIGHT(C133,4)),RIGHT(LEFT(C133,SEARCH("0",C133,1)-1),1)&amp;INT(RIGHT(C133,4))))</f>
        <v/>
      </c>
      <c r="F136" s="8" t="str">
        <f>IF(G136=0,"",VLOOKUP(D136,[1]Worksheet!$A:$C,3,0))</f>
        <v/>
      </c>
      <c r="G136" s="10"/>
      <c r="H136" s="10"/>
      <c r="I136" s="22"/>
      <c r="J136" s="68" t="str">
        <f t="shared" si="93"/>
        <v/>
      </c>
      <c r="K136" s="94"/>
      <c r="L136" s="94"/>
      <c r="M136" s="82"/>
      <c r="N136" s="43">
        <f t="shared" si="114"/>
        <v>0</v>
      </c>
      <c r="O136" s="28">
        <f t="shared" si="109"/>
        <v>0</v>
      </c>
      <c r="P136" s="111"/>
      <c r="Q136" s="32">
        <f t="shared" si="110"/>
        <v>0</v>
      </c>
      <c r="R136" s="114"/>
      <c r="S136" s="100" t="str">
        <f>IFERROR(VLOOKUP(D136,[1]Worksheet!$A:$F,6,0),"")</f>
        <v/>
      </c>
      <c r="T136" s="117"/>
      <c r="U136" s="78" t="str">
        <f t="shared" si="111"/>
        <v/>
      </c>
      <c r="V136" t="str">
        <f t="shared" si="112"/>
        <v/>
      </c>
    </row>
    <row r="137" spans="1:27" ht="32.450000000000003" customHeight="1" thickBot="1">
      <c r="A137" s="105"/>
      <c r="B137" s="109"/>
      <c r="C137" s="121"/>
      <c r="D137" s="55" t="str">
        <f>IF(G137=0,"",C133&amp;"-"&amp;G137)</f>
        <v/>
      </c>
      <c r="E137" s="55" t="str">
        <f>IF(G137="","",IF(LEN(LEFT(C133,SEARCH("0",C133,1)-1))&lt;2,RIGHT(LEFT(C133,SEARCH("0",C133,1)-1),1)&amp;INT(RIGHT(C133,4)),RIGHT(LEFT(C133,SEARCH("0",C133,1)-1),1)&amp;INT(RIGHT(C133,4))))</f>
        <v/>
      </c>
      <c r="F137" s="11" t="str">
        <f>IF(G137=0,"",VLOOKUP(D137,[1]Worksheet!$A:$C,3,0))</f>
        <v/>
      </c>
      <c r="G137" s="12"/>
      <c r="H137" s="12"/>
      <c r="I137" s="23"/>
      <c r="J137" s="90" t="str">
        <f t="shared" si="93"/>
        <v/>
      </c>
      <c r="K137" s="95"/>
      <c r="L137" s="95"/>
      <c r="M137" s="80"/>
      <c r="N137" s="45">
        <f t="shared" si="114"/>
        <v>0</v>
      </c>
      <c r="O137" s="29">
        <f t="shared" si="109"/>
        <v>0</v>
      </c>
      <c r="P137" s="112"/>
      <c r="Q137" s="36">
        <f t="shared" si="110"/>
        <v>0</v>
      </c>
      <c r="R137" s="115"/>
      <c r="S137" s="100" t="str">
        <f>IFERROR(VLOOKUP(D137,[1]Worksheet!$A:$F,6,0),"")</f>
        <v/>
      </c>
      <c r="T137" s="118"/>
      <c r="U137" s="78" t="str">
        <f t="shared" si="111"/>
        <v/>
      </c>
      <c r="V137" t="str">
        <f t="shared" si="112"/>
        <v/>
      </c>
    </row>
    <row r="138" spans="1:27" ht="32.450000000000003" customHeight="1">
      <c r="A138" s="102">
        <f>A133+1</f>
        <v>28</v>
      </c>
      <c r="B138" s="106"/>
      <c r="C138" s="119"/>
      <c r="D138" s="53" t="str">
        <f>IF(G138=0,"",C138&amp;"-"&amp;G138)</f>
        <v/>
      </c>
      <c r="E138" s="53" t="str">
        <f>IF(G138="","",IF(LEN(LEFT(C138,SEARCH("0",C138,1)-1))&lt;2,RIGHT(LEFT(C138,SEARCH("0",C138,1)-1),1)&amp;INT(RIGHT(C138,4)),RIGHT(LEFT(C138,SEARCH("0",C138,1)-1),1)&amp;INT(RIGHT(C138,4))))</f>
        <v/>
      </c>
      <c r="F138" s="2" t="str">
        <f>IF(G138=0,"",VLOOKUP(D138,[1]Worksheet!$A:$C,3,0))</f>
        <v/>
      </c>
      <c r="G138" s="88"/>
      <c r="H138" s="4"/>
      <c r="I138" s="20"/>
      <c r="J138" s="89" t="str">
        <f t="shared" si="93"/>
        <v/>
      </c>
      <c r="K138" s="93"/>
      <c r="L138" s="93"/>
      <c r="M138" s="79"/>
      <c r="N138" s="42">
        <f t="shared" si="114"/>
        <v>0</v>
      </c>
      <c r="O138" s="27">
        <f t="shared" si="109"/>
        <v>0</v>
      </c>
      <c r="P138" s="110">
        <f>SUM(O138:O142)</f>
        <v>0</v>
      </c>
      <c r="Q138" s="35">
        <f t="shared" si="110"/>
        <v>0</v>
      </c>
      <c r="R138" s="113">
        <f>SUM(Q138:Q142)</f>
        <v>0</v>
      </c>
      <c r="S138" s="100" t="str">
        <f>IFERROR(VLOOKUP(D138,[1]Worksheet!$A:$F,6,0),"")</f>
        <v/>
      </c>
      <c r="T138" s="116" t="str">
        <f t="shared" ref="T138" si="115">IF(P138=R138,"",IF(P138&gt;R138,"Loss",IF(P138&lt;R138,"Over")))</f>
        <v/>
      </c>
      <c r="U138" s="78" t="str">
        <f t="shared" si="111"/>
        <v/>
      </c>
      <c r="V138" t="str">
        <f t="shared" si="112"/>
        <v/>
      </c>
    </row>
    <row r="139" spans="1:27" ht="32.450000000000003" customHeight="1">
      <c r="A139" s="103"/>
      <c r="B139" s="107"/>
      <c r="C139" s="120"/>
      <c r="D139" s="54" t="str">
        <f>IF(G139=0,"",C138&amp;"-"&amp;G139)</f>
        <v/>
      </c>
      <c r="E139" s="54" t="str">
        <f>IF(G139="","",IF(LEN(LEFT(C138,SEARCH("0",C138,1)-1))&lt;2,RIGHT(LEFT(C138,SEARCH("0",C138,1)-1),1)&amp;INT(RIGHT(C138,4)),RIGHT(LEFT(C138,SEARCH("0",C138,1)-1),1)&amp;INT(RIGHT(C138,4))))</f>
        <v/>
      </c>
      <c r="F139" s="5" t="str">
        <f>IF(G139=0,"",VLOOKUP(D139,[1]Worksheet!$A:$C,3,0))</f>
        <v/>
      </c>
      <c r="G139" s="9"/>
      <c r="H139" s="7"/>
      <c r="I139" s="21"/>
      <c r="J139" s="68" t="str">
        <f t="shared" si="93"/>
        <v/>
      </c>
      <c r="K139" s="94"/>
      <c r="L139" s="94"/>
      <c r="M139" s="81"/>
      <c r="N139" s="43">
        <f t="shared" si="114"/>
        <v>0</v>
      </c>
      <c r="O139" s="28">
        <f t="shared" si="109"/>
        <v>0</v>
      </c>
      <c r="P139" s="111"/>
      <c r="Q139" s="32">
        <f t="shared" si="110"/>
        <v>0</v>
      </c>
      <c r="R139" s="114"/>
      <c r="S139" s="100" t="str">
        <f>IFERROR(VLOOKUP(D139,[1]Worksheet!$A:$F,6,0),"")</f>
        <v/>
      </c>
      <c r="T139" s="117"/>
      <c r="U139" s="78" t="str">
        <f t="shared" si="111"/>
        <v/>
      </c>
      <c r="V139" t="str">
        <f t="shared" si="112"/>
        <v/>
      </c>
    </row>
    <row r="140" spans="1:27" ht="32.450000000000003" customHeight="1">
      <c r="A140" s="104"/>
      <c r="B140" s="108"/>
      <c r="C140" s="120"/>
      <c r="D140" s="54" t="str">
        <f>IF(G140=0,"",C138&amp;"-"&amp;G140)</f>
        <v/>
      </c>
      <c r="E140" s="54" t="str">
        <f>IF(G140="","",IF(LEN(LEFT(C138,SEARCH("0",C138,1)-1))&lt;2,RIGHT(LEFT(C138,SEARCH("0",C138,1)-1),1)&amp;INT(RIGHT(C138,4)),RIGHT(LEFT(C138,SEARCH("0",C138,1)-1),1)&amp;INT(RIGHT(C138,4))))</f>
        <v/>
      </c>
      <c r="F140" s="8" t="str">
        <f>IF(G140=0,"",VLOOKUP(D140,[1]Worksheet!$A:$C,3,0))</f>
        <v/>
      </c>
      <c r="G140" s="9"/>
      <c r="H140" s="10"/>
      <c r="I140" s="22"/>
      <c r="J140" s="68" t="str">
        <f t="shared" si="93"/>
        <v/>
      </c>
      <c r="K140" s="94"/>
      <c r="L140" s="94"/>
      <c r="M140" s="81"/>
      <c r="N140" s="44">
        <f t="shared" si="114"/>
        <v>0</v>
      </c>
      <c r="O140" s="28">
        <f t="shared" si="109"/>
        <v>0</v>
      </c>
      <c r="P140" s="111"/>
      <c r="Q140" s="32">
        <f t="shared" si="110"/>
        <v>0</v>
      </c>
      <c r="R140" s="114"/>
      <c r="S140" s="100" t="str">
        <f>IFERROR(VLOOKUP(D140,[1]Worksheet!$A:$F,6,0),"")</f>
        <v/>
      </c>
      <c r="T140" s="117"/>
      <c r="U140" s="78" t="str">
        <f t="shared" si="111"/>
        <v/>
      </c>
      <c r="V140" t="str">
        <f t="shared" si="112"/>
        <v/>
      </c>
    </row>
    <row r="141" spans="1:27" ht="32.450000000000003" customHeight="1">
      <c r="A141" s="104"/>
      <c r="B141" s="108"/>
      <c r="C141" s="120"/>
      <c r="D141" s="54" t="str">
        <f>IF(G141=0,"",C138&amp;"-"&amp;G141)</f>
        <v/>
      </c>
      <c r="E141" s="54" t="str">
        <f>IF(G141="","",IF(LEN(LEFT(C138,SEARCH("0",C138,1)-1))&lt;2,RIGHT(LEFT(C138,SEARCH("0",C138,1)-1),1)&amp;INT(RIGHT(C138,4)),RIGHT(LEFT(C138,SEARCH("0",C138,1)-1),1)&amp;INT(RIGHT(C138,4))))</f>
        <v/>
      </c>
      <c r="F141" s="8" t="str">
        <f>IF(G141=0,"",VLOOKUP(D141,[1]Worksheet!$A:$C,3,0))</f>
        <v/>
      </c>
      <c r="G141" s="10"/>
      <c r="H141" s="10"/>
      <c r="I141" s="22"/>
      <c r="J141" s="68" t="str">
        <f t="shared" ref="J141:J187" si="116">IF(D141&lt;&gt;"",$J$3,"")</f>
        <v/>
      </c>
      <c r="K141" s="94"/>
      <c r="L141" s="94"/>
      <c r="M141" s="82"/>
      <c r="N141" s="43">
        <f t="shared" si="114"/>
        <v>0</v>
      </c>
      <c r="O141" s="28">
        <f t="shared" si="109"/>
        <v>0</v>
      </c>
      <c r="P141" s="111"/>
      <c r="Q141" s="32">
        <f t="shared" si="110"/>
        <v>0</v>
      </c>
      <c r="R141" s="114"/>
      <c r="S141" s="100" t="str">
        <f>IFERROR(VLOOKUP(D141,[1]Worksheet!$A:$F,6,0),"")</f>
        <v/>
      </c>
      <c r="T141" s="117"/>
      <c r="U141" s="78" t="str">
        <f t="shared" si="111"/>
        <v/>
      </c>
      <c r="V141" t="str">
        <f t="shared" si="112"/>
        <v/>
      </c>
    </row>
    <row r="142" spans="1:27" ht="32.450000000000003" customHeight="1" thickBot="1">
      <c r="A142" s="105"/>
      <c r="B142" s="109"/>
      <c r="C142" s="121"/>
      <c r="D142" s="55" t="str">
        <f>IF(G142=0,"",C138&amp;"-"&amp;G142)</f>
        <v/>
      </c>
      <c r="E142" s="55" t="str">
        <f>IF(G142="","",IF(LEN(LEFT(C138,SEARCH("0",C138,1)-1))&lt;2,RIGHT(LEFT(C138,SEARCH("0",C138,1)-1),1)&amp;INT(RIGHT(C138,4)),RIGHT(LEFT(C138,SEARCH("0",C138,1)-1),1)&amp;INT(RIGHT(C138,4))))</f>
        <v/>
      </c>
      <c r="F142" s="11" t="str">
        <f>IF(G142=0,"",VLOOKUP(D142,[1]Worksheet!$A:$C,3,0))</f>
        <v/>
      </c>
      <c r="G142" s="12"/>
      <c r="H142" s="12"/>
      <c r="I142" s="23"/>
      <c r="J142" s="90" t="str">
        <f t="shared" si="116"/>
        <v/>
      </c>
      <c r="K142" s="95"/>
      <c r="L142" s="95"/>
      <c r="M142" s="80"/>
      <c r="N142" s="45">
        <f t="shared" si="114"/>
        <v>0</v>
      </c>
      <c r="O142" s="29">
        <f t="shared" si="109"/>
        <v>0</v>
      </c>
      <c r="P142" s="112"/>
      <c r="Q142" s="36">
        <f t="shared" si="110"/>
        <v>0</v>
      </c>
      <c r="R142" s="115"/>
      <c r="S142" s="100" t="str">
        <f>IFERROR(VLOOKUP(D142,[1]Worksheet!$A:$F,6,0),"")</f>
        <v/>
      </c>
      <c r="T142" s="118"/>
      <c r="U142" s="78" t="str">
        <f t="shared" si="111"/>
        <v/>
      </c>
      <c r="V142" t="str">
        <f t="shared" si="112"/>
        <v/>
      </c>
    </row>
    <row r="143" spans="1:27" ht="32.450000000000003" customHeight="1">
      <c r="A143" s="102">
        <f>A138+1</f>
        <v>29</v>
      </c>
      <c r="B143" s="122"/>
      <c r="C143" s="119"/>
      <c r="D143" s="53" t="str">
        <f>IF(G143=0,"",C143&amp;"-"&amp;G143)</f>
        <v/>
      </c>
      <c r="E143" s="53" t="str">
        <f>IF(G143="","",IF(LEN(LEFT(C143,SEARCH("0",C143,1)-1))&lt;2,RIGHT(LEFT(C143,SEARCH("0",C143,1)-1),1)&amp;INT(RIGHT(C143,4)),RIGHT(LEFT(C143,SEARCH("0",C143,1)-1),1)&amp;INT(RIGHT(C143,4))))</f>
        <v/>
      </c>
      <c r="F143" s="2" t="str">
        <f>IF(G143=0,"",VLOOKUP(D143,[1]Worksheet!$A:$C,3,0))</f>
        <v/>
      </c>
      <c r="G143" s="88"/>
      <c r="H143" s="4"/>
      <c r="I143" s="20"/>
      <c r="J143" s="89" t="str">
        <f t="shared" si="116"/>
        <v/>
      </c>
      <c r="K143" s="93"/>
      <c r="L143" s="93"/>
      <c r="M143" s="79"/>
      <c r="N143" s="42">
        <f t="shared" si="114"/>
        <v>0</v>
      </c>
      <c r="O143" s="27">
        <f t="shared" si="109"/>
        <v>0</v>
      </c>
      <c r="P143" s="110">
        <f>SUM(O143:O147)</f>
        <v>0</v>
      </c>
      <c r="Q143" s="35">
        <f t="shared" si="110"/>
        <v>0</v>
      </c>
      <c r="R143" s="113">
        <f>SUM(Q143:Q147)</f>
        <v>0</v>
      </c>
      <c r="S143" s="100" t="str">
        <f>IFERROR(VLOOKUP(D143,[1]Worksheet!$A:$F,6,0),"")</f>
        <v/>
      </c>
      <c r="T143" s="116" t="str">
        <f t="shared" ref="T143" si="117">IF(P143=R143,"",IF(P143&gt;R143,"Loss",IF(P143&lt;R143,"Over")))</f>
        <v/>
      </c>
      <c r="U143" s="78" t="str">
        <f t="shared" si="111"/>
        <v/>
      </c>
      <c r="V143" t="str">
        <f t="shared" si="112"/>
        <v/>
      </c>
    </row>
    <row r="144" spans="1:27" ht="32.450000000000003" customHeight="1">
      <c r="A144" s="103"/>
      <c r="B144" s="107"/>
      <c r="C144" s="120"/>
      <c r="D144" s="54" t="str">
        <f>IF(G144=0,"",C143&amp;"-"&amp;G144)</f>
        <v/>
      </c>
      <c r="E144" s="54" t="str">
        <f>IF(G144="","",IF(LEN(LEFT(C143,SEARCH("0",C143,1)-1))&lt;2,RIGHT(LEFT(C143,SEARCH("0",C143,1)-1),1)&amp;INT(RIGHT(C143,4)),RIGHT(LEFT(C143,SEARCH("0",C143,1)-1),1)&amp;INT(RIGHT(C143,4))))</f>
        <v/>
      </c>
      <c r="F144" s="5" t="str">
        <f>IF(G144=0,"",VLOOKUP(D144,[1]Worksheet!$A:$C,3,0))</f>
        <v/>
      </c>
      <c r="G144" s="9"/>
      <c r="H144" s="7"/>
      <c r="I144" s="21"/>
      <c r="J144" s="68" t="str">
        <f t="shared" si="116"/>
        <v/>
      </c>
      <c r="K144" s="94"/>
      <c r="L144" s="94"/>
      <c r="M144" s="81"/>
      <c r="N144" s="43">
        <f t="shared" si="114"/>
        <v>0</v>
      </c>
      <c r="O144" s="28">
        <f t="shared" si="109"/>
        <v>0</v>
      </c>
      <c r="P144" s="111"/>
      <c r="Q144" s="32">
        <f t="shared" si="110"/>
        <v>0</v>
      </c>
      <c r="R144" s="114"/>
      <c r="S144" s="100" t="str">
        <f>IFERROR(VLOOKUP(D144,[1]Worksheet!$A:$F,6,0),"")</f>
        <v/>
      </c>
      <c r="T144" s="117"/>
      <c r="U144" s="78" t="str">
        <f t="shared" si="111"/>
        <v/>
      </c>
      <c r="V144" t="str">
        <f t="shared" si="112"/>
        <v/>
      </c>
    </row>
    <row r="145" spans="1:22" ht="32.450000000000003" customHeight="1">
      <c r="A145" s="104"/>
      <c r="B145" s="108"/>
      <c r="C145" s="120"/>
      <c r="D145" s="54" t="str">
        <f>IF(G145=0,"",C143&amp;"-"&amp;G145)</f>
        <v/>
      </c>
      <c r="E145" s="54" t="str">
        <f>IF(G145="","",IF(LEN(LEFT(C143,SEARCH("0",C143,1)-1))&lt;2,RIGHT(LEFT(C143,SEARCH("0",C143,1)-1),1)&amp;INT(RIGHT(C143,4)),RIGHT(LEFT(C143,SEARCH("0",C143,1)-1),1)&amp;INT(RIGHT(C143,4))))</f>
        <v/>
      </c>
      <c r="F145" s="8" t="str">
        <f>IF(G145=0,"",VLOOKUP(D145,[1]Worksheet!$A:$C,3,0))</f>
        <v/>
      </c>
      <c r="G145" s="9"/>
      <c r="H145" s="10"/>
      <c r="I145" s="22"/>
      <c r="J145" s="68" t="str">
        <f t="shared" si="116"/>
        <v/>
      </c>
      <c r="K145" s="94"/>
      <c r="L145" s="94"/>
      <c r="M145" s="81"/>
      <c r="N145" s="44">
        <f t="shared" si="114"/>
        <v>0</v>
      </c>
      <c r="O145" s="28">
        <f t="shared" si="109"/>
        <v>0</v>
      </c>
      <c r="P145" s="111"/>
      <c r="Q145" s="32">
        <f t="shared" si="110"/>
        <v>0</v>
      </c>
      <c r="R145" s="114"/>
      <c r="S145" s="100" t="str">
        <f>IFERROR(VLOOKUP(D145,[1]Worksheet!$A:$F,6,0),"")</f>
        <v/>
      </c>
      <c r="T145" s="117"/>
      <c r="U145" s="78" t="str">
        <f t="shared" si="111"/>
        <v/>
      </c>
      <c r="V145" t="str">
        <f t="shared" si="112"/>
        <v/>
      </c>
    </row>
    <row r="146" spans="1:22" ht="32.450000000000003" customHeight="1">
      <c r="A146" s="104"/>
      <c r="B146" s="108"/>
      <c r="C146" s="120"/>
      <c r="D146" s="54" t="str">
        <f>IF(G146=0,"",C143&amp;"-"&amp;G146)</f>
        <v/>
      </c>
      <c r="E146" s="54" t="str">
        <f>IF(G146="","",IF(LEN(LEFT(C143,SEARCH("0",C143,1)-1))&lt;2,RIGHT(LEFT(C143,SEARCH("0",C143,1)-1),1)&amp;INT(RIGHT(C143,4)),RIGHT(LEFT(C143,SEARCH("0",C143,1)-1),1)&amp;INT(RIGHT(C143,4))))</f>
        <v/>
      </c>
      <c r="F146" s="8" t="str">
        <f>IF(G146=0,"",VLOOKUP(D146,[1]Worksheet!$A:$C,3,0))</f>
        <v/>
      </c>
      <c r="G146" s="10"/>
      <c r="H146" s="10"/>
      <c r="I146" s="22"/>
      <c r="J146" s="68" t="str">
        <f t="shared" si="116"/>
        <v/>
      </c>
      <c r="K146" s="94"/>
      <c r="L146" s="94"/>
      <c r="M146" s="82"/>
      <c r="N146" s="43">
        <f t="shared" si="114"/>
        <v>0</v>
      </c>
      <c r="O146" s="28">
        <f t="shared" si="109"/>
        <v>0</v>
      </c>
      <c r="P146" s="111"/>
      <c r="Q146" s="32">
        <f t="shared" si="110"/>
        <v>0</v>
      </c>
      <c r="R146" s="114"/>
      <c r="S146" s="100" t="str">
        <f>IFERROR(VLOOKUP(D146,[1]Worksheet!$A:$F,6,0),"")</f>
        <v/>
      </c>
      <c r="T146" s="117"/>
      <c r="U146" s="78" t="str">
        <f t="shared" si="111"/>
        <v/>
      </c>
      <c r="V146" t="str">
        <f t="shared" si="112"/>
        <v/>
      </c>
    </row>
    <row r="147" spans="1:22" ht="32.450000000000003" customHeight="1" thickBot="1">
      <c r="A147" s="105"/>
      <c r="B147" s="109"/>
      <c r="C147" s="121"/>
      <c r="D147" s="55" t="str">
        <f>IF(G147=0,"",C143&amp;"-"&amp;G147)</f>
        <v/>
      </c>
      <c r="E147" s="55" t="str">
        <f>IF(G147="","",IF(LEN(LEFT(C143,SEARCH("0",C143,1)-1))&lt;2,RIGHT(LEFT(C143,SEARCH("0",C143,1)-1),1)&amp;INT(RIGHT(C143,4)),RIGHT(LEFT(C143,SEARCH("0",C143,1)-1),1)&amp;INT(RIGHT(C143,4))))</f>
        <v/>
      </c>
      <c r="F147" s="11" t="str">
        <f>IF(G147=0,"",VLOOKUP(D147,[1]Worksheet!$A:$C,3,0))</f>
        <v/>
      </c>
      <c r="G147" s="12"/>
      <c r="H147" s="12"/>
      <c r="I147" s="23"/>
      <c r="J147" s="90" t="str">
        <f t="shared" si="116"/>
        <v/>
      </c>
      <c r="K147" s="95"/>
      <c r="L147" s="95"/>
      <c r="M147" s="80"/>
      <c r="N147" s="45">
        <f t="shared" si="114"/>
        <v>0</v>
      </c>
      <c r="O147" s="29">
        <f t="shared" si="109"/>
        <v>0</v>
      </c>
      <c r="P147" s="112"/>
      <c r="Q147" s="36">
        <f t="shared" si="110"/>
        <v>0</v>
      </c>
      <c r="R147" s="115"/>
      <c r="S147" s="100" t="str">
        <f>IFERROR(VLOOKUP(D147,[1]Worksheet!$A:$F,6,0),"")</f>
        <v/>
      </c>
      <c r="T147" s="118"/>
      <c r="U147" s="78" t="str">
        <f t="shared" si="111"/>
        <v/>
      </c>
      <c r="V147" t="str">
        <f t="shared" si="112"/>
        <v/>
      </c>
    </row>
    <row r="148" spans="1:22" ht="32.450000000000003" customHeight="1">
      <c r="A148" s="102">
        <f>A143+1</f>
        <v>30</v>
      </c>
      <c r="B148" s="106"/>
      <c r="C148" s="119"/>
      <c r="D148" s="53" t="str">
        <f>IF(G148=0,"",C148&amp;"-"&amp;G148)</f>
        <v/>
      </c>
      <c r="E148" s="53" t="str">
        <f>IF(G148="","",IF(LEN(LEFT(C148,SEARCH("0",C148,1)-1))&lt;2,RIGHT(LEFT(C148,SEARCH("0",C148,1)-1),1)&amp;INT(RIGHT(C148,4)),RIGHT(LEFT(C148,SEARCH("0",C148,1)-1),1)&amp;INT(RIGHT(C148,4))))</f>
        <v/>
      </c>
      <c r="F148" s="2" t="str">
        <f>IF(G148=0,"",VLOOKUP(D148,[1]Worksheet!$A:$C,3,0))</f>
        <v/>
      </c>
      <c r="G148" s="88"/>
      <c r="H148" s="4"/>
      <c r="I148" s="20"/>
      <c r="J148" s="89" t="str">
        <f t="shared" si="116"/>
        <v/>
      </c>
      <c r="K148" s="93"/>
      <c r="L148" s="93"/>
      <c r="M148" s="79"/>
      <c r="N148" s="42">
        <f t="shared" si="114"/>
        <v>0</v>
      </c>
      <c r="O148" s="27">
        <f t="shared" si="109"/>
        <v>0</v>
      </c>
      <c r="P148" s="110">
        <f>SUM(O148:O152)</f>
        <v>0</v>
      </c>
      <c r="Q148" s="35">
        <f t="shared" si="110"/>
        <v>0</v>
      </c>
      <c r="R148" s="113">
        <f>SUM(Q148:Q152)</f>
        <v>0</v>
      </c>
      <c r="S148" s="100" t="str">
        <f>IFERROR(VLOOKUP(D148,[1]Worksheet!$A:$F,6,0),"")</f>
        <v/>
      </c>
      <c r="T148" s="116" t="str">
        <f t="shared" ref="T148" si="118">IF(P148=R148,"",IF(P148&gt;R148,"Loss",IF(P148&lt;R148,"Over")))</f>
        <v/>
      </c>
      <c r="U148" s="78" t="str">
        <f t="shared" si="111"/>
        <v/>
      </c>
      <c r="V148" t="str">
        <f t="shared" si="112"/>
        <v/>
      </c>
    </row>
    <row r="149" spans="1:22" ht="32.450000000000003" customHeight="1">
      <c r="A149" s="103"/>
      <c r="B149" s="107"/>
      <c r="C149" s="120"/>
      <c r="D149" s="54" t="str">
        <f>IF(G149=0,"",C148&amp;"-"&amp;G149)</f>
        <v/>
      </c>
      <c r="E149" s="54" t="str">
        <f>IF(G149="","",IF(LEN(LEFT(C148,SEARCH("0",C148,1)-1))&lt;2,RIGHT(LEFT(C148,SEARCH("0",C148,1)-1),1)&amp;INT(RIGHT(C148,4)),RIGHT(LEFT(C148,SEARCH("0",C148,1)-1),1)&amp;INT(RIGHT(C148,4))))</f>
        <v/>
      </c>
      <c r="F149" s="5" t="str">
        <f>IF(G149=0,"",VLOOKUP(D149,[1]Worksheet!$A:$C,3,0))</f>
        <v/>
      </c>
      <c r="G149" s="9"/>
      <c r="H149" s="7"/>
      <c r="I149" s="21"/>
      <c r="J149" s="68" t="str">
        <f t="shared" si="116"/>
        <v/>
      </c>
      <c r="K149" s="94"/>
      <c r="L149" s="94"/>
      <c r="M149" s="81"/>
      <c r="N149" s="43">
        <f t="shared" si="114"/>
        <v>0</v>
      </c>
      <c r="O149" s="28">
        <f t="shared" si="109"/>
        <v>0</v>
      </c>
      <c r="P149" s="111"/>
      <c r="Q149" s="32">
        <f t="shared" si="110"/>
        <v>0</v>
      </c>
      <c r="R149" s="114"/>
      <c r="S149" s="100" t="str">
        <f>IFERROR(VLOOKUP(D149,[1]Worksheet!$A:$F,6,0),"")</f>
        <v/>
      </c>
      <c r="T149" s="117"/>
      <c r="U149" s="78" t="str">
        <f t="shared" si="111"/>
        <v/>
      </c>
      <c r="V149" t="str">
        <f t="shared" si="112"/>
        <v/>
      </c>
    </row>
    <row r="150" spans="1:22" ht="32.450000000000003" customHeight="1">
      <c r="A150" s="104"/>
      <c r="B150" s="108"/>
      <c r="C150" s="120"/>
      <c r="D150" s="54" t="str">
        <f>IF(G150=0,"",C148&amp;"-"&amp;G150)</f>
        <v/>
      </c>
      <c r="E150" s="54" t="str">
        <f>IF(G150="","",IF(LEN(LEFT(C148,SEARCH("0",C148,1)-1))&lt;2,RIGHT(LEFT(C148,SEARCH("0",C148,1)-1),1)&amp;INT(RIGHT(C148,4)),RIGHT(LEFT(C148,SEARCH("0",C148,1)-1),1)&amp;INT(RIGHT(C148,4))))</f>
        <v/>
      </c>
      <c r="F150" s="8" t="str">
        <f>IF(G150=0,"",VLOOKUP(D150,[1]Worksheet!$A:$C,3,0))</f>
        <v/>
      </c>
      <c r="G150" s="9"/>
      <c r="H150" s="10"/>
      <c r="I150" s="22"/>
      <c r="J150" s="68" t="str">
        <f t="shared" si="116"/>
        <v/>
      </c>
      <c r="K150" s="94"/>
      <c r="L150" s="94"/>
      <c r="M150" s="81"/>
      <c r="N150" s="44">
        <f t="shared" si="114"/>
        <v>0</v>
      </c>
      <c r="O150" s="28">
        <f t="shared" si="109"/>
        <v>0</v>
      </c>
      <c r="P150" s="111"/>
      <c r="Q150" s="32">
        <f t="shared" si="110"/>
        <v>0</v>
      </c>
      <c r="R150" s="114"/>
      <c r="S150" s="100" t="str">
        <f>IFERROR(VLOOKUP(D150,[1]Worksheet!$A:$F,6,0),"")</f>
        <v/>
      </c>
      <c r="T150" s="117"/>
      <c r="U150" s="78" t="str">
        <f t="shared" si="111"/>
        <v/>
      </c>
      <c r="V150" t="str">
        <f t="shared" si="112"/>
        <v/>
      </c>
    </row>
    <row r="151" spans="1:22" ht="32.450000000000003" customHeight="1">
      <c r="A151" s="104"/>
      <c r="B151" s="108"/>
      <c r="C151" s="120"/>
      <c r="D151" s="54" t="str">
        <f>IF(G151=0,"",C148&amp;"-"&amp;G151)</f>
        <v/>
      </c>
      <c r="E151" s="54" t="str">
        <f>IF(G151="","",IF(LEN(LEFT(C148,SEARCH("0",C148,1)-1))&lt;2,RIGHT(LEFT(C148,SEARCH("0",C148,1)-1),1)&amp;INT(RIGHT(C148,4)),RIGHT(LEFT(C148,SEARCH("0",C148,1)-1),1)&amp;INT(RIGHT(C148,4))))</f>
        <v/>
      </c>
      <c r="F151" s="8" t="str">
        <f>IF(G151=0,"",VLOOKUP(D151,[1]Worksheet!$A:$C,3,0))</f>
        <v/>
      </c>
      <c r="G151" s="10"/>
      <c r="H151" s="10"/>
      <c r="I151" s="22"/>
      <c r="J151" s="68" t="str">
        <f t="shared" si="116"/>
        <v/>
      </c>
      <c r="K151" s="94"/>
      <c r="L151" s="94"/>
      <c r="M151" s="82"/>
      <c r="N151" s="43">
        <f t="shared" si="114"/>
        <v>0</v>
      </c>
      <c r="O151" s="28">
        <f t="shared" si="109"/>
        <v>0</v>
      </c>
      <c r="P151" s="111"/>
      <c r="Q151" s="32">
        <f t="shared" si="110"/>
        <v>0</v>
      </c>
      <c r="R151" s="114"/>
      <c r="S151" s="100" t="str">
        <f>IFERROR(VLOOKUP(D151,[1]Worksheet!$A:$F,6,0),"")</f>
        <v/>
      </c>
      <c r="T151" s="117"/>
      <c r="U151" s="78" t="str">
        <f t="shared" si="111"/>
        <v/>
      </c>
      <c r="V151" t="str">
        <f t="shared" si="112"/>
        <v/>
      </c>
    </row>
    <row r="152" spans="1:22" ht="32.450000000000003" customHeight="1" thickBot="1">
      <c r="A152" s="105"/>
      <c r="B152" s="109"/>
      <c r="C152" s="121"/>
      <c r="D152" s="55" t="str">
        <f>IF(G152=0,"",C148&amp;"-"&amp;G152)</f>
        <v/>
      </c>
      <c r="E152" s="55" t="str">
        <f>IF(G152="","",IF(LEN(LEFT(C148,SEARCH("0",C148,1)-1))&lt;2,RIGHT(LEFT(C148,SEARCH("0",C148,1)-1),1)&amp;INT(RIGHT(C148,4)),RIGHT(LEFT(C148,SEARCH("0",C148,1)-1),1)&amp;INT(RIGHT(C148,4))))</f>
        <v/>
      </c>
      <c r="F152" s="11" t="str">
        <f>IF(G152=0,"",VLOOKUP(D152,[1]Worksheet!$A:$C,3,0))</f>
        <v/>
      </c>
      <c r="G152" s="12"/>
      <c r="H152" s="12"/>
      <c r="I152" s="23"/>
      <c r="J152" s="90" t="str">
        <f t="shared" si="116"/>
        <v/>
      </c>
      <c r="K152" s="95"/>
      <c r="L152" s="95"/>
      <c r="M152" s="80"/>
      <c r="N152" s="45">
        <f t="shared" si="114"/>
        <v>0</v>
      </c>
      <c r="O152" s="29">
        <f t="shared" si="109"/>
        <v>0</v>
      </c>
      <c r="P152" s="112"/>
      <c r="Q152" s="36">
        <f t="shared" si="110"/>
        <v>0</v>
      </c>
      <c r="R152" s="115"/>
      <c r="S152" s="100" t="str">
        <f>IFERROR(VLOOKUP(D152,[1]Worksheet!$A:$F,6,0),"")</f>
        <v/>
      </c>
      <c r="T152" s="118"/>
      <c r="U152" s="78" t="str">
        <f t="shared" si="111"/>
        <v/>
      </c>
      <c r="V152" t="str">
        <f t="shared" si="112"/>
        <v/>
      </c>
    </row>
    <row r="153" spans="1:22" ht="32.450000000000003" customHeight="1">
      <c r="A153" s="102">
        <f>A148+1</f>
        <v>31</v>
      </c>
      <c r="B153" s="106"/>
      <c r="C153" s="119"/>
      <c r="D153" s="53" t="str">
        <f>IF(G153=0,"",C153&amp;"-"&amp;G153)</f>
        <v/>
      </c>
      <c r="E153" s="53" t="str">
        <f>IF(G153="","",IF(LEN(LEFT(C153,SEARCH("0",C153,1)-1))&lt;2,RIGHT(LEFT(C153,SEARCH("0",C153,1)-1),1)&amp;INT(RIGHT(C153,4)),RIGHT(LEFT(C153,SEARCH("0",C153,1)-1),1)&amp;INT(RIGHT(C153,4))))</f>
        <v/>
      </c>
      <c r="F153" s="2" t="str">
        <f>IF(G153=0,"",VLOOKUP(D153,[1]Worksheet!$A:$C,3,0))</f>
        <v/>
      </c>
      <c r="G153" s="88"/>
      <c r="H153" s="4"/>
      <c r="I153" s="20"/>
      <c r="J153" s="89" t="str">
        <f t="shared" si="116"/>
        <v/>
      </c>
      <c r="K153" s="93"/>
      <c r="L153" s="93"/>
      <c r="M153" s="79"/>
      <c r="N153" s="42">
        <f t="shared" si="114"/>
        <v>0</v>
      </c>
      <c r="O153" s="27">
        <f t="shared" si="109"/>
        <v>0</v>
      </c>
      <c r="P153" s="110">
        <f>SUM(O153:O157)</f>
        <v>0</v>
      </c>
      <c r="Q153" s="35">
        <f t="shared" si="110"/>
        <v>0</v>
      </c>
      <c r="R153" s="113">
        <f>SUM(Q153:Q157)</f>
        <v>0</v>
      </c>
      <c r="S153" s="100" t="str">
        <f>IFERROR(VLOOKUP(D153,[1]Worksheet!$A:$F,6,0),"")</f>
        <v/>
      </c>
      <c r="T153" s="116" t="str">
        <f t="shared" ref="T153" si="119">IF(P153=R153,"",IF(P153&gt;R153,"Loss",IF(P153&lt;R153,"Over")))</f>
        <v/>
      </c>
      <c r="U153" s="78" t="str">
        <f t="shared" si="111"/>
        <v/>
      </c>
      <c r="V153" t="str">
        <f t="shared" si="112"/>
        <v/>
      </c>
    </row>
    <row r="154" spans="1:22" ht="32.450000000000003" customHeight="1">
      <c r="A154" s="103"/>
      <c r="B154" s="107"/>
      <c r="C154" s="120"/>
      <c r="D154" s="54" t="str">
        <f>IF(G154=0,"",C153&amp;"-"&amp;G154)</f>
        <v/>
      </c>
      <c r="E154" s="54" t="str">
        <f>IF(G154="","",IF(LEN(LEFT(C153,SEARCH("0",C153,1)-1))&lt;2,RIGHT(LEFT(C153,SEARCH("0",C153,1)-1),1)&amp;INT(RIGHT(C153,4)),RIGHT(LEFT(C153,SEARCH("0",C153,1)-1),1)&amp;INT(RIGHT(C153,4))))</f>
        <v/>
      </c>
      <c r="F154" s="5" t="str">
        <f>IF(G154=0,"",VLOOKUP(D154,[1]Worksheet!$A:$C,3,0))</f>
        <v/>
      </c>
      <c r="G154" s="9"/>
      <c r="H154" s="7"/>
      <c r="I154" s="21"/>
      <c r="J154" s="68" t="str">
        <f t="shared" si="116"/>
        <v/>
      </c>
      <c r="K154" s="94"/>
      <c r="L154" s="94"/>
      <c r="M154" s="81"/>
      <c r="N154" s="43">
        <f t="shared" si="114"/>
        <v>0</v>
      </c>
      <c r="O154" s="28">
        <f t="shared" si="109"/>
        <v>0</v>
      </c>
      <c r="P154" s="111"/>
      <c r="Q154" s="32">
        <f t="shared" si="110"/>
        <v>0</v>
      </c>
      <c r="R154" s="114"/>
      <c r="S154" s="100" t="str">
        <f>IFERROR(VLOOKUP(D154,[1]Worksheet!$A:$F,6,0),"")</f>
        <v/>
      </c>
      <c r="T154" s="117"/>
      <c r="U154" s="78" t="str">
        <f t="shared" si="111"/>
        <v/>
      </c>
      <c r="V154" t="str">
        <f t="shared" si="112"/>
        <v/>
      </c>
    </row>
    <row r="155" spans="1:22" ht="32.450000000000003" customHeight="1">
      <c r="A155" s="104"/>
      <c r="B155" s="108"/>
      <c r="C155" s="120"/>
      <c r="D155" s="54" t="str">
        <f>IF(G155=0,"",C153&amp;"-"&amp;G155)</f>
        <v/>
      </c>
      <c r="E155" s="54" t="str">
        <f>IF(G155="","",IF(LEN(LEFT(C153,SEARCH("0",C153,1)-1))&lt;2,RIGHT(LEFT(C153,SEARCH("0",C153,1)-1),1)&amp;INT(RIGHT(C153,4)),RIGHT(LEFT(C153,SEARCH("0",C153,1)-1),1)&amp;INT(RIGHT(C153,4))))</f>
        <v/>
      </c>
      <c r="F155" s="8" t="str">
        <f>IF(G155=0,"",VLOOKUP(D155,[1]Worksheet!$A:$C,3,0))</f>
        <v/>
      </c>
      <c r="G155" s="9"/>
      <c r="H155" s="10"/>
      <c r="I155" s="22"/>
      <c r="J155" s="68" t="str">
        <f t="shared" si="116"/>
        <v/>
      </c>
      <c r="K155" s="94"/>
      <c r="L155" s="94"/>
      <c r="M155" s="81"/>
      <c r="N155" s="44">
        <f t="shared" si="114"/>
        <v>0</v>
      </c>
      <c r="O155" s="28">
        <f t="shared" si="109"/>
        <v>0</v>
      </c>
      <c r="P155" s="111"/>
      <c r="Q155" s="32">
        <f t="shared" si="110"/>
        <v>0</v>
      </c>
      <c r="R155" s="114"/>
      <c r="S155" s="100" t="str">
        <f>IFERROR(VLOOKUP(D155,[1]Worksheet!$A:$F,6,0),"")</f>
        <v/>
      </c>
      <c r="T155" s="117"/>
      <c r="U155" s="78" t="str">
        <f t="shared" si="111"/>
        <v/>
      </c>
      <c r="V155" t="str">
        <f t="shared" si="112"/>
        <v/>
      </c>
    </row>
    <row r="156" spans="1:22" ht="32.450000000000003" customHeight="1">
      <c r="A156" s="104"/>
      <c r="B156" s="108"/>
      <c r="C156" s="120"/>
      <c r="D156" s="54" t="str">
        <f>IF(G156=0,"",C153&amp;"-"&amp;G156)</f>
        <v/>
      </c>
      <c r="E156" s="54" t="str">
        <f>IF(G156="","",IF(LEN(LEFT(C153,SEARCH("0",C153,1)-1))&lt;2,RIGHT(LEFT(C153,SEARCH("0",C153,1)-1),1)&amp;INT(RIGHT(C153,4)),RIGHT(LEFT(C153,SEARCH("0",C153,1)-1),1)&amp;INT(RIGHT(C153,4))))</f>
        <v/>
      </c>
      <c r="F156" s="8" t="str">
        <f>IF(G156=0,"",VLOOKUP(D156,[1]Worksheet!$A:$C,3,0))</f>
        <v/>
      </c>
      <c r="G156" s="10"/>
      <c r="H156" s="10"/>
      <c r="I156" s="22"/>
      <c r="J156" s="68" t="str">
        <f t="shared" si="116"/>
        <v/>
      </c>
      <c r="K156" s="94"/>
      <c r="L156" s="94"/>
      <c r="M156" s="82"/>
      <c r="N156" s="43">
        <f t="shared" si="114"/>
        <v>0</v>
      </c>
      <c r="O156" s="28">
        <f t="shared" si="109"/>
        <v>0</v>
      </c>
      <c r="P156" s="111"/>
      <c r="Q156" s="32">
        <f t="shared" si="110"/>
        <v>0</v>
      </c>
      <c r="R156" s="114"/>
      <c r="S156" s="100" t="str">
        <f>IFERROR(VLOOKUP(D156,[1]Worksheet!$A:$F,6,0),"")</f>
        <v/>
      </c>
      <c r="T156" s="117"/>
      <c r="U156" s="78" t="str">
        <f t="shared" si="111"/>
        <v/>
      </c>
      <c r="V156" t="str">
        <f t="shared" si="112"/>
        <v/>
      </c>
    </row>
    <row r="157" spans="1:22" ht="32.450000000000003" customHeight="1" thickBot="1">
      <c r="A157" s="105"/>
      <c r="B157" s="109"/>
      <c r="C157" s="121"/>
      <c r="D157" s="55" t="str">
        <f>IF(G157=0,"",C153&amp;"-"&amp;G157)</f>
        <v/>
      </c>
      <c r="E157" s="55" t="str">
        <f>IF(G157="","",IF(LEN(LEFT(C153,SEARCH("0",C153,1)-1))&lt;2,RIGHT(LEFT(C153,SEARCH("0",C153,1)-1),1)&amp;INT(RIGHT(C153,4)),RIGHT(LEFT(C153,SEARCH("0",C153,1)-1),1)&amp;INT(RIGHT(C153,4))))</f>
        <v/>
      </c>
      <c r="F157" s="11" t="str">
        <f>IF(G157=0,"",VLOOKUP(D157,[1]Worksheet!$A:$C,3,0))</f>
        <v/>
      </c>
      <c r="G157" s="12"/>
      <c r="H157" s="12"/>
      <c r="I157" s="23"/>
      <c r="J157" s="90" t="str">
        <f t="shared" si="116"/>
        <v/>
      </c>
      <c r="K157" s="95"/>
      <c r="L157" s="95"/>
      <c r="M157" s="80"/>
      <c r="N157" s="45">
        <f t="shared" si="114"/>
        <v>0</v>
      </c>
      <c r="O157" s="29">
        <f t="shared" si="109"/>
        <v>0</v>
      </c>
      <c r="P157" s="112"/>
      <c r="Q157" s="36">
        <f t="shared" si="110"/>
        <v>0</v>
      </c>
      <c r="R157" s="115"/>
      <c r="S157" s="100" t="str">
        <f>IFERROR(VLOOKUP(D157,[1]Worksheet!$A:$F,6,0),"")</f>
        <v/>
      </c>
      <c r="T157" s="118"/>
      <c r="U157" s="78" t="str">
        <f t="shared" si="111"/>
        <v/>
      </c>
      <c r="V157" t="str">
        <f t="shared" si="112"/>
        <v/>
      </c>
    </row>
    <row r="158" spans="1:22" ht="32.450000000000003" customHeight="1">
      <c r="A158" s="102">
        <f>A153+1</f>
        <v>32</v>
      </c>
      <c r="B158" s="106"/>
      <c r="C158" s="119"/>
      <c r="D158" s="53" t="str">
        <f>IF(G158=0,"",C158&amp;"-"&amp;G158)</f>
        <v/>
      </c>
      <c r="E158" s="53" t="str">
        <f>IF(G158="","",IF(LEN(LEFT(C158,SEARCH("0",C158,1)-1))&lt;2,RIGHT(LEFT(C158,SEARCH("0",C158,1)-1),1)&amp;INT(RIGHT(C158,4)),RIGHT(LEFT(C158,SEARCH("0",C158,1)-1),1)&amp;INT(RIGHT(C158,4))))</f>
        <v/>
      </c>
      <c r="F158" s="2" t="str">
        <f>IF(G158=0,"",VLOOKUP(D158,[1]Worksheet!$A:$C,3,0))</f>
        <v/>
      </c>
      <c r="G158" s="88"/>
      <c r="H158" s="4"/>
      <c r="I158" s="20"/>
      <c r="J158" s="89" t="str">
        <f t="shared" si="116"/>
        <v/>
      </c>
      <c r="K158" s="93"/>
      <c r="L158" s="93"/>
      <c r="M158" s="79"/>
      <c r="N158" s="42">
        <f t="shared" si="114"/>
        <v>0</v>
      </c>
      <c r="O158" s="27">
        <f t="shared" si="109"/>
        <v>0</v>
      </c>
      <c r="P158" s="110">
        <f>SUM(O158:O162)</f>
        <v>0</v>
      </c>
      <c r="Q158" s="35">
        <f t="shared" si="110"/>
        <v>0</v>
      </c>
      <c r="R158" s="113">
        <f>SUM(Q158:Q162)</f>
        <v>0</v>
      </c>
      <c r="S158" s="100" t="str">
        <f>IFERROR(VLOOKUP(D158,[1]Worksheet!$A:$F,6,0),"")</f>
        <v/>
      </c>
      <c r="T158" s="116" t="str">
        <f t="shared" ref="T158" si="120">IF(P158=R158,"",IF(P158&gt;R158,"Loss",IF(P158&lt;R158,"Over")))</f>
        <v/>
      </c>
      <c r="U158" s="78" t="str">
        <f t="shared" si="111"/>
        <v/>
      </c>
      <c r="V158" t="str">
        <f t="shared" si="112"/>
        <v/>
      </c>
    </row>
    <row r="159" spans="1:22" ht="32.450000000000003" customHeight="1">
      <c r="A159" s="103"/>
      <c r="B159" s="107"/>
      <c r="C159" s="120"/>
      <c r="D159" s="54" t="str">
        <f>IF(G159=0,"",C158&amp;"-"&amp;G159)</f>
        <v/>
      </c>
      <c r="E159" s="54" t="str">
        <f>IF(G159="","",IF(LEN(LEFT(C158,SEARCH("0",C158,1)-1))&lt;2,RIGHT(LEFT(C158,SEARCH("0",C158,1)-1),1)&amp;INT(RIGHT(C158,4)),RIGHT(LEFT(C158,SEARCH("0",C158,1)-1),1)&amp;INT(RIGHT(C158,4))))</f>
        <v/>
      </c>
      <c r="F159" s="5" t="str">
        <f>IF(G159=0,"",VLOOKUP(D159,[1]Worksheet!$A:$C,3,0))</f>
        <v/>
      </c>
      <c r="G159" s="9"/>
      <c r="H159" s="7"/>
      <c r="I159" s="21"/>
      <c r="J159" s="68" t="str">
        <f t="shared" si="116"/>
        <v/>
      </c>
      <c r="K159" s="94"/>
      <c r="L159" s="94"/>
      <c r="M159" s="81"/>
      <c r="N159" s="43">
        <f t="shared" si="114"/>
        <v>0</v>
      </c>
      <c r="O159" s="28">
        <f t="shared" si="109"/>
        <v>0</v>
      </c>
      <c r="P159" s="111"/>
      <c r="Q159" s="32">
        <f t="shared" si="110"/>
        <v>0</v>
      </c>
      <c r="R159" s="114"/>
      <c r="S159" s="100" t="str">
        <f>IFERROR(VLOOKUP(D159,[1]Worksheet!$A:$F,6,0),"")</f>
        <v/>
      </c>
      <c r="T159" s="117"/>
      <c r="U159" s="78" t="str">
        <f t="shared" si="111"/>
        <v/>
      </c>
      <c r="V159" t="str">
        <f t="shared" si="112"/>
        <v/>
      </c>
    </row>
    <row r="160" spans="1:22" ht="32.450000000000003" customHeight="1">
      <c r="A160" s="104"/>
      <c r="B160" s="108"/>
      <c r="C160" s="120"/>
      <c r="D160" s="54" t="str">
        <f>IF(G160=0,"",C158&amp;"-"&amp;G160)</f>
        <v/>
      </c>
      <c r="E160" s="54" t="str">
        <f>IF(G160="","",IF(LEN(LEFT(C158,SEARCH("0",C158,1)-1))&lt;2,RIGHT(LEFT(C158,SEARCH("0",C158,1)-1),1)&amp;INT(RIGHT(C158,4)),RIGHT(LEFT(C158,SEARCH("0",C158,1)-1),1)&amp;INT(RIGHT(C158,4))))</f>
        <v/>
      </c>
      <c r="F160" s="8" t="str">
        <f>IF(G160=0,"",VLOOKUP(D160,[1]Worksheet!$A:$C,3,0))</f>
        <v/>
      </c>
      <c r="G160" s="9"/>
      <c r="H160" s="10"/>
      <c r="I160" s="22"/>
      <c r="J160" s="68" t="str">
        <f t="shared" si="116"/>
        <v/>
      </c>
      <c r="K160" s="94"/>
      <c r="L160" s="94"/>
      <c r="M160" s="81"/>
      <c r="N160" s="44">
        <f t="shared" si="114"/>
        <v>0</v>
      </c>
      <c r="O160" s="28">
        <f t="shared" si="109"/>
        <v>0</v>
      </c>
      <c r="P160" s="111"/>
      <c r="Q160" s="32">
        <f t="shared" si="110"/>
        <v>0</v>
      </c>
      <c r="R160" s="114"/>
      <c r="S160" s="100" t="str">
        <f>IFERROR(VLOOKUP(D160,[1]Worksheet!$A:$F,6,0),"")</f>
        <v/>
      </c>
      <c r="T160" s="117"/>
      <c r="U160" s="78" t="str">
        <f t="shared" si="111"/>
        <v/>
      </c>
      <c r="V160" t="str">
        <f t="shared" si="112"/>
        <v/>
      </c>
    </row>
    <row r="161" spans="1:22" ht="32.450000000000003" customHeight="1">
      <c r="A161" s="104"/>
      <c r="B161" s="108"/>
      <c r="C161" s="120"/>
      <c r="D161" s="54" t="str">
        <f>IF(G161=0,"",C158&amp;"-"&amp;G161)</f>
        <v/>
      </c>
      <c r="E161" s="54" t="str">
        <f>IF(G161="","",IF(LEN(LEFT(C158,SEARCH("0",C158,1)-1))&lt;2,RIGHT(LEFT(C158,SEARCH("0",C158,1)-1),1)&amp;INT(RIGHT(C158,4)),RIGHT(LEFT(C158,SEARCH("0",C158,1)-1),1)&amp;INT(RIGHT(C158,4))))</f>
        <v/>
      </c>
      <c r="F161" s="8" t="str">
        <f>IF(G161=0,"",VLOOKUP(D161,[1]Worksheet!$A:$C,3,0))</f>
        <v/>
      </c>
      <c r="G161" s="10"/>
      <c r="H161" s="10"/>
      <c r="I161" s="22"/>
      <c r="J161" s="68" t="str">
        <f t="shared" si="116"/>
        <v/>
      </c>
      <c r="K161" s="94"/>
      <c r="L161" s="94"/>
      <c r="M161" s="82"/>
      <c r="N161" s="43">
        <f t="shared" si="114"/>
        <v>0</v>
      </c>
      <c r="O161" s="28">
        <f t="shared" si="109"/>
        <v>0</v>
      </c>
      <c r="P161" s="111"/>
      <c r="Q161" s="32">
        <f t="shared" si="110"/>
        <v>0</v>
      </c>
      <c r="R161" s="114"/>
      <c r="S161" s="100" t="str">
        <f>IFERROR(VLOOKUP(D161,[1]Worksheet!$A:$F,6,0),"")</f>
        <v/>
      </c>
      <c r="T161" s="117"/>
      <c r="U161" s="78" t="str">
        <f t="shared" si="111"/>
        <v/>
      </c>
      <c r="V161" t="str">
        <f t="shared" si="112"/>
        <v/>
      </c>
    </row>
    <row r="162" spans="1:22" ht="32.450000000000003" customHeight="1" thickBot="1">
      <c r="A162" s="105"/>
      <c r="B162" s="109"/>
      <c r="C162" s="121"/>
      <c r="D162" s="55" t="str">
        <f>IF(G162=0,"",C158&amp;"-"&amp;G162)</f>
        <v/>
      </c>
      <c r="E162" s="55" t="str">
        <f>IF(G162="","",IF(LEN(LEFT(C158,SEARCH("0",C158,1)-1))&lt;2,RIGHT(LEFT(C158,SEARCH("0",C158,1)-1),1)&amp;INT(RIGHT(C158,4)),RIGHT(LEFT(C158,SEARCH("0",C158,1)-1),1)&amp;INT(RIGHT(C158,4))))</f>
        <v/>
      </c>
      <c r="F162" s="11" t="str">
        <f>IF(G162=0,"",VLOOKUP(D162,[1]Worksheet!$A:$C,3,0))</f>
        <v/>
      </c>
      <c r="G162" s="12"/>
      <c r="H162" s="12"/>
      <c r="I162" s="23"/>
      <c r="J162" s="90" t="str">
        <f t="shared" si="116"/>
        <v/>
      </c>
      <c r="K162" s="95"/>
      <c r="L162" s="95"/>
      <c r="M162" s="80"/>
      <c r="N162" s="45">
        <f t="shared" si="114"/>
        <v>0</v>
      </c>
      <c r="O162" s="29">
        <f t="shared" si="109"/>
        <v>0</v>
      </c>
      <c r="P162" s="112"/>
      <c r="Q162" s="36">
        <f t="shared" si="110"/>
        <v>0</v>
      </c>
      <c r="R162" s="115"/>
      <c r="S162" s="100" t="str">
        <f>IFERROR(VLOOKUP(D162,[1]Worksheet!$A:$F,6,0),"")</f>
        <v/>
      </c>
      <c r="T162" s="118"/>
      <c r="U162" s="78" t="str">
        <f t="shared" si="111"/>
        <v/>
      </c>
      <c r="V162" t="str">
        <f t="shared" si="112"/>
        <v/>
      </c>
    </row>
    <row r="163" spans="1:22" ht="32.450000000000003" customHeight="1">
      <c r="A163" s="102">
        <f>A158+1</f>
        <v>33</v>
      </c>
      <c r="B163" s="106"/>
      <c r="C163" s="119"/>
      <c r="D163" s="53" t="str">
        <f>IF(G163=0,"",C163&amp;"-"&amp;G163)</f>
        <v/>
      </c>
      <c r="E163" s="53" t="str">
        <f>IF(G163="","",IF(LEN(LEFT(C163,SEARCH("0",C163,1)-1))&lt;2,RIGHT(LEFT(C163,SEARCH("0",C163,1)-1),1)&amp;INT(RIGHT(C163,4)),RIGHT(LEFT(C163,SEARCH("0",C163,1)-1),1)&amp;INT(RIGHT(C163,4))))</f>
        <v/>
      </c>
      <c r="F163" s="2" t="str">
        <f>IF(G163=0,"",VLOOKUP(D163,[1]Worksheet!$A:$C,3,0))</f>
        <v/>
      </c>
      <c r="G163" s="13"/>
      <c r="H163" s="14"/>
      <c r="I163" s="24"/>
      <c r="J163" s="89" t="str">
        <f t="shared" si="116"/>
        <v/>
      </c>
      <c r="K163" s="93"/>
      <c r="L163" s="93"/>
      <c r="M163" s="79"/>
      <c r="N163" s="42">
        <f t="shared" si="114"/>
        <v>0</v>
      </c>
      <c r="O163" s="27">
        <f t="shared" ref="O163:O187" si="121">H163*N163</f>
        <v>0</v>
      </c>
      <c r="P163" s="110">
        <f>SUM(O163:O167)</f>
        <v>0</v>
      </c>
      <c r="Q163" s="35">
        <f t="shared" ref="Q163:Q187" si="122">I163*N163</f>
        <v>0</v>
      </c>
      <c r="R163" s="113">
        <f>SUM(Q163:Q167)</f>
        <v>0</v>
      </c>
      <c r="S163" s="100" t="str">
        <f>IFERROR(VLOOKUP(D163,[1]Worksheet!$A:$F,6,0),"")</f>
        <v/>
      </c>
      <c r="T163" s="116" t="str">
        <f t="shared" ref="T163" si="123">IF(P163=R163,"",IF(P163&gt;R163,"Loss",IF(P163&lt;R163,"Over")))</f>
        <v/>
      </c>
      <c r="U163" s="78" t="str">
        <f t="shared" ref="U163:U187" si="124">LEFT(E163,1)</f>
        <v/>
      </c>
      <c r="V163" t="str">
        <f t="shared" ref="V163:V187" si="125">IF(H163&lt;&gt;I163,"F","")</f>
        <v/>
      </c>
    </row>
    <row r="164" spans="1:22" ht="32.450000000000003" customHeight="1">
      <c r="A164" s="103"/>
      <c r="B164" s="107"/>
      <c r="C164" s="120"/>
      <c r="D164" s="54" t="str">
        <f>IF(G164=0,"",C163&amp;"-"&amp;G164)</f>
        <v/>
      </c>
      <c r="E164" s="54" t="str">
        <f>IF(G164="","",IF(LEN(LEFT(C163,SEARCH("0",C163,1)-1))&lt;2,RIGHT(LEFT(C163,SEARCH("0",C163,1)-1),1)&amp;INT(RIGHT(C163,4)),RIGHT(LEFT(C163,SEARCH("0",C163,1)-1),1)&amp;INT(RIGHT(C163,4))))</f>
        <v/>
      </c>
      <c r="F164" s="5" t="str">
        <f>IF(G164=0,"",VLOOKUP(D164,[1]Worksheet!$A:$C,3,0))</f>
        <v/>
      </c>
      <c r="G164" s="6"/>
      <c r="H164" s="7"/>
      <c r="I164" s="21"/>
      <c r="J164" s="68" t="str">
        <f t="shared" si="116"/>
        <v/>
      </c>
      <c r="K164" s="94"/>
      <c r="L164" s="94"/>
      <c r="M164" s="81"/>
      <c r="N164" s="43">
        <f t="shared" si="114"/>
        <v>0</v>
      </c>
      <c r="O164" s="28">
        <f t="shared" si="121"/>
        <v>0</v>
      </c>
      <c r="P164" s="111"/>
      <c r="Q164" s="32">
        <f t="shared" si="122"/>
        <v>0</v>
      </c>
      <c r="R164" s="114"/>
      <c r="S164" s="100" t="str">
        <f>IFERROR(VLOOKUP(D164,[1]Worksheet!$A:$F,6,0),"")</f>
        <v/>
      </c>
      <c r="T164" s="117"/>
      <c r="U164" s="78" t="str">
        <f t="shared" si="124"/>
        <v/>
      </c>
      <c r="V164" t="str">
        <f t="shared" si="125"/>
        <v/>
      </c>
    </row>
    <row r="165" spans="1:22" ht="32.450000000000003" customHeight="1">
      <c r="A165" s="104"/>
      <c r="B165" s="108"/>
      <c r="C165" s="120"/>
      <c r="D165" s="54" t="str">
        <f>IF(G165=0,"",C163&amp;"-"&amp;G165)</f>
        <v/>
      </c>
      <c r="E165" s="54" t="str">
        <f>IF(G165="","",IF(LEN(LEFT(C163,SEARCH("0",C163,1)-1))&lt;2,RIGHT(LEFT(C163,SEARCH("0",C163,1)-1),1)&amp;INT(RIGHT(C163,4)),RIGHT(LEFT(C163,SEARCH("0",C163,1)-1),1)&amp;INT(RIGHT(C163,4))))</f>
        <v/>
      </c>
      <c r="F165" s="8" t="str">
        <f>IF(G165=0,"",VLOOKUP(D165,[1]Worksheet!$A:$C,3,0))</f>
        <v/>
      </c>
      <c r="G165" s="9"/>
      <c r="H165" s="10"/>
      <c r="I165" s="22"/>
      <c r="J165" s="68" t="str">
        <f t="shared" si="116"/>
        <v/>
      </c>
      <c r="K165" s="94"/>
      <c r="L165" s="94"/>
      <c r="M165" s="81"/>
      <c r="N165" s="44">
        <f t="shared" si="114"/>
        <v>0</v>
      </c>
      <c r="O165" s="28">
        <f t="shared" si="121"/>
        <v>0</v>
      </c>
      <c r="P165" s="111"/>
      <c r="Q165" s="32">
        <f t="shared" si="122"/>
        <v>0</v>
      </c>
      <c r="R165" s="114"/>
      <c r="S165" s="100" t="str">
        <f>IFERROR(VLOOKUP(D165,[1]Worksheet!$A:$F,6,0),"")</f>
        <v/>
      </c>
      <c r="T165" s="117"/>
      <c r="U165" s="78" t="str">
        <f t="shared" si="124"/>
        <v/>
      </c>
      <c r="V165" t="str">
        <f t="shared" si="125"/>
        <v/>
      </c>
    </row>
    <row r="166" spans="1:22" ht="32.450000000000003" customHeight="1">
      <c r="A166" s="104"/>
      <c r="B166" s="108"/>
      <c r="C166" s="120"/>
      <c r="D166" s="54" t="str">
        <f>IF(G166=0,"",C163&amp;"-"&amp;G166)</f>
        <v/>
      </c>
      <c r="E166" s="54" t="str">
        <f>IF(G166="","",IF(LEN(LEFT(C163,SEARCH("0",C163,1)-1))&lt;2,RIGHT(LEFT(C163,SEARCH("0",C163,1)-1),1)&amp;INT(RIGHT(C163,4)),RIGHT(LEFT(C163,SEARCH("0",C163,1)-1),1)&amp;INT(RIGHT(C163,4))))</f>
        <v/>
      </c>
      <c r="F166" s="8" t="str">
        <f>IF(G166=0,"",VLOOKUP(D166,[1]Worksheet!$A:$C,3,0))</f>
        <v/>
      </c>
      <c r="G166" s="10"/>
      <c r="H166" s="10"/>
      <c r="I166" s="22"/>
      <c r="J166" s="68" t="str">
        <f t="shared" si="116"/>
        <v/>
      </c>
      <c r="K166" s="94"/>
      <c r="L166" s="94"/>
      <c r="M166" s="82"/>
      <c r="N166" s="43">
        <f t="shared" si="114"/>
        <v>0</v>
      </c>
      <c r="O166" s="28">
        <f t="shared" si="121"/>
        <v>0</v>
      </c>
      <c r="P166" s="111"/>
      <c r="Q166" s="32">
        <f t="shared" si="122"/>
        <v>0</v>
      </c>
      <c r="R166" s="114"/>
      <c r="S166" s="100" t="str">
        <f>IFERROR(VLOOKUP(D166,[1]Worksheet!$A:$F,6,0),"")</f>
        <v/>
      </c>
      <c r="T166" s="117"/>
      <c r="U166" s="78" t="str">
        <f t="shared" si="124"/>
        <v/>
      </c>
      <c r="V166" t="str">
        <f t="shared" si="125"/>
        <v/>
      </c>
    </row>
    <row r="167" spans="1:22" ht="32.450000000000003" customHeight="1" thickBot="1">
      <c r="A167" s="105"/>
      <c r="B167" s="109"/>
      <c r="C167" s="121"/>
      <c r="D167" s="55" t="str">
        <f>IF(G167=0,"",C163&amp;"-"&amp;G167)</f>
        <v/>
      </c>
      <c r="E167" s="55" t="str">
        <f>IF(G167="","",IF(LEN(LEFT(C163,SEARCH("0",C163,1)-1))&lt;2,RIGHT(LEFT(C163,SEARCH("0",C163,1)-1),1)&amp;INT(RIGHT(C163,4)),RIGHT(LEFT(C163,SEARCH("0",C163,1)-1),1)&amp;INT(RIGHT(C163,4))))</f>
        <v/>
      </c>
      <c r="F167" s="11" t="str">
        <f>IF(G167=0,"",VLOOKUP(D167,[1]Worksheet!$A:$C,3,0))</f>
        <v/>
      </c>
      <c r="G167" s="12"/>
      <c r="H167" s="12"/>
      <c r="I167" s="23"/>
      <c r="J167" s="90" t="str">
        <f t="shared" si="116"/>
        <v/>
      </c>
      <c r="K167" s="95"/>
      <c r="L167" s="95"/>
      <c r="M167" s="80"/>
      <c r="N167" s="45">
        <f t="shared" si="114"/>
        <v>0</v>
      </c>
      <c r="O167" s="29">
        <f t="shared" si="121"/>
        <v>0</v>
      </c>
      <c r="P167" s="112"/>
      <c r="Q167" s="36">
        <f t="shared" si="122"/>
        <v>0</v>
      </c>
      <c r="R167" s="115"/>
      <c r="S167" s="100" t="str">
        <f>IFERROR(VLOOKUP(D167,[1]Worksheet!$A:$F,6,0),"")</f>
        <v/>
      </c>
      <c r="T167" s="118"/>
      <c r="U167" s="78" t="str">
        <f t="shared" si="124"/>
        <v/>
      </c>
      <c r="V167" t="str">
        <f t="shared" si="125"/>
        <v/>
      </c>
    </row>
    <row r="168" spans="1:22" ht="32.450000000000003" customHeight="1">
      <c r="A168" s="102">
        <f>A163+1</f>
        <v>34</v>
      </c>
      <c r="B168" s="122"/>
      <c r="C168" s="119"/>
      <c r="D168" s="53" t="str">
        <f>IF(G168=0,"",C168&amp;"-"&amp;G168)</f>
        <v/>
      </c>
      <c r="E168" s="53" t="str">
        <f>IF(G168="","",IF(LEN(LEFT(C168,SEARCH("0",C168,1)-1))&lt;2,RIGHT(LEFT(C168,SEARCH("0",C168,1)-1),1)&amp;INT(RIGHT(C168,4)),RIGHT(LEFT(C168,SEARCH("0",C168,1)-1),1)&amp;INT(RIGHT(C168,4))))</f>
        <v/>
      </c>
      <c r="F168" s="2" t="str">
        <f>IF(G168=0,"",VLOOKUP(D168,[1]Worksheet!$A:$C,3,0))</f>
        <v/>
      </c>
      <c r="G168" s="13"/>
      <c r="H168" s="14"/>
      <c r="I168" s="24"/>
      <c r="J168" s="89" t="str">
        <f t="shared" si="116"/>
        <v/>
      </c>
      <c r="K168" s="93"/>
      <c r="L168" s="93"/>
      <c r="M168" s="79"/>
      <c r="N168" s="42">
        <f t="shared" si="114"/>
        <v>0</v>
      </c>
      <c r="O168" s="27">
        <f t="shared" si="121"/>
        <v>0</v>
      </c>
      <c r="P168" s="110">
        <f>SUM(O168:O172)</f>
        <v>0</v>
      </c>
      <c r="Q168" s="35">
        <f t="shared" si="122"/>
        <v>0</v>
      </c>
      <c r="R168" s="113">
        <f>SUM(Q168:Q172)</f>
        <v>0</v>
      </c>
      <c r="S168" s="100" t="str">
        <f>IFERROR(VLOOKUP(D168,[1]Worksheet!$A:$F,6,0),"")</f>
        <v/>
      </c>
      <c r="T168" s="116" t="str">
        <f t="shared" ref="T168" si="126">IF(P168=R168,"",IF(P168&gt;R168,"Loss",IF(P168&lt;R168,"Over")))</f>
        <v/>
      </c>
      <c r="U168" s="78" t="str">
        <f t="shared" si="124"/>
        <v/>
      </c>
      <c r="V168" t="str">
        <f t="shared" si="125"/>
        <v/>
      </c>
    </row>
    <row r="169" spans="1:22" ht="32.450000000000003" customHeight="1">
      <c r="A169" s="103"/>
      <c r="B169" s="107"/>
      <c r="C169" s="120"/>
      <c r="D169" s="54" t="str">
        <f>IF(G169=0,"",C168&amp;"-"&amp;G169)</f>
        <v/>
      </c>
      <c r="E169" s="54" t="str">
        <f>IF(G169="","",IF(LEN(LEFT(C168,SEARCH("0",C168,1)-1))&lt;2,RIGHT(LEFT(C168,SEARCH("0",C168,1)-1),1)&amp;INT(RIGHT(C168,4)),RIGHT(LEFT(C168,SEARCH("0",C168,1)-1),1)&amp;INT(RIGHT(C168,4))))</f>
        <v/>
      </c>
      <c r="F169" s="5" t="str">
        <f>IF(G169=0,"",VLOOKUP(D169,[1]Worksheet!$A:$C,3,0))</f>
        <v/>
      </c>
      <c r="G169" s="6"/>
      <c r="H169" s="7"/>
      <c r="I169" s="21"/>
      <c r="J169" s="68" t="str">
        <f t="shared" si="116"/>
        <v/>
      </c>
      <c r="K169" s="94"/>
      <c r="L169" s="94"/>
      <c r="M169" s="81"/>
      <c r="N169" s="43">
        <f t="shared" si="114"/>
        <v>0</v>
      </c>
      <c r="O169" s="28">
        <f t="shared" si="121"/>
        <v>0</v>
      </c>
      <c r="P169" s="111"/>
      <c r="Q169" s="32">
        <f t="shared" si="122"/>
        <v>0</v>
      </c>
      <c r="R169" s="114"/>
      <c r="S169" s="100" t="str">
        <f>IFERROR(VLOOKUP(D169,[1]Worksheet!$A:$F,6,0),"")</f>
        <v/>
      </c>
      <c r="T169" s="117"/>
      <c r="U169" s="78" t="str">
        <f t="shared" si="124"/>
        <v/>
      </c>
      <c r="V169" t="str">
        <f t="shared" si="125"/>
        <v/>
      </c>
    </row>
    <row r="170" spans="1:22" ht="32.450000000000003" customHeight="1">
      <c r="A170" s="104"/>
      <c r="B170" s="108"/>
      <c r="C170" s="120"/>
      <c r="D170" s="54" t="str">
        <f>IF(G170=0,"",C168&amp;"-"&amp;G170)</f>
        <v/>
      </c>
      <c r="E170" s="54" t="str">
        <f>IF(G170="","",IF(LEN(LEFT(C168,SEARCH("0",C168,1)-1))&lt;2,RIGHT(LEFT(C168,SEARCH("0",C168,1)-1),1)&amp;INT(RIGHT(C168,4)),RIGHT(LEFT(C168,SEARCH("0",C168,1)-1),1)&amp;INT(RIGHT(C168,4))))</f>
        <v/>
      </c>
      <c r="F170" s="8" t="str">
        <f>IF(G170=0,"",VLOOKUP(D170,[1]Worksheet!$A:$C,3,0))</f>
        <v/>
      </c>
      <c r="G170" s="9"/>
      <c r="H170" s="10"/>
      <c r="I170" s="22"/>
      <c r="J170" s="68" t="str">
        <f t="shared" si="116"/>
        <v/>
      </c>
      <c r="K170" s="94"/>
      <c r="L170" s="94"/>
      <c r="M170" s="81"/>
      <c r="N170" s="44">
        <f t="shared" si="114"/>
        <v>0</v>
      </c>
      <c r="O170" s="28">
        <f t="shared" si="121"/>
        <v>0</v>
      </c>
      <c r="P170" s="111"/>
      <c r="Q170" s="32">
        <f t="shared" si="122"/>
        <v>0</v>
      </c>
      <c r="R170" s="114"/>
      <c r="S170" s="100" t="str">
        <f>IFERROR(VLOOKUP(D170,[1]Worksheet!$A:$F,6,0),"")</f>
        <v/>
      </c>
      <c r="T170" s="117"/>
      <c r="U170" s="78" t="str">
        <f t="shared" si="124"/>
        <v/>
      </c>
      <c r="V170" t="str">
        <f t="shared" si="125"/>
        <v/>
      </c>
    </row>
    <row r="171" spans="1:22" ht="32.450000000000003" customHeight="1">
      <c r="A171" s="104"/>
      <c r="B171" s="108"/>
      <c r="C171" s="120"/>
      <c r="D171" s="54" t="str">
        <f>IF(G171=0,"",C168&amp;"-"&amp;G171)</f>
        <v/>
      </c>
      <c r="E171" s="54" t="str">
        <f>IF(G171="","",IF(LEN(LEFT(C168,SEARCH("0",C168,1)-1))&lt;2,RIGHT(LEFT(C168,SEARCH("0",C168,1)-1),1)&amp;INT(RIGHT(C168,4)),RIGHT(LEFT(C168,SEARCH("0",C168,1)-1),1)&amp;INT(RIGHT(C168,4))))</f>
        <v/>
      </c>
      <c r="F171" s="8" t="str">
        <f>IF(G171=0,"",VLOOKUP(D171,[1]Worksheet!$A:$C,3,0))</f>
        <v/>
      </c>
      <c r="G171" s="10"/>
      <c r="H171" s="10"/>
      <c r="I171" s="22"/>
      <c r="J171" s="68" t="str">
        <f t="shared" si="116"/>
        <v/>
      </c>
      <c r="K171" s="94"/>
      <c r="L171" s="94"/>
      <c r="M171" s="82"/>
      <c r="N171" s="43">
        <f t="shared" si="114"/>
        <v>0</v>
      </c>
      <c r="O171" s="28">
        <f t="shared" si="121"/>
        <v>0</v>
      </c>
      <c r="P171" s="111"/>
      <c r="Q171" s="32">
        <f t="shared" si="122"/>
        <v>0</v>
      </c>
      <c r="R171" s="114"/>
      <c r="S171" s="100" t="str">
        <f>IFERROR(VLOOKUP(D171,[1]Worksheet!$A:$F,6,0),"")</f>
        <v/>
      </c>
      <c r="T171" s="117"/>
      <c r="U171" s="78" t="str">
        <f t="shared" si="124"/>
        <v/>
      </c>
      <c r="V171" t="str">
        <f t="shared" si="125"/>
        <v/>
      </c>
    </row>
    <row r="172" spans="1:22" ht="32.450000000000003" customHeight="1" thickBot="1">
      <c r="A172" s="105"/>
      <c r="B172" s="109"/>
      <c r="C172" s="121"/>
      <c r="D172" s="55" t="str">
        <f>IF(G172=0,"",C168&amp;"-"&amp;G172)</f>
        <v/>
      </c>
      <c r="E172" s="55" t="str">
        <f>IF(G172="","",IF(LEN(LEFT(C168,SEARCH("0",C168,1)-1))&lt;2,RIGHT(LEFT(C168,SEARCH("0",C168,1)-1),1)&amp;INT(RIGHT(C168,4)),RIGHT(LEFT(C168,SEARCH("0",C168,1)-1),1)&amp;INT(RIGHT(C168,4))))</f>
        <v/>
      </c>
      <c r="F172" s="11" t="str">
        <f>IF(G172=0,"",VLOOKUP(D172,[1]Worksheet!$A:$C,3,0))</f>
        <v/>
      </c>
      <c r="G172" s="12"/>
      <c r="H172" s="12"/>
      <c r="I172" s="23"/>
      <c r="J172" s="90" t="str">
        <f t="shared" si="116"/>
        <v/>
      </c>
      <c r="K172" s="95"/>
      <c r="L172" s="95"/>
      <c r="M172" s="80"/>
      <c r="N172" s="45">
        <f t="shared" si="114"/>
        <v>0</v>
      </c>
      <c r="O172" s="29">
        <f t="shared" si="121"/>
        <v>0</v>
      </c>
      <c r="P172" s="112"/>
      <c r="Q172" s="36">
        <f t="shared" si="122"/>
        <v>0</v>
      </c>
      <c r="R172" s="115"/>
      <c r="S172" s="100" t="str">
        <f>IFERROR(VLOOKUP(D172,[1]Worksheet!$A:$F,6,0),"")</f>
        <v/>
      </c>
      <c r="T172" s="118"/>
      <c r="U172" s="78" t="str">
        <f t="shared" si="124"/>
        <v/>
      </c>
      <c r="V172" t="str">
        <f t="shared" si="125"/>
        <v/>
      </c>
    </row>
    <row r="173" spans="1:22" ht="32.450000000000003" customHeight="1">
      <c r="A173" s="102">
        <f>A168+1</f>
        <v>35</v>
      </c>
      <c r="B173" s="106"/>
      <c r="C173" s="119"/>
      <c r="D173" s="53" t="str">
        <f>IF(G173=0,"",C173&amp;"-"&amp;G173)</f>
        <v/>
      </c>
      <c r="E173" s="53" t="str">
        <f>IF(G173="","",IF(LEN(LEFT(C173,SEARCH("0",C173,1)-1))&lt;2,RIGHT(LEFT(C173,SEARCH("0",C173,1)-1),1)&amp;INT(RIGHT(C173,4)),RIGHT(LEFT(C173,SEARCH("0",C173,1)-1),1)&amp;INT(RIGHT(C173,4))))</f>
        <v/>
      </c>
      <c r="F173" s="2" t="str">
        <f>IF(G173=0,"",VLOOKUP(D173,[1]Worksheet!$A:$C,3,0))</f>
        <v/>
      </c>
      <c r="G173" s="13"/>
      <c r="H173" s="14"/>
      <c r="I173" s="24"/>
      <c r="J173" s="89" t="str">
        <f t="shared" si="116"/>
        <v/>
      </c>
      <c r="K173" s="93"/>
      <c r="L173" s="93"/>
      <c r="M173" s="79"/>
      <c r="N173" s="42">
        <f t="shared" si="114"/>
        <v>0</v>
      </c>
      <c r="O173" s="27">
        <f t="shared" si="121"/>
        <v>0</v>
      </c>
      <c r="P173" s="110">
        <f>SUM(O173:O177)</f>
        <v>0</v>
      </c>
      <c r="Q173" s="35">
        <f t="shared" si="122"/>
        <v>0</v>
      </c>
      <c r="R173" s="113">
        <f>SUM(Q173:Q177)</f>
        <v>0</v>
      </c>
      <c r="S173" s="100" t="str">
        <f>IFERROR(VLOOKUP(D173,[1]Worksheet!$A:$F,6,0),"")</f>
        <v/>
      </c>
      <c r="T173" s="116" t="str">
        <f t="shared" ref="T173" si="127">IF(P173=R173,"",IF(P173&gt;R173,"Loss",IF(P173&lt;R173,"Over")))</f>
        <v/>
      </c>
      <c r="U173" s="78" t="str">
        <f t="shared" si="124"/>
        <v/>
      </c>
      <c r="V173" t="str">
        <f t="shared" si="125"/>
        <v/>
      </c>
    </row>
    <row r="174" spans="1:22" ht="32.450000000000003" customHeight="1">
      <c r="A174" s="103"/>
      <c r="B174" s="107"/>
      <c r="C174" s="120"/>
      <c r="D174" s="54" t="str">
        <f>IF(G174=0,"",C173&amp;"-"&amp;G174)</f>
        <v/>
      </c>
      <c r="E174" s="54" t="str">
        <f>IF(G174="","",IF(LEN(LEFT(C173,SEARCH("0",C173,1)-1))&lt;2,RIGHT(LEFT(C173,SEARCH("0",C173,1)-1),1)&amp;INT(RIGHT(C173,4)),RIGHT(LEFT(C173,SEARCH("0",C173,1)-1),1)&amp;INT(RIGHT(C173,4))))</f>
        <v/>
      </c>
      <c r="F174" s="5" t="str">
        <f>IF(G174=0,"",VLOOKUP(D174,[1]Worksheet!$A:$C,3,0))</f>
        <v/>
      </c>
      <c r="G174" s="6"/>
      <c r="H174" s="7"/>
      <c r="I174" s="21"/>
      <c r="J174" s="68" t="str">
        <f t="shared" si="116"/>
        <v/>
      </c>
      <c r="K174" s="94"/>
      <c r="L174" s="94"/>
      <c r="M174" s="81"/>
      <c r="N174" s="43">
        <f t="shared" si="114"/>
        <v>0</v>
      </c>
      <c r="O174" s="28">
        <f t="shared" si="121"/>
        <v>0</v>
      </c>
      <c r="P174" s="111"/>
      <c r="Q174" s="32">
        <f t="shared" si="122"/>
        <v>0</v>
      </c>
      <c r="R174" s="114"/>
      <c r="S174" s="100" t="str">
        <f>IFERROR(VLOOKUP(D174,[1]Worksheet!$A:$F,6,0),"")</f>
        <v/>
      </c>
      <c r="T174" s="117"/>
      <c r="U174" s="78" t="str">
        <f t="shared" si="124"/>
        <v/>
      </c>
      <c r="V174" t="str">
        <f t="shared" si="125"/>
        <v/>
      </c>
    </row>
    <row r="175" spans="1:22" ht="32.450000000000003" customHeight="1">
      <c r="A175" s="104"/>
      <c r="B175" s="108"/>
      <c r="C175" s="120"/>
      <c r="D175" s="54" t="str">
        <f>IF(G175=0,"",C173&amp;"-"&amp;G175)</f>
        <v/>
      </c>
      <c r="E175" s="54" t="str">
        <f>IF(G175="","",IF(LEN(LEFT(C173,SEARCH("0",C173,1)-1))&lt;2,RIGHT(LEFT(C173,SEARCH("0",C173,1)-1),1)&amp;INT(RIGHT(C173,4)),RIGHT(LEFT(C173,SEARCH("0",C173,1)-1),1)&amp;INT(RIGHT(C173,4))))</f>
        <v/>
      </c>
      <c r="F175" s="8" t="str">
        <f>IF(G175=0,"",VLOOKUP(D175,[1]Worksheet!$A:$C,3,0))</f>
        <v/>
      </c>
      <c r="G175" s="9"/>
      <c r="H175" s="10"/>
      <c r="I175" s="22"/>
      <c r="J175" s="68" t="str">
        <f t="shared" si="116"/>
        <v/>
      </c>
      <c r="K175" s="94"/>
      <c r="L175" s="94"/>
      <c r="M175" s="81"/>
      <c r="N175" s="44">
        <f t="shared" si="114"/>
        <v>0</v>
      </c>
      <c r="O175" s="28">
        <f t="shared" si="121"/>
        <v>0</v>
      </c>
      <c r="P175" s="111"/>
      <c r="Q175" s="32">
        <f t="shared" si="122"/>
        <v>0</v>
      </c>
      <c r="R175" s="114"/>
      <c r="S175" s="100" t="str">
        <f>IFERROR(VLOOKUP(D175,[1]Worksheet!$A:$F,6,0),"")</f>
        <v/>
      </c>
      <c r="T175" s="117"/>
      <c r="U175" s="78" t="str">
        <f t="shared" si="124"/>
        <v/>
      </c>
      <c r="V175" t="str">
        <f t="shared" si="125"/>
        <v/>
      </c>
    </row>
    <row r="176" spans="1:22" ht="32.450000000000003" customHeight="1">
      <c r="A176" s="104"/>
      <c r="B176" s="108"/>
      <c r="C176" s="120"/>
      <c r="D176" s="54" t="str">
        <f>IF(G176=0,"",C173&amp;"-"&amp;G176)</f>
        <v/>
      </c>
      <c r="E176" s="54" t="str">
        <f>IF(G176="","",IF(LEN(LEFT(C173,SEARCH("0",C173,1)-1))&lt;2,RIGHT(LEFT(C173,SEARCH("0",C173,1)-1),1)&amp;INT(RIGHT(C173,4)),RIGHT(LEFT(C173,SEARCH("0",C173,1)-1),1)&amp;INT(RIGHT(C173,4))))</f>
        <v/>
      </c>
      <c r="F176" s="8" t="str">
        <f>IF(G176=0,"",VLOOKUP(D176,[1]Worksheet!$A:$C,3,0))</f>
        <v/>
      </c>
      <c r="G176" s="10"/>
      <c r="H176" s="10"/>
      <c r="I176" s="22"/>
      <c r="J176" s="68" t="str">
        <f t="shared" si="116"/>
        <v/>
      </c>
      <c r="K176" s="94"/>
      <c r="L176" s="94"/>
      <c r="M176" s="82"/>
      <c r="N176" s="43">
        <f t="shared" si="114"/>
        <v>0</v>
      </c>
      <c r="O176" s="28">
        <f t="shared" si="121"/>
        <v>0</v>
      </c>
      <c r="P176" s="111"/>
      <c r="Q176" s="32">
        <f t="shared" si="122"/>
        <v>0</v>
      </c>
      <c r="R176" s="114"/>
      <c r="S176" s="100" t="str">
        <f>IFERROR(VLOOKUP(D176,[1]Worksheet!$A:$F,6,0),"")</f>
        <v/>
      </c>
      <c r="T176" s="117"/>
      <c r="U176" s="78" t="str">
        <f t="shared" si="124"/>
        <v/>
      </c>
      <c r="V176" t="str">
        <f t="shared" si="125"/>
        <v/>
      </c>
    </row>
    <row r="177" spans="1:22" ht="32.450000000000003" customHeight="1" thickBot="1">
      <c r="A177" s="105"/>
      <c r="B177" s="109"/>
      <c r="C177" s="121"/>
      <c r="D177" s="55" t="str">
        <f>IF(G177=0,"",C173&amp;"-"&amp;G177)</f>
        <v/>
      </c>
      <c r="E177" s="55" t="str">
        <f>IF(G177="","",IF(LEN(LEFT(C173,SEARCH("0",C173,1)-1))&lt;2,RIGHT(LEFT(C173,SEARCH("0",C173,1)-1),1)&amp;INT(RIGHT(C173,4)),RIGHT(LEFT(C173,SEARCH("0",C173,1)-1),1)&amp;INT(RIGHT(C173,4))))</f>
        <v/>
      </c>
      <c r="F177" s="11" t="str">
        <f>IF(G177=0,"",VLOOKUP(D177,[1]Worksheet!$A:$C,3,0))</f>
        <v/>
      </c>
      <c r="G177" s="12"/>
      <c r="H177" s="12"/>
      <c r="I177" s="23"/>
      <c r="J177" s="90" t="str">
        <f t="shared" si="116"/>
        <v/>
      </c>
      <c r="K177" s="95"/>
      <c r="L177" s="95"/>
      <c r="M177" s="80"/>
      <c r="N177" s="45">
        <f t="shared" si="114"/>
        <v>0</v>
      </c>
      <c r="O177" s="29">
        <f t="shared" si="121"/>
        <v>0</v>
      </c>
      <c r="P177" s="112"/>
      <c r="Q177" s="36">
        <f t="shared" si="122"/>
        <v>0</v>
      </c>
      <c r="R177" s="115"/>
      <c r="S177" s="100" t="str">
        <f>IFERROR(VLOOKUP(D177,[1]Worksheet!$A:$F,6,0),"")</f>
        <v/>
      </c>
      <c r="T177" s="118"/>
      <c r="U177" s="78" t="str">
        <f t="shared" si="124"/>
        <v/>
      </c>
      <c r="V177" t="str">
        <f t="shared" si="125"/>
        <v/>
      </c>
    </row>
    <row r="178" spans="1:22" ht="32.450000000000003" customHeight="1">
      <c r="A178" s="102">
        <f>A173+1</f>
        <v>36</v>
      </c>
      <c r="B178" s="106"/>
      <c r="C178" s="119"/>
      <c r="D178" s="53" t="str">
        <f>IF(G178=0,"",C178&amp;"-"&amp;G178)</f>
        <v/>
      </c>
      <c r="E178" s="53" t="str">
        <f>IF(G178="","",IF(LEN(LEFT(C178,SEARCH("0",C178,1)-1))&lt;2,RIGHT(LEFT(C178,SEARCH("0",C178,1)-1),1)&amp;INT(RIGHT(C178,4)),RIGHT(LEFT(C178,SEARCH("0",C178,1)-1),1)&amp;INT(RIGHT(C178,4))))</f>
        <v/>
      </c>
      <c r="F178" s="2" t="str">
        <f>IF(G178=0,"",VLOOKUP(D178,[1]Worksheet!$A:$C,3,0))</f>
        <v/>
      </c>
      <c r="G178" s="3"/>
      <c r="H178" s="4"/>
      <c r="I178" s="20"/>
      <c r="J178" s="89" t="str">
        <f t="shared" si="116"/>
        <v/>
      </c>
      <c r="K178" s="93"/>
      <c r="L178" s="93"/>
      <c r="M178" s="79"/>
      <c r="N178" s="42">
        <f t="shared" si="114"/>
        <v>0</v>
      </c>
      <c r="O178" s="27">
        <f t="shared" si="121"/>
        <v>0</v>
      </c>
      <c r="P178" s="110">
        <f>SUM(O178:O182)</f>
        <v>0</v>
      </c>
      <c r="Q178" s="35">
        <f t="shared" si="122"/>
        <v>0</v>
      </c>
      <c r="R178" s="113">
        <f>SUM(Q178:Q182)</f>
        <v>0</v>
      </c>
      <c r="S178" s="100" t="str">
        <f>IFERROR(VLOOKUP(D178,[1]Worksheet!$A:$F,6,0),"")</f>
        <v/>
      </c>
      <c r="T178" s="116" t="str">
        <f t="shared" ref="T178" si="128">IF(P178=R178,"",IF(P178&gt;R178,"Loss",IF(P178&lt;R178,"Over")))</f>
        <v/>
      </c>
      <c r="U178" s="78" t="str">
        <f t="shared" si="124"/>
        <v/>
      </c>
      <c r="V178" t="str">
        <f t="shared" si="125"/>
        <v/>
      </c>
    </row>
    <row r="179" spans="1:22" ht="32.450000000000003" customHeight="1">
      <c r="A179" s="103"/>
      <c r="B179" s="107"/>
      <c r="C179" s="120"/>
      <c r="D179" s="54" t="str">
        <f>IF(G179=0,"",C178&amp;"-"&amp;G179)</f>
        <v/>
      </c>
      <c r="E179" s="54" t="str">
        <f>IF(G179="","",IF(LEN(LEFT(C178,SEARCH("0",C178,1)-1))&lt;2,RIGHT(LEFT(C178,SEARCH("0",C178,1)-1),1)&amp;INT(RIGHT(C178,4)),RIGHT(LEFT(C178,SEARCH("0",C178,1)-1),1)&amp;INT(RIGHT(C178,4))))</f>
        <v/>
      </c>
      <c r="F179" s="5" t="str">
        <f>IF(G179=0,"",VLOOKUP(D179,[1]Worksheet!$A:$C,3,0))</f>
        <v/>
      </c>
      <c r="G179" s="6"/>
      <c r="H179" s="7"/>
      <c r="I179" s="21"/>
      <c r="J179" s="68" t="str">
        <f t="shared" si="116"/>
        <v/>
      </c>
      <c r="K179" s="94"/>
      <c r="L179" s="94"/>
      <c r="M179" s="81"/>
      <c r="N179" s="43">
        <f t="shared" si="114"/>
        <v>0</v>
      </c>
      <c r="O179" s="28">
        <f t="shared" si="121"/>
        <v>0</v>
      </c>
      <c r="P179" s="111"/>
      <c r="Q179" s="32">
        <f t="shared" si="122"/>
        <v>0</v>
      </c>
      <c r="R179" s="114"/>
      <c r="S179" s="100" t="str">
        <f>IFERROR(VLOOKUP(D179,[1]Worksheet!$A:$F,6,0),"")</f>
        <v/>
      </c>
      <c r="T179" s="117"/>
      <c r="U179" s="78" t="str">
        <f t="shared" si="124"/>
        <v/>
      </c>
      <c r="V179" t="str">
        <f t="shared" si="125"/>
        <v/>
      </c>
    </row>
    <row r="180" spans="1:22" ht="32.450000000000003" customHeight="1">
      <c r="A180" s="104"/>
      <c r="B180" s="108"/>
      <c r="C180" s="120"/>
      <c r="D180" s="54" t="str">
        <f>IF(G180=0,"",C178&amp;"-"&amp;G180)</f>
        <v/>
      </c>
      <c r="E180" s="54" t="str">
        <f>IF(G180="","",IF(LEN(LEFT(C178,SEARCH("0",C178,1)-1))&lt;2,RIGHT(LEFT(C178,SEARCH("0",C178,1)-1),1)&amp;INT(RIGHT(C178,4)),RIGHT(LEFT(C178,SEARCH("0",C178,1)-1),1)&amp;INT(RIGHT(C178,4))))</f>
        <v/>
      </c>
      <c r="F180" s="8" t="str">
        <f>IF(G180=0,"",VLOOKUP(D180,[1]Worksheet!$A:$C,3,0))</f>
        <v/>
      </c>
      <c r="G180" s="9"/>
      <c r="H180" s="10"/>
      <c r="I180" s="22"/>
      <c r="J180" s="68" t="str">
        <f t="shared" si="116"/>
        <v/>
      </c>
      <c r="K180" s="94"/>
      <c r="L180" s="94"/>
      <c r="M180" s="81"/>
      <c r="N180" s="44">
        <f t="shared" si="114"/>
        <v>0</v>
      </c>
      <c r="O180" s="28">
        <f t="shared" si="121"/>
        <v>0</v>
      </c>
      <c r="P180" s="111"/>
      <c r="Q180" s="32">
        <f t="shared" si="122"/>
        <v>0</v>
      </c>
      <c r="R180" s="114"/>
      <c r="S180" s="100" t="str">
        <f>IFERROR(VLOOKUP(D180,[1]Worksheet!$A:$F,6,0),"")</f>
        <v/>
      </c>
      <c r="T180" s="117"/>
      <c r="U180" s="78" t="str">
        <f t="shared" si="124"/>
        <v/>
      </c>
      <c r="V180" t="str">
        <f t="shared" si="125"/>
        <v/>
      </c>
    </row>
    <row r="181" spans="1:22" ht="32.450000000000003" customHeight="1">
      <c r="A181" s="104"/>
      <c r="B181" s="108"/>
      <c r="C181" s="120"/>
      <c r="D181" s="54" t="str">
        <f>IF(G181=0,"",C178&amp;"-"&amp;G181)</f>
        <v/>
      </c>
      <c r="E181" s="54" t="str">
        <f>IF(G181="","",IF(LEN(LEFT(C178,SEARCH("0",C178,1)-1))&lt;2,RIGHT(LEFT(C178,SEARCH("0",C178,1)-1),1)&amp;INT(RIGHT(C178,4)),RIGHT(LEFT(C178,SEARCH("0",C178,1)-1),1)&amp;INT(RIGHT(C178,4))))</f>
        <v/>
      </c>
      <c r="F181" s="8" t="str">
        <f>IF(G181=0,"",VLOOKUP(D181,[1]Worksheet!$A:$C,3,0))</f>
        <v/>
      </c>
      <c r="G181" s="10"/>
      <c r="H181" s="10"/>
      <c r="I181" s="22"/>
      <c r="J181" s="68" t="str">
        <f t="shared" si="116"/>
        <v/>
      </c>
      <c r="K181" s="94"/>
      <c r="L181" s="94"/>
      <c r="M181" s="82"/>
      <c r="N181" s="43">
        <f t="shared" si="114"/>
        <v>0</v>
      </c>
      <c r="O181" s="28">
        <f t="shared" si="121"/>
        <v>0</v>
      </c>
      <c r="P181" s="111"/>
      <c r="Q181" s="32">
        <f t="shared" si="122"/>
        <v>0</v>
      </c>
      <c r="R181" s="114"/>
      <c r="S181" s="100" t="str">
        <f>IFERROR(VLOOKUP(D181,[1]Worksheet!$A:$F,6,0),"")</f>
        <v/>
      </c>
      <c r="T181" s="117"/>
      <c r="U181" s="78" t="str">
        <f t="shared" si="124"/>
        <v/>
      </c>
      <c r="V181" t="str">
        <f t="shared" si="125"/>
        <v/>
      </c>
    </row>
    <row r="182" spans="1:22" ht="32.450000000000003" customHeight="1" thickBot="1">
      <c r="A182" s="105"/>
      <c r="B182" s="109"/>
      <c r="C182" s="121"/>
      <c r="D182" s="55" t="str">
        <f>IF(G182=0,"",C178&amp;"-"&amp;G182)</f>
        <v/>
      </c>
      <c r="E182" s="55" t="str">
        <f>IF(G182="","",IF(LEN(LEFT(C178,SEARCH("0",C178,1)-1))&lt;2,RIGHT(LEFT(C178,SEARCH("0",C178,1)-1),1)&amp;INT(RIGHT(C178,4)),RIGHT(LEFT(C178,SEARCH("0",C178,1)-1),1)&amp;INT(RIGHT(C178,4))))</f>
        <v/>
      </c>
      <c r="F182" s="11" t="str">
        <f>IF(G182=0,"",VLOOKUP(D182,[1]Worksheet!$A:$C,3,0))</f>
        <v/>
      </c>
      <c r="G182" s="12"/>
      <c r="H182" s="12"/>
      <c r="I182" s="23"/>
      <c r="J182" s="90" t="str">
        <f t="shared" si="116"/>
        <v/>
      </c>
      <c r="K182" s="95"/>
      <c r="L182" s="95"/>
      <c r="M182" s="80"/>
      <c r="N182" s="45">
        <f t="shared" si="114"/>
        <v>0</v>
      </c>
      <c r="O182" s="29">
        <f t="shared" si="121"/>
        <v>0</v>
      </c>
      <c r="P182" s="112"/>
      <c r="Q182" s="36">
        <f t="shared" si="122"/>
        <v>0</v>
      </c>
      <c r="R182" s="115"/>
      <c r="S182" s="100" t="str">
        <f>IFERROR(VLOOKUP(D182,[1]Worksheet!$A:$F,6,0),"")</f>
        <v/>
      </c>
      <c r="T182" s="118"/>
      <c r="U182" s="78" t="str">
        <f t="shared" si="124"/>
        <v/>
      </c>
      <c r="V182" t="str">
        <f t="shared" si="125"/>
        <v/>
      </c>
    </row>
    <row r="183" spans="1:22" ht="32.450000000000003" customHeight="1">
      <c r="A183" s="102">
        <f>A178+1</f>
        <v>37</v>
      </c>
      <c r="B183" s="106"/>
      <c r="C183" s="119"/>
      <c r="D183" s="53" t="str">
        <f>IF(G183=0,"",C183&amp;"-"&amp;G183)</f>
        <v/>
      </c>
      <c r="E183" s="53" t="str">
        <f>IF(G183="","",IF(LEN(LEFT(C183,SEARCH("0",C183,1)-1))&lt;2,RIGHT(LEFT(C183,SEARCH("0",C183,1)-1),1)&amp;INT(RIGHT(C183,4)),RIGHT(LEFT(C183,SEARCH("0",C183,1)-1),1)&amp;INT(RIGHT(C183,4))))</f>
        <v/>
      </c>
      <c r="F183" s="2" t="str">
        <f>IF(G183=0,"",VLOOKUP(D183,[1]Worksheet!$A:$C,3,0))</f>
        <v/>
      </c>
      <c r="G183" s="3"/>
      <c r="H183" s="4"/>
      <c r="I183" s="20"/>
      <c r="J183" s="89" t="str">
        <f t="shared" si="116"/>
        <v/>
      </c>
      <c r="K183" s="93"/>
      <c r="L183" s="93"/>
      <c r="M183" s="79"/>
      <c r="N183" s="42">
        <f t="shared" si="114"/>
        <v>0</v>
      </c>
      <c r="O183" s="27">
        <f t="shared" si="121"/>
        <v>0</v>
      </c>
      <c r="P183" s="110">
        <f>SUM(O183:O187)</f>
        <v>0</v>
      </c>
      <c r="Q183" s="35">
        <f t="shared" si="122"/>
        <v>0</v>
      </c>
      <c r="R183" s="113">
        <f>SUM(Q183:Q187)</f>
        <v>0</v>
      </c>
      <c r="S183" s="100" t="str">
        <f>IFERROR(VLOOKUP(D183,[1]Worksheet!$A:$F,6,0),"")</f>
        <v/>
      </c>
      <c r="T183" s="116" t="str">
        <f t="shared" ref="T183" si="129">IF(P183=R183,"",IF(P183&gt;R183,"Loss",IF(P183&lt;R183,"Over")))</f>
        <v/>
      </c>
      <c r="U183" s="78" t="str">
        <f t="shared" si="124"/>
        <v/>
      </c>
      <c r="V183" t="str">
        <f t="shared" si="125"/>
        <v/>
      </c>
    </row>
    <row r="184" spans="1:22" ht="32.450000000000003" customHeight="1">
      <c r="A184" s="103"/>
      <c r="B184" s="107"/>
      <c r="C184" s="120"/>
      <c r="D184" s="54" t="str">
        <f>IF(G184=0,"",C183&amp;"-"&amp;G184)</f>
        <v/>
      </c>
      <c r="E184" s="54" t="str">
        <f>IF(G184="","",IF(LEN(LEFT(C183,SEARCH("0",C183,1)-1))&lt;2,RIGHT(LEFT(C183,SEARCH("0",C183,1)-1),1)&amp;INT(RIGHT(C183,4)),RIGHT(LEFT(C183,SEARCH("0",C183,1)-1),1)&amp;INT(RIGHT(C183,4))))</f>
        <v/>
      </c>
      <c r="F184" s="5" t="str">
        <f>IF(G184=0,"",VLOOKUP(D184,[1]Worksheet!$A:$C,3,0))</f>
        <v/>
      </c>
      <c r="G184" s="6"/>
      <c r="H184" s="7"/>
      <c r="I184" s="21"/>
      <c r="J184" s="68" t="str">
        <f t="shared" si="116"/>
        <v/>
      </c>
      <c r="K184" s="94"/>
      <c r="L184" s="94"/>
      <c r="M184" s="81"/>
      <c r="N184" s="43">
        <f t="shared" si="114"/>
        <v>0</v>
      </c>
      <c r="O184" s="28">
        <f t="shared" si="121"/>
        <v>0</v>
      </c>
      <c r="P184" s="111"/>
      <c r="Q184" s="32">
        <f t="shared" si="122"/>
        <v>0</v>
      </c>
      <c r="R184" s="114"/>
      <c r="S184" s="100" t="str">
        <f>IFERROR(VLOOKUP(D184,[1]Worksheet!$A:$F,6,0),"")</f>
        <v/>
      </c>
      <c r="T184" s="117"/>
      <c r="U184" s="78" t="str">
        <f t="shared" si="124"/>
        <v/>
      </c>
      <c r="V184" t="str">
        <f t="shared" si="125"/>
        <v/>
      </c>
    </row>
    <row r="185" spans="1:22" ht="32.450000000000003" customHeight="1">
      <c r="A185" s="104"/>
      <c r="B185" s="108"/>
      <c r="C185" s="120"/>
      <c r="D185" s="54" t="str">
        <f>IF(G185=0,"",C183&amp;"-"&amp;G185)</f>
        <v/>
      </c>
      <c r="E185" s="54" t="str">
        <f>IF(G185="","",IF(LEN(LEFT(C183,SEARCH("0",C183,1)-1))&lt;2,RIGHT(LEFT(C183,SEARCH("0",C183,1)-1),1)&amp;INT(RIGHT(C183,4)),RIGHT(LEFT(C183,SEARCH("0",C183,1)-1),1)&amp;INT(RIGHT(C183,4))))</f>
        <v/>
      </c>
      <c r="F185" s="8" t="str">
        <f>IF(G185=0,"",VLOOKUP(D185,[1]Worksheet!$A:$C,3,0))</f>
        <v/>
      </c>
      <c r="G185" s="9"/>
      <c r="H185" s="10"/>
      <c r="I185" s="22"/>
      <c r="J185" s="68" t="str">
        <f t="shared" si="116"/>
        <v/>
      </c>
      <c r="K185" s="94"/>
      <c r="L185" s="94"/>
      <c r="M185" s="81"/>
      <c r="N185" s="44">
        <f t="shared" si="114"/>
        <v>0</v>
      </c>
      <c r="O185" s="28">
        <f t="shared" si="121"/>
        <v>0</v>
      </c>
      <c r="P185" s="111"/>
      <c r="Q185" s="32">
        <f t="shared" si="122"/>
        <v>0</v>
      </c>
      <c r="R185" s="114"/>
      <c r="S185" s="100" t="str">
        <f>IFERROR(VLOOKUP(D185,[1]Worksheet!$A:$F,6,0),"")</f>
        <v/>
      </c>
      <c r="T185" s="117"/>
      <c r="U185" s="78" t="str">
        <f t="shared" si="124"/>
        <v/>
      </c>
      <c r="V185" t="str">
        <f t="shared" si="125"/>
        <v/>
      </c>
    </row>
    <row r="186" spans="1:22" ht="32.450000000000003" customHeight="1" thickBot="1">
      <c r="A186" s="104"/>
      <c r="B186" s="108"/>
      <c r="C186" s="120"/>
      <c r="D186" s="54" t="str">
        <f>IF(G186=0,"",C183&amp;"-"&amp;G186)</f>
        <v/>
      </c>
      <c r="E186" s="54" t="str">
        <f>IF(G186="","",IF(LEN(LEFT(C183,SEARCH("0",C183,1)-1))&lt;2,RIGHT(LEFT(C183,SEARCH("0",C183,1)-1),1)&amp;INT(RIGHT(C183,4)),RIGHT(LEFT(C183,SEARCH("0",C183,1)-1),1)&amp;INT(RIGHT(C183,4))))</f>
        <v/>
      </c>
      <c r="F186" s="8" t="str">
        <f>IF(G186=0,"",VLOOKUP(D186,[1]Worksheet!$A:$C,3,0))</f>
        <v/>
      </c>
      <c r="G186" s="10"/>
      <c r="H186" s="10"/>
      <c r="I186" s="22"/>
      <c r="J186" s="68" t="str">
        <f t="shared" si="116"/>
        <v/>
      </c>
      <c r="K186" s="94"/>
      <c r="L186" s="94"/>
      <c r="M186" s="82"/>
      <c r="N186" s="43">
        <f t="shared" si="114"/>
        <v>0</v>
      </c>
      <c r="O186" s="28">
        <f t="shared" si="121"/>
        <v>0</v>
      </c>
      <c r="P186" s="111"/>
      <c r="Q186" s="32">
        <f t="shared" si="122"/>
        <v>0</v>
      </c>
      <c r="R186" s="114"/>
      <c r="S186" s="100" t="str">
        <f>IFERROR(VLOOKUP(D186,[1]Worksheet!$A:$F,6,0),"")</f>
        <v/>
      </c>
      <c r="T186" s="117"/>
      <c r="U186" s="78" t="str">
        <f t="shared" si="124"/>
        <v/>
      </c>
      <c r="V186" t="str">
        <f t="shared" si="125"/>
        <v/>
      </c>
    </row>
    <row r="187" spans="1:22" ht="32.450000000000003" customHeight="1" thickBot="1">
      <c r="A187" s="105"/>
      <c r="B187" s="109"/>
      <c r="C187" s="121"/>
      <c r="D187" s="55" t="str">
        <f>IF(G187=0,"",#REF!&amp;"-"&amp;G187)</f>
        <v/>
      </c>
      <c r="E187" s="53"/>
      <c r="F187" s="11" t="str">
        <f>IF(G187=0,"",VLOOKUP(D187,[1]Worksheet!$A:$C,3,0))</f>
        <v/>
      </c>
      <c r="G187" s="12"/>
      <c r="H187" s="12"/>
      <c r="I187" s="23"/>
      <c r="J187" s="90" t="str">
        <f t="shared" si="116"/>
        <v/>
      </c>
      <c r="K187" s="95"/>
      <c r="L187" s="95"/>
      <c r="M187" s="80"/>
      <c r="N187" s="45">
        <f t="shared" si="114"/>
        <v>0</v>
      </c>
      <c r="O187" s="29">
        <f t="shared" si="121"/>
        <v>0</v>
      </c>
      <c r="P187" s="112"/>
      <c r="Q187" s="36">
        <f t="shared" si="122"/>
        <v>0</v>
      </c>
      <c r="R187" s="115"/>
      <c r="S187" s="100" t="str">
        <f>IFERROR(VLOOKUP(D187,[1]Worksheet!$A:$F,6,0),"")</f>
        <v/>
      </c>
      <c r="T187" s="118"/>
      <c r="U187" s="78" t="str">
        <f t="shared" si="124"/>
        <v/>
      </c>
      <c r="V187" t="str">
        <f t="shared" si="125"/>
        <v/>
      </c>
    </row>
    <row r="188" spans="1:22" ht="32.450000000000003" customHeight="1">
      <c r="A188" s="56"/>
      <c r="B188" s="57"/>
      <c r="C188" s="66"/>
      <c r="D188" s="56"/>
      <c r="E188" s="56"/>
      <c r="F188" s="58"/>
      <c r="G188" s="15"/>
      <c r="H188" s="15"/>
      <c r="I188" s="25"/>
      <c r="J188" s="25"/>
      <c r="K188" s="96"/>
      <c r="L188" s="96"/>
      <c r="M188" s="16"/>
      <c r="N188" s="46"/>
      <c r="O188" s="30"/>
      <c r="P188" s="37"/>
      <c r="Q188" s="33"/>
      <c r="R188" s="39"/>
      <c r="T188" s="59"/>
      <c r="U188" s="59"/>
    </row>
    <row r="189" spans="1:22" ht="32.450000000000003" customHeight="1">
      <c r="A189" s="56"/>
      <c r="B189" s="57"/>
      <c r="C189" s="66"/>
      <c r="D189" s="56"/>
      <c r="E189" s="56"/>
      <c r="F189" s="58"/>
      <c r="G189" s="15"/>
      <c r="H189" s="15"/>
      <c r="I189" s="25"/>
      <c r="J189" s="25"/>
      <c r="K189" s="96"/>
      <c r="L189" s="96"/>
      <c r="M189" s="16"/>
      <c r="N189" s="46"/>
      <c r="O189" s="30"/>
      <c r="P189" s="37"/>
      <c r="Q189" s="33"/>
      <c r="R189" s="39"/>
      <c r="T189" s="59"/>
      <c r="U189" s="59"/>
    </row>
    <row r="190" spans="1:22" ht="32.450000000000003" customHeight="1">
      <c r="A190" s="56"/>
      <c r="B190" s="57"/>
      <c r="C190" s="66"/>
      <c r="D190" s="56"/>
      <c r="E190" s="56"/>
      <c r="F190" s="58"/>
      <c r="G190" s="15"/>
      <c r="H190" s="15"/>
      <c r="I190" s="25"/>
      <c r="J190" s="25"/>
      <c r="K190" s="96"/>
      <c r="L190" s="96"/>
      <c r="M190" s="16"/>
      <c r="N190" s="46"/>
      <c r="O190" s="30"/>
      <c r="P190" s="37"/>
      <c r="Q190" s="33"/>
      <c r="R190" s="39"/>
      <c r="T190" s="59"/>
      <c r="U190" s="59"/>
    </row>
    <row r="191" spans="1:22" ht="32.450000000000003" customHeight="1">
      <c r="A191" s="56"/>
      <c r="B191" s="57"/>
      <c r="C191" s="66"/>
      <c r="D191" s="56"/>
      <c r="E191" s="56"/>
      <c r="F191" s="58"/>
      <c r="G191" s="15"/>
      <c r="H191" s="15"/>
      <c r="I191" s="25"/>
      <c r="J191" s="25"/>
      <c r="K191" s="96"/>
      <c r="L191" s="96"/>
      <c r="M191" s="16"/>
      <c r="N191" s="46"/>
      <c r="O191" s="30"/>
      <c r="P191" s="37"/>
      <c r="Q191" s="33"/>
      <c r="R191" s="39"/>
      <c r="T191" s="59"/>
      <c r="U191" s="59"/>
    </row>
    <row r="192" spans="1:22" ht="32.450000000000003" customHeight="1">
      <c r="A192" s="56"/>
      <c r="B192" s="57"/>
      <c r="C192" s="66"/>
      <c r="D192" s="56"/>
      <c r="E192" s="56"/>
      <c r="F192" s="58"/>
      <c r="G192" s="15"/>
      <c r="H192" s="15"/>
      <c r="I192" s="25"/>
      <c r="J192" s="25"/>
      <c r="K192" s="96"/>
      <c r="L192" s="96"/>
      <c r="M192" s="16"/>
      <c r="N192" s="46"/>
      <c r="O192" s="30"/>
      <c r="P192" s="37"/>
      <c r="Q192" s="33"/>
      <c r="R192" s="39"/>
      <c r="T192" s="59"/>
      <c r="U192" s="59"/>
    </row>
    <row r="193" spans="1:21" ht="32.450000000000003" customHeight="1">
      <c r="A193" s="56"/>
      <c r="B193" s="57"/>
      <c r="C193" s="66"/>
      <c r="D193" s="56"/>
      <c r="E193" s="56"/>
      <c r="F193" s="58"/>
      <c r="G193" s="15"/>
      <c r="H193" s="15"/>
      <c r="I193" s="25"/>
      <c r="J193" s="25"/>
      <c r="K193" s="96"/>
      <c r="L193" s="96"/>
      <c r="M193" s="16"/>
      <c r="N193" s="46"/>
      <c r="O193" s="30"/>
      <c r="P193" s="37"/>
      <c r="Q193" s="33"/>
      <c r="R193" s="39"/>
      <c r="T193" s="59"/>
      <c r="U193" s="59"/>
    </row>
    <row r="194" spans="1:21" ht="32.450000000000003" customHeight="1">
      <c r="A194" s="56"/>
      <c r="B194" s="57"/>
      <c r="C194" s="66"/>
      <c r="D194" s="56"/>
      <c r="E194" s="56"/>
      <c r="F194" s="58"/>
      <c r="G194" s="15"/>
      <c r="H194" s="15"/>
      <c r="I194" s="25"/>
      <c r="J194" s="25"/>
      <c r="K194" s="96"/>
      <c r="L194" s="96"/>
      <c r="M194" s="16"/>
      <c r="N194" s="46"/>
      <c r="O194" s="30"/>
      <c r="P194" s="37"/>
      <c r="Q194" s="33"/>
      <c r="R194" s="39"/>
      <c r="T194" s="59"/>
      <c r="U194" s="59"/>
    </row>
    <row r="195" spans="1:21" ht="32.450000000000003" customHeight="1">
      <c r="A195" s="56"/>
      <c r="B195" s="57"/>
      <c r="C195" s="66"/>
      <c r="D195" s="56"/>
      <c r="E195" s="56"/>
      <c r="F195" s="58"/>
      <c r="G195" s="15"/>
      <c r="H195" s="15"/>
      <c r="I195" s="25"/>
      <c r="J195" s="25"/>
      <c r="K195" s="96"/>
      <c r="L195" s="96"/>
      <c r="M195" s="16"/>
      <c r="N195" s="46"/>
      <c r="O195" s="30"/>
      <c r="P195" s="37"/>
      <c r="Q195" s="33"/>
      <c r="R195" s="39"/>
      <c r="T195" s="59"/>
      <c r="U195" s="59"/>
    </row>
    <row r="196" spans="1:21" ht="32.450000000000003" customHeight="1">
      <c r="A196" s="56"/>
      <c r="B196" s="57"/>
      <c r="C196" s="66"/>
      <c r="D196" s="56"/>
      <c r="E196" s="56"/>
      <c r="F196" s="58"/>
      <c r="G196" s="15"/>
      <c r="H196" s="15"/>
      <c r="I196" s="25"/>
      <c r="J196" s="25"/>
      <c r="K196" s="96"/>
      <c r="L196" s="96"/>
      <c r="M196" s="16"/>
      <c r="N196" s="46"/>
      <c r="O196" s="30"/>
      <c r="P196" s="37"/>
      <c r="Q196" s="33"/>
      <c r="R196" s="39"/>
      <c r="T196" s="59"/>
      <c r="U196" s="59"/>
    </row>
    <row r="197" spans="1:21" ht="32.450000000000003" customHeight="1">
      <c r="A197" s="56"/>
      <c r="B197" s="57"/>
      <c r="C197" s="66"/>
      <c r="D197" s="56"/>
      <c r="E197" s="56"/>
      <c r="F197" s="58"/>
      <c r="G197" s="15"/>
      <c r="H197" s="15"/>
      <c r="I197" s="25"/>
      <c r="J197" s="25"/>
      <c r="K197" s="96"/>
      <c r="L197" s="96"/>
      <c r="M197" s="16"/>
      <c r="N197" s="46"/>
      <c r="O197" s="30"/>
      <c r="P197" s="37"/>
      <c r="Q197" s="33"/>
      <c r="R197" s="39"/>
      <c r="T197" s="59"/>
      <c r="U197" s="59"/>
    </row>
    <row r="198" spans="1:21" ht="32.450000000000003" customHeight="1">
      <c r="A198" s="56"/>
      <c r="B198" s="57"/>
      <c r="C198" s="66"/>
      <c r="D198" s="56"/>
      <c r="E198" s="56"/>
      <c r="F198" s="58"/>
      <c r="G198" s="15"/>
      <c r="H198" s="15"/>
      <c r="I198" s="25"/>
      <c r="J198" s="25"/>
      <c r="K198" s="96"/>
      <c r="L198" s="96"/>
      <c r="M198" s="16"/>
      <c r="N198" s="46"/>
      <c r="O198" s="30"/>
      <c r="P198" s="37"/>
      <c r="Q198" s="33"/>
      <c r="R198" s="39"/>
      <c r="T198" s="59"/>
      <c r="U198" s="59"/>
    </row>
    <row r="199" spans="1:21" ht="32.450000000000003" customHeight="1">
      <c r="A199" s="56"/>
      <c r="B199" s="57"/>
      <c r="C199" s="66"/>
      <c r="D199" s="56"/>
      <c r="E199" s="56"/>
      <c r="F199" s="58"/>
      <c r="G199" s="15"/>
      <c r="H199" s="15"/>
      <c r="I199" s="25"/>
      <c r="J199" s="25"/>
      <c r="K199" s="96"/>
      <c r="L199" s="96"/>
      <c r="M199" s="16"/>
      <c r="N199" s="46"/>
      <c r="O199" s="30"/>
      <c r="P199" s="37"/>
      <c r="Q199" s="33"/>
      <c r="R199" s="39"/>
      <c r="T199" s="59"/>
      <c r="U199" s="59"/>
    </row>
    <row r="200" spans="1:21" ht="32.450000000000003" customHeight="1">
      <c r="A200" s="56"/>
      <c r="B200" s="57"/>
      <c r="C200" s="66"/>
      <c r="D200" s="56"/>
      <c r="E200" s="56"/>
      <c r="F200" s="58"/>
      <c r="G200" s="15"/>
      <c r="H200" s="15"/>
      <c r="I200" s="25"/>
      <c r="J200" s="25"/>
      <c r="K200" s="96"/>
      <c r="L200" s="96"/>
      <c r="M200" s="16"/>
      <c r="N200" s="46"/>
      <c r="O200" s="30"/>
      <c r="P200" s="37"/>
      <c r="Q200" s="33"/>
      <c r="R200" s="39"/>
      <c r="T200" s="59"/>
      <c r="U200" s="59"/>
    </row>
    <row r="201" spans="1:21" ht="32.450000000000003" customHeight="1">
      <c r="A201" s="56"/>
      <c r="B201" s="57"/>
      <c r="C201" s="66"/>
      <c r="D201" s="56"/>
      <c r="E201" s="56"/>
      <c r="F201" s="58"/>
      <c r="G201" s="15"/>
      <c r="H201" s="15"/>
      <c r="I201" s="25"/>
      <c r="J201" s="25"/>
      <c r="K201" s="96"/>
      <c r="L201" s="96"/>
      <c r="M201" s="16"/>
      <c r="N201" s="46"/>
      <c r="O201" s="30"/>
      <c r="P201" s="37"/>
      <c r="Q201" s="33"/>
      <c r="R201" s="39"/>
      <c r="T201" s="59"/>
      <c r="U201" s="59"/>
    </row>
    <row r="202" spans="1:21" ht="32.450000000000003" customHeight="1">
      <c r="A202" s="56"/>
      <c r="B202" s="57"/>
      <c r="C202" s="66"/>
      <c r="D202" s="56"/>
      <c r="E202" s="56"/>
      <c r="F202" s="58"/>
      <c r="G202" s="15"/>
      <c r="H202" s="15"/>
      <c r="I202" s="25"/>
      <c r="J202" s="25"/>
      <c r="K202" s="96"/>
      <c r="L202" s="96"/>
      <c r="M202" s="16"/>
      <c r="N202" s="46"/>
      <c r="O202" s="30"/>
      <c r="P202" s="37"/>
      <c r="Q202" s="33"/>
      <c r="R202" s="39"/>
      <c r="T202" s="59"/>
      <c r="U202" s="59"/>
    </row>
    <row r="203" spans="1:21" ht="32.450000000000003" customHeight="1">
      <c r="A203" s="56"/>
      <c r="B203" s="57"/>
      <c r="C203" s="66"/>
      <c r="D203" s="56"/>
      <c r="E203" s="56"/>
      <c r="F203" s="58"/>
      <c r="G203" s="15"/>
      <c r="H203" s="15"/>
      <c r="I203" s="25"/>
      <c r="J203" s="25"/>
      <c r="K203" s="96"/>
      <c r="L203" s="96"/>
      <c r="M203" s="16"/>
      <c r="N203" s="46"/>
      <c r="O203" s="30"/>
      <c r="P203" s="37"/>
      <c r="Q203" s="33"/>
      <c r="R203" s="39"/>
      <c r="T203" s="59"/>
      <c r="U203" s="59"/>
    </row>
    <row r="204" spans="1:21" ht="32.450000000000003" customHeight="1">
      <c r="A204" s="56"/>
      <c r="B204" s="57"/>
      <c r="C204" s="66"/>
      <c r="D204" s="56"/>
      <c r="E204" s="56"/>
      <c r="F204" s="58"/>
      <c r="G204" s="15"/>
      <c r="H204" s="15"/>
      <c r="I204" s="25"/>
      <c r="J204" s="25"/>
      <c r="K204" s="96"/>
      <c r="L204" s="96"/>
      <c r="M204" s="16"/>
      <c r="N204" s="46"/>
      <c r="O204" s="30"/>
      <c r="P204" s="37"/>
      <c r="Q204" s="33"/>
      <c r="R204" s="39"/>
      <c r="T204" s="59"/>
      <c r="U204" s="59"/>
    </row>
    <row r="205" spans="1:21" ht="32.450000000000003" customHeight="1">
      <c r="A205" s="56"/>
      <c r="B205" s="57"/>
      <c r="C205" s="66"/>
      <c r="D205" s="56"/>
      <c r="E205" s="56"/>
      <c r="F205" s="58"/>
      <c r="G205" s="15"/>
      <c r="H205" s="15"/>
      <c r="I205" s="25"/>
      <c r="J205" s="25"/>
      <c r="K205" s="96"/>
      <c r="L205" s="96"/>
      <c r="M205" s="16"/>
      <c r="N205" s="46"/>
      <c r="O205" s="30"/>
      <c r="P205" s="37"/>
      <c r="Q205" s="33"/>
      <c r="R205" s="39"/>
      <c r="T205" s="59"/>
      <c r="U205" s="59"/>
    </row>
    <row r="206" spans="1:21" ht="32.450000000000003" customHeight="1">
      <c r="A206" s="56"/>
      <c r="B206" s="57"/>
      <c r="C206" s="66"/>
      <c r="D206" s="56"/>
      <c r="E206" s="56"/>
      <c r="F206" s="58"/>
      <c r="G206" s="15"/>
      <c r="H206" s="15"/>
      <c r="I206" s="25"/>
      <c r="J206" s="25"/>
      <c r="K206" s="96"/>
      <c r="L206" s="96"/>
      <c r="M206" s="16"/>
      <c r="N206" s="46"/>
      <c r="O206" s="30"/>
      <c r="P206" s="37"/>
      <c r="Q206" s="33"/>
      <c r="R206" s="39"/>
      <c r="T206" s="59"/>
      <c r="U206" s="59"/>
    </row>
    <row r="207" spans="1:21" ht="32.450000000000003" customHeight="1">
      <c r="A207" s="56"/>
      <c r="B207" s="57"/>
      <c r="C207" s="66"/>
      <c r="D207" s="56"/>
      <c r="E207" s="56"/>
      <c r="F207" s="58"/>
      <c r="G207" s="15"/>
      <c r="H207" s="15"/>
      <c r="I207" s="25"/>
      <c r="J207" s="25"/>
      <c r="K207" s="96"/>
      <c r="L207" s="96"/>
      <c r="M207" s="16"/>
      <c r="N207" s="46"/>
      <c r="O207" s="30"/>
      <c r="P207" s="37"/>
      <c r="Q207" s="33"/>
      <c r="R207" s="39"/>
      <c r="T207" s="59"/>
      <c r="U207" s="59"/>
    </row>
    <row r="208" spans="1:21" ht="32.450000000000003" customHeight="1">
      <c r="A208" s="56"/>
      <c r="B208" s="57"/>
      <c r="C208" s="66"/>
      <c r="D208" s="56"/>
      <c r="E208" s="56"/>
      <c r="F208" s="58"/>
      <c r="G208" s="15"/>
      <c r="H208" s="15"/>
      <c r="I208" s="25"/>
      <c r="J208" s="25"/>
      <c r="K208" s="96"/>
      <c r="L208" s="96"/>
      <c r="M208" s="16"/>
      <c r="N208" s="46"/>
      <c r="O208" s="30"/>
      <c r="P208" s="37"/>
      <c r="Q208" s="33"/>
      <c r="R208" s="39"/>
      <c r="T208" s="59"/>
      <c r="U208" s="59"/>
    </row>
    <row r="209" spans="1:21" ht="32.450000000000003" customHeight="1">
      <c r="A209" s="56"/>
      <c r="B209" s="57"/>
      <c r="C209" s="66"/>
      <c r="D209" s="56"/>
      <c r="E209" s="56"/>
      <c r="F209" s="58"/>
      <c r="G209" s="15"/>
      <c r="H209" s="15"/>
      <c r="I209" s="25"/>
      <c r="J209" s="25"/>
      <c r="K209" s="96"/>
      <c r="L209" s="96"/>
      <c r="M209" s="16"/>
      <c r="N209" s="46"/>
      <c r="O209" s="30"/>
      <c r="P209" s="37"/>
      <c r="Q209" s="33"/>
      <c r="R209" s="39"/>
      <c r="T209" s="59"/>
      <c r="U209" s="59"/>
    </row>
    <row r="210" spans="1:21" ht="32.450000000000003" customHeight="1">
      <c r="A210" s="56"/>
      <c r="B210" s="57"/>
      <c r="C210" s="66"/>
      <c r="D210" s="56"/>
      <c r="E210" s="56"/>
      <c r="F210" s="58"/>
      <c r="G210" s="15"/>
      <c r="H210" s="15"/>
      <c r="I210" s="25"/>
      <c r="J210" s="25"/>
      <c r="K210" s="96"/>
      <c r="L210" s="96"/>
      <c r="M210" s="16"/>
      <c r="N210" s="46"/>
      <c r="O210" s="30"/>
      <c r="P210" s="37"/>
      <c r="Q210" s="33"/>
      <c r="R210" s="39"/>
      <c r="T210" s="59"/>
      <c r="U210" s="59"/>
    </row>
    <row r="211" spans="1:21" ht="32.450000000000003" customHeight="1">
      <c r="A211" s="56"/>
      <c r="B211" s="57"/>
      <c r="C211" s="66"/>
      <c r="D211" s="56"/>
      <c r="E211" s="56"/>
      <c r="F211" s="58"/>
      <c r="G211" s="15"/>
      <c r="H211" s="15"/>
      <c r="I211" s="25"/>
      <c r="J211" s="25"/>
      <c r="K211" s="96"/>
      <c r="L211" s="96"/>
      <c r="M211" s="16"/>
      <c r="N211" s="46"/>
      <c r="O211" s="30"/>
      <c r="P211" s="37"/>
      <c r="Q211" s="33"/>
      <c r="R211" s="39"/>
      <c r="T211" s="59"/>
      <c r="U211" s="59"/>
    </row>
    <row r="212" spans="1:21" ht="32.450000000000003" customHeight="1">
      <c r="A212" s="56"/>
      <c r="B212" s="57"/>
      <c r="C212" s="66"/>
      <c r="D212" s="56"/>
      <c r="E212" s="56"/>
      <c r="F212" s="58"/>
      <c r="G212" s="15"/>
      <c r="H212" s="15"/>
      <c r="I212" s="25"/>
      <c r="J212" s="25"/>
      <c r="K212" s="96"/>
      <c r="L212" s="96"/>
      <c r="M212" s="16"/>
      <c r="N212" s="46"/>
      <c r="O212" s="30"/>
      <c r="P212" s="37"/>
      <c r="Q212" s="33"/>
      <c r="R212" s="39"/>
      <c r="T212" s="59"/>
      <c r="U212" s="59"/>
    </row>
    <row r="213" spans="1:21" ht="32.450000000000003" customHeight="1">
      <c r="A213" s="56"/>
      <c r="B213" s="57"/>
      <c r="C213" s="66"/>
      <c r="D213" s="56"/>
      <c r="E213" s="56"/>
      <c r="F213" s="58"/>
      <c r="G213" s="15"/>
      <c r="H213" s="15"/>
      <c r="I213" s="25"/>
      <c r="J213" s="25"/>
      <c r="K213" s="96"/>
      <c r="L213" s="96"/>
      <c r="M213" s="16"/>
      <c r="N213" s="46"/>
      <c r="O213" s="30"/>
      <c r="P213" s="37"/>
      <c r="Q213" s="33"/>
      <c r="R213" s="39"/>
      <c r="T213" s="59"/>
      <c r="U213" s="59"/>
    </row>
    <row r="214" spans="1:21" ht="32.450000000000003" customHeight="1">
      <c r="A214" s="56"/>
      <c r="B214" s="57"/>
      <c r="C214" s="66"/>
      <c r="D214" s="56"/>
      <c r="E214" s="56"/>
      <c r="F214" s="58"/>
      <c r="G214" s="15"/>
      <c r="H214" s="15"/>
      <c r="I214" s="25"/>
      <c r="J214" s="25"/>
      <c r="K214" s="96"/>
      <c r="L214" s="96"/>
      <c r="M214" s="16"/>
      <c r="N214" s="46"/>
      <c r="O214" s="30"/>
      <c r="P214" s="37"/>
      <c r="Q214" s="33"/>
      <c r="R214" s="39"/>
      <c r="T214" s="59"/>
      <c r="U214" s="59"/>
    </row>
    <row r="215" spans="1:21" ht="32.450000000000003" customHeight="1">
      <c r="A215" s="56"/>
      <c r="B215" s="57"/>
      <c r="C215" s="66"/>
      <c r="D215" s="56"/>
      <c r="E215" s="56"/>
      <c r="F215" s="58"/>
      <c r="G215" s="15"/>
      <c r="H215" s="15"/>
      <c r="I215" s="25"/>
      <c r="J215" s="25"/>
      <c r="K215" s="96"/>
      <c r="L215" s="96"/>
      <c r="M215" s="16"/>
      <c r="N215" s="46"/>
      <c r="O215" s="30"/>
      <c r="P215" s="37"/>
      <c r="Q215" s="33"/>
      <c r="R215" s="39"/>
      <c r="T215" s="59"/>
      <c r="U215" s="59"/>
    </row>
    <row r="216" spans="1:21" ht="32.450000000000003" customHeight="1">
      <c r="A216" s="56"/>
      <c r="B216" s="57"/>
      <c r="C216" s="66"/>
      <c r="D216" s="56"/>
      <c r="E216" s="56"/>
      <c r="F216" s="58"/>
      <c r="G216" s="15"/>
      <c r="H216" s="15"/>
      <c r="I216" s="25"/>
      <c r="J216" s="25"/>
      <c r="K216" s="96"/>
      <c r="L216" s="96"/>
      <c r="M216" s="16"/>
      <c r="N216" s="46"/>
      <c r="O216" s="30"/>
      <c r="P216" s="37"/>
      <c r="Q216" s="33"/>
      <c r="R216" s="39"/>
      <c r="T216" s="59"/>
      <c r="U216" s="59"/>
    </row>
    <row r="217" spans="1:21" ht="32.450000000000003" customHeight="1">
      <c r="A217" s="56"/>
      <c r="B217" s="57"/>
      <c r="C217" s="66"/>
      <c r="D217" s="56"/>
      <c r="E217" s="56"/>
      <c r="F217" s="58"/>
      <c r="G217" s="15"/>
      <c r="H217" s="15"/>
      <c r="I217" s="25"/>
      <c r="J217" s="25"/>
      <c r="K217" s="96"/>
      <c r="L217" s="96"/>
      <c r="M217" s="16"/>
      <c r="N217" s="46"/>
      <c r="O217" s="30"/>
      <c r="P217" s="37"/>
      <c r="Q217" s="33"/>
      <c r="R217" s="39"/>
      <c r="T217" s="59"/>
      <c r="U217" s="59"/>
    </row>
    <row r="218" spans="1:21" ht="32.450000000000003" customHeight="1">
      <c r="A218" s="56"/>
      <c r="B218" s="57"/>
      <c r="C218" s="66"/>
      <c r="D218" s="56"/>
      <c r="E218" s="56"/>
      <c r="F218" s="58"/>
      <c r="G218" s="15"/>
      <c r="H218" s="15"/>
      <c r="I218" s="25"/>
      <c r="J218" s="25"/>
      <c r="K218" s="96"/>
      <c r="L218" s="96"/>
      <c r="M218" s="16"/>
      <c r="N218" s="46"/>
      <c r="O218" s="30"/>
      <c r="P218" s="37"/>
      <c r="Q218" s="33"/>
      <c r="R218" s="39"/>
      <c r="T218" s="59"/>
      <c r="U218" s="59"/>
    </row>
    <row r="219" spans="1:21" ht="32.450000000000003" customHeight="1">
      <c r="A219" s="56"/>
      <c r="B219" s="57"/>
      <c r="C219" s="66"/>
      <c r="D219" s="56"/>
      <c r="E219" s="56"/>
      <c r="F219" s="58"/>
      <c r="G219" s="15"/>
      <c r="H219" s="15"/>
      <c r="I219" s="25"/>
      <c r="J219" s="25"/>
      <c r="K219" s="96"/>
      <c r="L219" s="96"/>
      <c r="M219" s="16"/>
      <c r="N219" s="46"/>
      <c r="O219" s="30"/>
      <c r="P219" s="37"/>
      <c r="Q219" s="33"/>
      <c r="R219" s="39"/>
      <c r="T219" s="59"/>
      <c r="U219" s="59"/>
    </row>
    <row r="220" spans="1:21" ht="32.450000000000003" customHeight="1">
      <c r="A220" s="56"/>
      <c r="B220" s="57"/>
      <c r="C220" s="66"/>
      <c r="D220" s="56"/>
      <c r="E220" s="56"/>
      <c r="F220" s="58"/>
      <c r="G220" s="15"/>
      <c r="H220" s="15"/>
      <c r="I220" s="25"/>
      <c r="J220" s="25"/>
      <c r="K220" s="96"/>
      <c r="L220" s="96"/>
      <c r="M220" s="16"/>
      <c r="N220" s="46"/>
      <c r="O220" s="30"/>
      <c r="P220" s="37"/>
      <c r="Q220" s="33"/>
      <c r="R220" s="39"/>
      <c r="T220" s="59"/>
      <c r="U220" s="59"/>
    </row>
    <row r="221" spans="1:21" ht="32.450000000000003" customHeight="1">
      <c r="A221" s="56"/>
      <c r="B221" s="57"/>
      <c r="C221" s="66"/>
      <c r="D221" s="56"/>
      <c r="E221" s="56"/>
      <c r="F221" s="58"/>
      <c r="G221" s="15"/>
      <c r="H221" s="15"/>
      <c r="I221" s="25"/>
      <c r="J221" s="25"/>
      <c r="K221" s="96"/>
      <c r="L221" s="96"/>
      <c r="M221" s="16"/>
      <c r="N221" s="46"/>
      <c r="O221" s="30"/>
      <c r="P221" s="37"/>
      <c r="Q221" s="33"/>
      <c r="R221" s="39"/>
      <c r="T221" s="59"/>
      <c r="U221" s="59"/>
    </row>
    <row r="222" spans="1:21" ht="32.450000000000003" customHeight="1">
      <c r="A222" s="56"/>
      <c r="B222" s="57"/>
      <c r="C222" s="66"/>
      <c r="D222" s="56"/>
      <c r="E222" s="56"/>
      <c r="F222" s="58"/>
      <c r="G222" s="15"/>
      <c r="H222" s="15"/>
      <c r="I222" s="25"/>
      <c r="J222" s="25"/>
      <c r="K222" s="96"/>
      <c r="L222" s="96"/>
      <c r="M222" s="16"/>
      <c r="N222" s="46"/>
      <c r="O222" s="30"/>
      <c r="P222" s="37"/>
      <c r="Q222" s="33"/>
      <c r="R222" s="39"/>
      <c r="T222" s="59"/>
      <c r="U222" s="59"/>
    </row>
    <row r="223" spans="1:21" ht="32.450000000000003" customHeight="1">
      <c r="A223" s="56"/>
      <c r="B223" s="57"/>
      <c r="C223" s="66"/>
      <c r="D223" s="56"/>
      <c r="E223" s="56"/>
      <c r="F223" s="58"/>
      <c r="G223" s="15"/>
      <c r="H223" s="15"/>
      <c r="I223" s="25"/>
      <c r="J223" s="25"/>
      <c r="K223" s="96"/>
      <c r="L223" s="96"/>
      <c r="M223" s="16"/>
      <c r="N223" s="46"/>
      <c r="O223" s="30"/>
      <c r="P223" s="37"/>
      <c r="Q223" s="33"/>
      <c r="R223" s="39"/>
      <c r="T223" s="59"/>
      <c r="U223" s="59"/>
    </row>
    <row r="224" spans="1:21" ht="32.450000000000003" customHeight="1">
      <c r="A224" s="56"/>
      <c r="B224" s="57"/>
      <c r="C224" s="66"/>
      <c r="D224" s="56"/>
      <c r="E224" s="56"/>
      <c r="F224" s="58"/>
      <c r="G224" s="15"/>
      <c r="H224" s="15"/>
      <c r="I224" s="25"/>
      <c r="J224" s="25"/>
      <c r="K224" s="96"/>
      <c r="L224" s="96"/>
      <c r="M224" s="16"/>
      <c r="N224" s="46"/>
      <c r="O224" s="30"/>
      <c r="P224" s="37"/>
      <c r="Q224" s="33"/>
      <c r="R224" s="39"/>
      <c r="T224" s="59"/>
      <c r="U224" s="59"/>
    </row>
    <row r="225" spans="1:21" ht="32.450000000000003" customHeight="1">
      <c r="A225" s="56"/>
      <c r="B225" s="57"/>
      <c r="C225" s="66"/>
      <c r="D225" s="56"/>
      <c r="E225" s="56"/>
      <c r="F225" s="58"/>
      <c r="G225" s="15"/>
      <c r="H225" s="15"/>
      <c r="I225" s="25"/>
      <c r="J225" s="25"/>
      <c r="K225" s="96"/>
      <c r="L225" s="96"/>
      <c r="M225" s="16"/>
      <c r="N225" s="46"/>
      <c r="O225" s="30"/>
      <c r="P225" s="37"/>
      <c r="Q225" s="33"/>
      <c r="R225" s="39"/>
      <c r="T225" s="59"/>
      <c r="U225" s="59"/>
    </row>
    <row r="226" spans="1:21" ht="32.450000000000003" customHeight="1">
      <c r="A226" s="56"/>
      <c r="B226" s="57"/>
      <c r="C226" s="66"/>
      <c r="D226" s="56"/>
      <c r="E226" s="56"/>
      <c r="F226" s="58"/>
      <c r="G226" s="15"/>
      <c r="H226" s="15"/>
      <c r="I226" s="25"/>
      <c r="J226" s="25"/>
      <c r="K226" s="96"/>
      <c r="L226" s="96"/>
      <c r="M226" s="16"/>
      <c r="N226" s="46"/>
      <c r="O226" s="30"/>
      <c r="P226" s="37"/>
      <c r="Q226" s="33"/>
      <c r="R226" s="39"/>
      <c r="T226" s="59"/>
      <c r="U226" s="59"/>
    </row>
    <row r="227" spans="1:21" ht="32.450000000000003" customHeight="1">
      <c r="A227" s="56"/>
      <c r="B227" s="57"/>
      <c r="C227" s="66"/>
      <c r="D227" s="56"/>
      <c r="E227" s="56"/>
      <c r="F227" s="58"/>
      <c r="G227" s="15"/>
      <c r="H227" s="15"/>
      <c r="I227" s="25"/>
      <c r="J227" s="25"/>
      <c r="K227" s="96"/>
      <c r="L227" s="96"/>
      <c r="M227" s="16"/>
      <c r="N227" s="46"/>
      <c r="O227" s="30"/>
      <c r="P227" s="37"/>
      <c r="Q227" s="33"/>
      <c r="R227" s="39"/>
      <c r="T227" s="59"/>
      <c r="U227" s="59"/>
    </row>
    <row r="228" spans="1:21" ht="32.450000000000003" customHeight="1">
      <c r="A228" s="56"/>
      <c r="B228" s="57"/>
      <c r="C228" s="66"/>
      <c r="D228" s="56"/>
      <c r="E228" s="56"/>
      <c r="F228" s="58"/>
      <c r="G228" s="15"/>
      <c r="H228" s="15"/>
      <c r="I228" s="25"/>
      <c r="J228" s="25"/>
      <c r="K228" s="96"/>
      <c r="L228" s="96"/>
      <c r="M228" s="16"/>
      <c r="N228" s="46"/>
      <c r="O228" s="30"/>
      <c r="P228" s="37"/>
      <c r="Q228" s="33"/>
      <c r="R228" s="39"/>
      <c r="T228" s="59"/>
      <c r="U228" s="59"/>
    </row>
    <row r="229" spans="1:21" ht="32.450000000000003" customHeight="1">
      <c r="A229" s="56"/>
      <c r="B229" s="57"/>
      <c r="C229" s="66"/>
      <c r="D229" s="56"/>
      <c r="E229" s="56"/>
      <c r="F229" s="58"/>
      <c r="G229" s="15"/>
      <c r="H229" s="15"/>
      <c r="I229" s="25"/>
      <c r="J229" s="25"/>
      <c r="K229" s="96"/>
      <c r="L229" s="96"/>
      <c r="M229" s="16"/>
      <c r="N229" s="46"/>
      <c r="O229" s="30"/>
      <c r="P229" s="37"/>
      <c r="Q229" s="33"/>
      <c r="R229" s="39"/>
      <c r="T229" s="59"/>
      <c r="U229" s="59"/>
    </row>
    <row r="230" spans="1:21" ht="32.450000000000003" customHeight="1">
      <c r="A230" s="56"/>
      <c r="B230" s="57"/>
      <c r="C230" s="66"/>
      <c r="D230" s="56"/>
      <c r="E230" s="56"/>
      <c r="F230" s="58"/>
      <c r="G230" s="15"/>
      <c r="H230" s="15"/>
      <c r="I230" s="25"/>
      <c r="J230" s="25"/>
      <c r="K230" s="96"/>
      <c r="L230" s="96"/>
      <c r="M230" s="16"/>
      <c r="N230" s="46"/>
      <c r="O230" s="30"/>
      <c r="P230" s="37"/>
      <c r="Q230" s="33"/>
      <c r="R230" s="39"/>
      <c r="T230" s="59"/>
      <c r="U230" s="59"/>
    </row>
    <row r="231" spans="1:21" ht="32.450000000000003" customHeight="1">
      <c r="A231" s="56"/>
      <c r="B231" s="57"/>
      <c r="C231" s="66"/>
      <c r="D231" s="56"/>
      <c r="E231" s="56"/>
      <c r="F231" s="58"/>
      <c r="G231" s="15"/>
      <c r="H231" s="15"/>
      <c r="I231" s="25"/>
      <c r="J231" s="25"/>
      <c r="K231" s="96"/>
      <c r="L231" s="96"/>
      <c r="M231" s="16"/>
      <c r="N231" s="46"/>
      <c r="O231" s="30"/>
      <c r="P231" s="37"/>
      <c r="Q231" s="33"/>
      <c r="R231" s="39"/>
      <c r="T231" s="59"/>
      <c r="U231" s="59"/>
    </row>
    <row r="232" spans="1:21" ht="32.450000000000003" customHeight="1">
      <c r="A232" s="56"/>
      <c r="B232" s="57"/>
      <c r="C232" s="66"/>
      <c r="D232" s="56"/>
      <c r="E232" s="56"/>
      <c r="F232" s="58"/>
      <c r="G232" s="15"/>
      <c r="H232" s="15"/>
      <c r="I232" s="25"/>
      <c r="J232" s="25"/>
      <c r="K232" s="96"/>
      <c r="L232" s="96"/>
      <c r="M232" s="16"/>
      <c r="N232" s="46"/>
      <c r="O232" s="30"/>
      <c r="P232" s="37"/>
      <c r="Q232" s="33"/>
      <c r="R232" s="39"/>
      <c r="T232" s="59"/>
      <c r="U232" s="59"/>
    </row>
    <row r="233" spans="1:21" ht="32.450000000000003" customHeight="1">
      <c r="A233" s="56"/>
      <c r="B233" s="57"/>
      <c r="C233" s="66"/>
      <c r="D233" s="56"/>
      <c r="E233" s="56"/>
      <c r="F233" s="58"/>
      <c r="G233" s="15"/>
      <c r="H233" s="15"/>
      <c r="I233" s="25"/>
      <c r="J233" s="25"/>
      <c r="K233" s="96"/>
      <c r="L233" s="96"/>
      <c r="M233" s="16"/>
      <c r="N233" s="46"/>
      <c r="O233" s="30"/>
      <c r="P233" s="37"/>
      <c r="Q233" s="33"/>
      <c r="R233" s="39"/>
      <c r="T233" s="59"/>
      <c r="U233" s="59"/>
    </row>
    <row r="234" spans="1:21" ht="32.450000000000003" customHeight="1">
      <c r="A234" s="56"/>
      <c r="B234" s="57"/>
      <c r="C234" s="66"/>
      <c r="D234" s="56"/>
      <c r="E234" s="56"/>
      <c r="F234" s="58"/>
      <c r="G234" s="15"/>
      <c r="H234" s="15"/>
      <c r="I234" s="25"/>
      <c r="J234" s="25"/>
      <c r="K234" s="96"/>
      <c r="L234" s="96"/>
      <c r="M234" s="16"/>
      <c r="N234" s="46"/>
      <c r="O234" s="30"/>
      <c r="P234" s="37"/>
      <c r="Q234" s="33"/>
      <c r="R234" s="39"/>
      <c r="T234" s="59"/>
      <c r="U234" s="59"/>
    </row>
    <row r="235" spans="1:21" ht="32.450000000000003" customHeight="1">
      <c r="A235" s="56"/>
      <c r="B235" s="57"/>
      <c r="C235" s="66"/>
      <c r="D235" s="56"/>
      <c r="E235" s="56"/>
      <c r="F235" s="58"/>
      <c r="G235" s="15"/>
      <c r="H235" s="15"/>
      <c r="I235" s="25"/>
      <c r="J235" s="25"/>
      <c r="K235" s="96"/>
      <c r="L235" s="96"/>
      <c r="M235" s="16"/>
      <c r="N235" s="46"/>
      <c r="O235" s="30"/>
      <c r="P235" s="37"/>
      <c r="Q235" s="33"/>
      <c r="R235" s="39"/>
      <c r="T235" s="59"/>
      <c r="U235" s="59"/>
    </row>
    <row r="236" spans="1:21" ht="32.450000000000003" customHeight="1">
      <c r="A236" s="56"/>
      <c r="B236" s="57"/>
      <c r="C236" s="66"/>
      <c r="D236" s="56"/>
      <c r="E236" s="56"/>
      <c r="F236" s="58"/>
      <c r="G236" s="15"/>
      <c r="H236" s="15"/>
      <c r="I236" s="25"/>
      <c r="J236" s="25"/>
      <c r="K236" s="96"/>
      <c r="L236" s="96"/>
      <c r="M236" s="16"/>
      <c r="N236" s="46"/>
      <c r="O236" s="30"/>
      <c r="P236" s="37"/>
      <c r="Q236" s="33"/>
      <c r="R236" s="39"/>
      <c r="T236" s="59"/>
      <c r="U236" s="59"/>
    </row>
    <row r="237" spans="1:21" ht="32.450000000000003" customHeight="1">
      <c r="A237" s="56"/>
      <c r="B237" s="57"/>
      <c r="C237" s="66"/>
      <c r="D237" s="56"/>
      <c r="E237" s="56"/>
      <c r="F237" s="58"/>
      <c r="G237" s="15"/>
      <c r="H237" s="15"/>
      <c r="I237" s="25"/>
      <c r="J237" s="25"/>
      <c r="K237" s="96"/>
      <c r="L237" s="96"/>
      <c r="M237" s="16"/>
      <c r="N237" s="46"/>
      <c r="O237" s="30"/>
      <c r="P237" s="37"/>
      <c r="Q237" s="33"/>
      <c r="R237" s="39"/>
      <c r="T237" s="59"/>
      <c r="U237" s="59"/>
    </row>
    <row r="238" spans="1:21" ht="32.450000000000003" customHeight="1">
      <c r="A238" s="56"/>
      <c r="B238" s="57"/>
      <c r="C238" s="66"/>
      <c r="D238" s="56"/>
      <c r="E238" s="56"/>
      <c r="F238" s="58"/>
      <c r="G238" s="15"/>
      <c r="H238" s="15"/>
      <c r="I238" s="25"/>
      <c r="J238" s="25"/>
      <c r="K238" s="96"/>
      <c r="L238" s="96"/>
      <c r="M238" s="16"/>
      <c r="N238" s="46"/>
      <c r="O238" s="30"/>
      <c r="P238" s="37"/>
      <c r="Q238" s="33"/>
      <c r="R238" s="39"/>
      <c r="T238" s="59"/>
      <c r="U238" s="59"/>
    </row>
    <row r="239" spans="1:21" ht="32.450000000000003" customHeight="1">
      <c r="A239" s="56"/>
      <c r="B239" s="57"/>
      <c r="C239" s="66"/>
      <c r="D239" s="56"/>
      <c r="E239" s="56"/>
      <c r="F239" s="58"/>
      <c r="G239" s="15"/>
      <c r="H239" s="15"/>
      <c r="I239" s="25"/>
      <c r="J239" s="25"/>
      <c r="K239" s="96"/>
      <c r="L239" s="96"/>
      <c r="M239" s="16"/>
      <c r="N239" s="46"/>
      <c r="O239" s="30"/>
      <c r="P239" s="37"/>
      <c r="Q239" s="33"/>
      <c r="R239" s="39"/>
      <c r="T239" s="59"/>
      <c r="U239" s="59"/>
    </row>
    <row r="240" spans="1:21" ht="32.450000000000003" customHeight="1">
      <c r="A240" s="56"/>
      <c r="B240" s="57"/>
      <c r="C240" s="66"/>
      <c r="D240" s="56"/>
      <c r="E240" s="56"/>
      <c r="F240" s="58"/>
      <c r="G240" s="15"/>
      <c r="H240" s="15"/>
      <c r="I240" s="25"/>
      <c r="J240" s="25"/>
      <c r="K240" s="96"/>
      <c r="L240" s="96"/>
      <c r="M240" s="16"/>
      <c r="N240" s="46"/>
      <c r="O240" s="30"/>
      <c r="P240" s="37"/>
      <c r="Q240" s="33"/>
      <c r="R240" s="39"/>
      <c r="T240" s="59"/>
      <c r="U240" s="59"/>
    </row>
    <row r="241" spans="1:21" ht="32.450000000000003" customHeight="1">
      <c r="A241" s="56"/>
      <c r="B241" s="57"/>
      <c r="C241" s="66"/>
      <c r="D241" s="56"/>
      <c r="E241" s="56"/>
      <c r="F241" s="58"/>
      <c r="G241" s="15"/>
      <c r="H241" s="15"/>
      <c r="I241" s="25"/>
      <c r="J241" s="25"/>
      <c r="K241" s="96"/>
      <c r="L241" s="96"/>
      <c r="M241" s="16"/>
      <c r="N241" s="46"/>
      <c r="O241" s="30"/>
      <c r="P241" s="37"/>
      <c r="Q241" s="33"/>
      <c r="R241" s="39"/>
      <c r="T241" s="59"/>
      <c r="U241" s="59"/>
    </row>
    <row r="242" spans="1:21" ht="32.450000000000003" customHeight="1">
      <c r="A242" s="56"/>
      <c r="B242" s="57"/>
      <c r="C242" s="66"/>
      <c r="D242" s="56"/>
      <c r="E242" s="56"/>
      <c r="F242" s="58"/>
      <c r="G242" s="15"/>
      <c r="H242" s="15"/>
      <c r="I242" s="25"/>
      <c r="J242" s="25"/>
      <c r="K242" s="96"/>
      <c r="L242" s="96"/>
      <c r="M242" s="16"/>
      <c r="N242" s="46"/>
      <c r="O242" s="30"/>
      <c r="P242" s="37"/>
      <c r="Q242" s="33"/>
      <c r="R242" s="39"/>
      <c r="T242" s="59"/>
      <c r="U242" s="59"/>
    </row>
    <row r="243" spans="1:21" ht="32.450000000000003" customHeight="1">
      <c r="A243" s="56"/>
      <c r="B243" s="57"/>
      <c r="C243" s="66"/>
      <c r="D243" s="56"/>
      <c r="E243" s="56"/>
      <c r="F243" s="58"/>
      <c r="G243" s="15"/>
      <c r="H243" s="15"/>
      <c r="I243" s="25"/>
      <c r="J243" s="25"/>
      <c r="K243" s="96"/>
      <c r="L243" s="96"/>
      <c r="M243" s="16"/>
      <c r="N243" s="46"/>
      <c r="O243" s="30"/>
      <c r="P243" s="37"/>
      <c r="Q243" s="33"/>
      <c r="R243" s="39"/>
      <c r="T243" s="59"/>
      <c r="U243" s="59"/>
    </row>
    <row r="244" spans="1:21" ht="32.450000000000003" customHeight="1">
      <c r="A244" s="56"/>
      <c r="B244" s="57"/>
      <c r="C244" s="66"/>
      <c r="D244" s="56"/>
      <c r="E244" s="56"/>
      <c r="F244" s="58"/>
      <c r="G244" s="15"/>
      <c r="H244" s="15"/>
      <c r="I244" s="25"/>
      <c r="J244" s="25"/>
      <c r="K244" s="96"/>
      <c r="L244" s="96"/>
      <c r="M244" s="16"/>
      <c r="N244" s="46"/>
      <c r="O244" s="30"/>
      <c r="P244" s="37"/>
      <c r="Q244" s="33"/>
      <c r="R244" s="39"/>
      <c r="T244" s="59"/>
      <c r="U244" s="59"/>
    </row>
    <row r="245" spans="1:21" ht="32.450000000000003" customHeight="1">
      <c r="A245" s="56"/>
      <c r="B245" s="57"/>
      <c r="C245" s="66"/>
      <c r="D245" s="56"/>
      <c r="E245" s="56"/>
      <c r="F245" s="58"/>
      <c r="G245" s="15"/>
      <c r="H245" s="15"/>
      <c r="I245" s="25"/>
      <c r="J245" s="25"/>
      <c r="K245" s="96"/>
      <c r="L245" s="96"/>
      <c r="M245" s="16"/>
      <c r="N245" s="46"/>
      <c r="O245" s="30"/>
      <c r="P245" s="37"/>
      <c r="Q245" s="33"/>
      <c r="R245" s="39"/>
      <c r="T245" s="59"/>
      <c r="U245" s="59"/>
    </row>
    <row r="246" spans="1:21" ht="32.450000000000003" customHeight="1">
      <c r="A246" s="56"/>
      <c r="B246" s="57"/>
      <c r="C246" s="66"/>
      <c r="D246" s="56"/>
      <c r="E246" s="56"/>
      <c r="F246" s="58"/>
      <c r="G246" s="15"/>
      <c r="H246" s="15"/>
      <c r="I246" s="25"/>
      <c r="J246" s="25"/>
      <c r="K246" s="96"/>
      <c r="L246" s="96"/>
      <c r="M246" s="16"/>
      <c r="N246" s="46"/>
      <c r="O246" s="30"/>
      <c r="P246" s="37"/>
      <c r="Q246" s="33"/>
      <c r="R246" s="39"/>
      <c r="T246" s="59"/>
      <c r="U246" s="59"/>
    </row>
    <row r="247" spans="1:21" ht="32.450000000000003" customHeight="1">
      <c r="A247" s="56"/>
      <c r="B247" s="57"/>
      <c r="C247" s="66"/>
      <c r="D247" s="56"/>
      <c r="E247" s="56"/>
      <c r="F247" s="58"/>
      <c r="G247" s="15"/>
      <c r="H247" s="15"/>
      <c r="I247" s="25"/>
      <c r="J247" s="25"/>
      <c r="K247" s="96"/>
      <c r="L247" s="96"/>
      <c r="M247" s="16"/>
      <c r="N247" s="46"/>
      <c r="O247" s="30"/>
      <c r="P247" s="37"/>
      <c r="Q247" s="33"/>
      <c r="R247" s="39"/>
      <c r="T247" s="59"/>
      <c r="U247" s="59"/>
    </row>
    <row r="248" spans="1:21" ht="32.450000000000003" customHeight="1">
      <c r="A248" s="56"/>
      <c r="B248" s="57"/>
      <c r="C248" s="66"/>
      <c r="D248" s="56"/>
      <c r="E248" s="56"/>
      <c r="F248" s="58"/>
      <c r="G248" s="15"/>
      <c r="H248" s="15"/>
      <c r="I248" s="25"/>
      <c r="J248" s="25"/>
      <c r="K248" s="96"/>
      <c r="L248" s="96"/>
      <c r="M248" s="16"/>
      <c r="N248" s="46"/>
      <c r="O248" s="30"/>
      <c r="P248" s="37"/>
      <c r="Q248" s="33"/>
      <c r="R248" s="39"/>
      <c r="T248" s="59"/>
      <c r="U248" s="59"/>
    </row>
    <row r="249" spans="1:21" ht="32.450000000000003" customHeight="1">
      <c r="A249" s="56"/>
      <c r="B249" s="57"/>
      <c r="C249" s="66"/>
      <c r="D249" s="56"/>
      <c r="E249" s="56"/>
      <c r="F249" s="58"/>
      <c r="G249" s="15"/>
      <c r="H249" s="15"/>
      <c r="I249" s="25"/>
      <c r="J249" s="25"/>
      <c r="K249" s="96"/>
      <c r="L249" s="96"/>
      <c r="M249" s="16"/>
      <c r="N249" s="46"/>
      <c r="O249" s="30"/>
      <c r="P249" s="37"/>
      <c r="Q249" s="33"/>
      <c r="R249" s="39"/>
      <c r="T249" s="59"/>
      <c r="U249" s="59"/>
    </row>
    <row r="250" spans="1:21" ht="32.450000000000003" customHeight="1">
      <c r="A250" s="56"/>
      <c r="B250" s="57"/>
      <c r="C250" s="66"/>
      <c r="D250" s="56"/>
      <c r="E250" s="56"/>
      <c r="F250" s="58"/>
      <c r="G250" s="15"/>
      <c r="H250" s="15"/>
      <c r="I250" s="25"/>
      <c r="J250" s="25"/>
      <c r="K250" s="96"/>
      <c r="L250" s="96"/>
      <c r="M250" s="16"/>
      <c r="N250" s="46"/>
      <c r="O250" s="30"/>
      <c r="P250" s="37"/>
      <c r="Q250" s="33"/>
      <c r="R250" s="39"/>
      <c r="T250" s="59"/>
      <c r="U250" s="59"/>
    </row>
    <row r="251" spans="1:21" ht="32.450000000000003" customHeight="1">
      <c r="A251" s="56"/>
      <c r="B251" s="57"/>
      <c r="C251" s="66"/>
      <c r="D251" s="56"/>
      <c r="E251" s="56"/>
      <c r="F251" s="58"/>
      <c r="G251" s="15"/>
      <c r="H251" s="15"/>
      <c r="I251" s="25"/>
      <c r="J251" s="25"/>
      <c r="K251" s="96"/>
      <c r="L251" s="96"/>
      <c r="M251" s="16"/>
      <c r="N251" s="46"/>
      <c r="O251" s="30"/>
      <c r="P251" s="37"/>
      <c r="Q251" s="33"/>
      <c r="R251" s="39"/>
      <c r="T251" s="59"/>
      <c r="U251" s="59"/>
    </row>
    <row r="252" spans="1:21" ht="32.450000000000003" customHeight="1">
      <c r="A252" s="56"/>
      <c r="B252" s="57"/>
      <c r="C252" s="66"/>
      <c r="D252" s="56"/>
      <c r="E252" s="56"/>
      <c r="F252" s="58"/>
      <c r="G252" s="15"/>
      <c r="H252" s="15"/>
      <c r="I252" s="25"/>
      <c r="J252" s="25"/>
      <c r="K252" s="96"/>
      <c r="L252" s="96"/>
      <c r="M252" s="16"/>
      <c r="N252" s="46"/>
      <c r="O252" s="30"/>
      <c r="P252" s="37"/>
      <c r="Q252" s="33"/>
      <c r="R252" s="39"/>
      <c r="T252" s="59"/>
      <c r="U252" s="59"/>
    </row>
    <row r="253" spans="1:21" ht="32.450000000000003" customHeight="1">
      <c r="A253" s="56"/>
      <c r="B253" s="57"/>
      <c r="C253" s="66"/>
      <c r="D253" s="56"/>
      <c r="E253" s="56"/>
      <c r="F253" s="58"/>
      <c r="G253" s="15"/>
      <c r="H253" s="15"/>
      <c r="I253" s="25"/>
      <c r="J253" s="25"/>
      <c r="K253" s="96"/>
      <c r="L253" s="96"/>
      <c r="M253" s="16"/>
      <c r="N253" s="46"/>
      <c r="O253" s="30"/>
      <c r="P253" s="37"/>
      <c r="Q253" s="33"/>
      <c r="R253" s="39"/>
      <c r="T253" s="59"/>
      <c r="U253" s="59"/>
    </row>
    <row r="254" spans="1:21" ht="32.450000000000003" customHeight="1">
      <c r="A254" s="56"/>
      <c r="B254" s="57"/>
      <c r="C254" s="66"/>
      <c r="D254" s="56"/>
      <c r="E254" s="56"/>
      <c r="F254" s="58"/>
      <c r="G254" s="15"/>
      <c r="H254" s="15"/>
      <c r="I254" s="25"/>
      <c r="J254" s="25"/>
      <c r="K254" s="96"/>
      <c r="L254" s="96"/>
      <c r="M254" s="16"/>
      <c r="N254" s="46"/>
      <c r="O254" s="30"/>
      <c r="P254" s="37"/>
      <c r="Q254" s="33"/>
      <c r="R254" s="39"/>
      <c r="T254" s="59"/>
      <c r="U254" s="59"/>
    </row>
    <row r="255" spans="1:21" ht="32.450000000000003" customHeight="1">
      <c r="A255" s="56"/>
      <c r="B255" s="57"/>
      <c r="C255" s="66"/>
      <c r="D255" s="56"/>
      <c r="E255" s="56"/>
      <c r="F255" s="58"/>
      <c r="G255" s="15"/>
      <c r="H255" s="15"/>
      <c r="I255" s="25"/>
      <c r="J255" s="25"/>
      <c r="K255" s="96"/>
      <c r="L255" s="96"/>
      <c r="M255" s="16"/>
      <c r="N255" s="46"/>
      <c r="O255" s="30"/>
      <c r="P255" s="37"/>
      <c r="Q255" s="33"/>
      <c r="R255" s="39"/>
      <c r="T255" s="59"/>
      <c r="U255" s="59"/>
    </row>
    <row r="256" spans="1:21" ht="32.450000000000003" customHeight="1">
      <c r="A256" s="56"/>
      <c r="B256" s="57"/>
      <c r="C256" s="66"/>
      <c r="D256" s="56"/>
      <c r="E256" s="56"/>
      <c r="F256" s="58"/>
      <c r="G256" s="15"/>
      <c r="H256" s="15"/>
      <c r="I256" s="25"/>
      <c r="J256" s="25"/>
      <c r="K256" s="96"/>
      <c r="L256" s="96"/>
      <c r="M256" s="16"/>
      <c r="N256" s="46"/>
      <c r="O256" s="30"/>
      <c r="P256" s="37"/>
      <c r="Q256" s="33"/>
      <c r="R256" s="39"/>
      <c r="T256" s="59"/>
      <c r="U256" s="59"/>
    </row>
    <row r="257" spans="1:21" ht="32.450000000000003" customHeight="1">
      <c r="A257" s="56"/>
      <c r="B257" s="57"/>
      <c r="F257" s="58"/>
      <c r="G257" s="15"/>
      <c r="H257" s="15"/>
      <c r="I257" s="25"/>
      <c r="J257" s="25"/>
      <c r="K257" s="96"/>
      <c r="L257" s="96"/>
      <c r="M257" s="16"/>
      <c r="N257" s="46"/>
      <c r="O257" s="30"/>
      <c r="P257" s="37"/>
      <c r="Q257" s="33"/>
      <c r="R257" s="39"/>
      <c r="T257" s="59"/>
      <c r="U257" s="59"/>
    </row>
    <row r="258" spans="1:21" ht="32.450000000000003" customHeight="1">
      <c r="A258" s="56"/>
      <c r="B258" s="57"/>
      <c r="F258" s="58"/>
      <c r="G258" s="15"/>
      <c r="H258" s="15"/>
      <c r="I258" s="25"/>
      <c r="J258" s="25"/>
      <c r="K258" s="96"/>
      <c r="L258" s="96"/>
      <c r="M258" s="16"/>
      <c r="N258" s="46"/>
      <c r="O258" s="30"/>
      <c r="P258" s="37"/>
      <c r="Q258" s="33"/>
      <c r="R258" s="39"/>
      <c r="T258" s="59"/>
      <c r="U258" s="59"/>
    </row>
    <row r="259" spans="1:21" ht="32.450000000000003" customHeight="1">
      <c r="A259" s="56"/>
      <c r="B259" s="57"/>
      <c r="F259" s="58"/>
      <c r="G259" s="15"/>
      <c r="H259" s="15"/>
      <c r="I259" s="25"/>
      <c r="J259" s="25"/>
      <c r="K259" s="96"/>
      <c r="L259" s="96"/>
      <c r="M259" s="16"/>
      <c r="N259" s="46"/>
      <c r="O259" s="30"/>
      <c r="P259" s="37"/>
      <c r="Q259" s="33"/>
      <c r="R259" s="39"/>
      <c r="T259" s="59"/>
      <c r="U259" s="59"/>
    </row>
    <row r="260" spans="1:21" ht="32.450000000000003" customHeight="1">
      <c r="A260" s="56"/>
      <c r="B260" s="57"/>
      <c r="F260" s="58"/>
      <c r="G260" s="15"/>
      <c r="H260" s="15"/>
      <c r="I260" s="25"/>
      <c r="J260" s="25"/>
      <c r="K260" s="96"/>
      <c r="L260" s="96"/>
      <c r="M260" s="16"/>
      <c r="N260" s="46"/>
      <c r="O260" s="30"/>
      <c r="P260" s="37"/>
      <c r="Q260" s="33"/>
      <c r="R260" s="39"/>
      <c r="T260" s="59"/>
      <c r="U260" s="59"/>
    </row>
    <row r="261" spans="1:21" ht="32.450000000000003" customHeight="1">
      <c r="A261" s="56"/>
      <c r="B261" s="57"/>
      <c r="F261" s="58"/>
      <c r="G261" s="15"/>
      <c r="H261" s="15"/>
      <c r="I261" s="25"/>
      <c r="J261" s="25"/>
      <c r="K261" s="96"/>
      <c r="L261" s="96"/>
      <c r="M261" s="16"/>
      <c r="N261" s="46"/>
      <c r="O261" s="30"/>
      <c r="P261" s="37"/>
      <c r="Q261" s="33"/>
      <c r="R261" s="39"/>
      <c r="T261" s="59"/>
      <c r="U261" s="59"/>
    </row>
    <row r="262" spans="1:21" ht="32.450000000000003" customHeight="1">
      <c r="A262" s="56"/>
      <c r="B262" s="57"/>
      <c r="F262" s="58"/>
      <c r="G262" s="15"/>
      <c r="H262" s="15"/>
      <c r="I262" s="25"/>
      <c r="J262" s="25"/>
      <c r="K262" s="96"/>
      <c r="L262" s="96"/>
      <c r="M262" s="16"/>
      <c r="N262" s="46"/>
      <c r="O262" s="30"/>
      <c r="P262" s="37"/>
      <c r="Q262" s="33"/>
      <c r="R262" s="39"/>
      <c r="T262" s="59"/>
      <c r="U262" s="59"/>
    </row>
    <row r="263" spans="1:21" ht="32.450000000000003" customHeight="1">
      <c r="A263" s="56"/>
      <c r="B263" s="57"/>
      <c r="F263" s="58"/>
      <c r="G263" s="15"/>
      <c r="H263" s="15"/>
      <c r="I263" s="25"/>
      <c r="J263" s="25"/>
      <c r="K263" s="96"/>
      <c r="L263" s="96"/>
      <c r="M263" s="16"/>
      <c r="N263" s="46"/>
      <c r="O263" s="30"/>
      <c r="P263" s="37"/>
      <c r="Q263" s="33"/>
      <c r="R263" s="39"/>
      <c r="T263" s="59"/>
      <c r="U263" s="59"/>
    </row>
    <row r="264" spans="1:21" ht="32.450000000000003" customHeight="1">
      <c r="A264" s="56"/>
      <c r="B264" s="57"/>
      <c r="F264" s="58"/>
      <c r="G264" s="15"/>
      <c r="H264" s="15"/>
      <c r="I264" s="25"/>
      <c r="J264" s="25"/>
      <c r="K264" s="96"/>
      <c r="L264" s="96"/>
      <c r="M264" s="16"/>
      <c r="N264" s="46"/>
      <c r="O264" s="30"/>
      <c r="P264" s="37"/>
      <c r="Q264" s="33"/>
      <c r="R264" s="39"/>
      <c r="T264" s="59"/>
      <c r="U264" s="59"/>
    </row>
    <row r="265" spans="1:21" ht="32.450000000000003" customHeight="1">
      <c r="A265" s="56"/>
      <c r="B265" s="57"/>
      <c r="F265" s="58"/>
      <c r="G265" s="15"/>
      <c r="H265" s="15"/>
      <c r="I265" s="25"/>
      <c r="J265" s="25"/>
      <c r="K265" s="96"/>
      <c r="L265" s="96"/>
      <c r="M265" s="16"/>
      <c r="N265" s="46"/>
      <c r="O265" s="30"/>
      <c r="P265" s="37"/>
      <c r="Q265" s="33"/>
      <c r="R265" s="39"/>
      <c r="T265" s="59"/>
      <c r="U265" s="59"/>
    </row>
    <row r="266" spans="1:21" ht="32.450000000000003" customHeight="1">
      <c r="A266" s="56"/>
      <c r="B266" s="57"/>
      <c r="F266" s="58"/>
      <c r="G266" s="15"/>
      <c r="H266" s="15"/>
      <c r="I266" s="25"/>
      <c r="J266" s="25"/>
      <c r="K266" s="96"/>
      <c r="L266" s="96"/>
      <c r="M266" s="16"/>
      <c r="N266" s="46"/>
      <c r="O266" s="30"/>
      <c r="P266" s="37"/>
      <c r="Q266" s="33"/>
      <c r="R266" s="39"/>
      <c r="T266" s="59"/>
      <c r="U266" s="59"/>
    </row>
    <row r="267" spans="1:21" ht="32.450000000000003" customHeight="1">
      <c r="A267" s="56"/>
      <c r="B267" s="57"/>
      <c r="F267" s="58"/>
      <c r="G267" s="15"/>
      <c r="H267" s="15"/>
      <c r="I267" s="25"/>
      <c r="J267" s="25"/>
      <c r="K267" s="96"/>
      <c r="L267" s="96"/>
      <c r="M267" s="16"/>
      <c r="N267" s="46"/>
      <c r="O267" s="30"/>
      <c r="P267" s="37"/>
      <c r="Q267" s="33"/>
      <c r="R267" s="39"/>
      <c r="T267" s="59"/>
      <c r="U267" s="59"/>
    </row>
    <row r="268" spans="1:21" ht="32.450000000000003" customHeight="1">
      <c r="A268" s="56"/>
      <c r="B268" s="57"/>
      <c r="F268" s="58"/>
      <c r="G268" s="15"/>
      <c r="H268" s="15"/>
      <c r="I268" s="25"/>
      <c r="J268" s="25"/>
      <c r="K268" s="96"/>
      <c r="L268" s="96"/>
      <c r="M268" s="16"/>
      <c r="N268" s="46"/>
      <c r="O268" s="30"/>
      <c r="P268" s="37"/>
      <c r="Q268" s="33"/>
      <c r="R268" s="39"/>
      <c r="T268" s="59"/>
      <c r="U268" s="59"/>
    </row>
    <row r="269" spans="1:21" ht="32.450000000000003" customHeight="1">
      <c r="A269" s="56"/>
      <c r="B269" s="57"/>
      <c r="F269" s="58"/>
      <c r="G269" s="15"/>
      <c r="H269" s="15"/>
      <c r="I269" s="25"/>
      <c r="J269" s="25"/>
      <c r="K269" s="96"/>
      <c r="L269" s="96"/>
      <c r="M269" s="16"/>
      <c r="N269" s="46"/>
      <c r="O269" s="30"/>
      <c r="P269" s="37"/>
      <c r="Q269" s="33"/>
      <c r="R269" s="39"/>
      <c r="T269" s="59"/>
      <c r="U269" s="59"/>
    </row>
    <row r="270" spans="1:21" ht="32.450000000000003" customHeight="1">
      <c r="A270" s="56"/>
      <c r="B270" s="57"/>
      <c r="F270" s="58"/>
      <c r="G270" s="15"/>
      <c r="H270" s="15"/>
      <c r="I270" s="25"/>
      <c r="J270" s="25"/>
      <c r="K270" s="96"/>
      <c r="L270" s="96"/>
      <c r="M270" s="16"/>
      <c r="N270" s="46"/>
      <c r="O270" s="30"/>
      <c r="P270" s="37"/>
      <c r="Q270" s="33"/>
      <c r="R270" s="39"/>
      <c r="T270" s="59"/>
      <c r="U270" s="59"/>
    </row>
    <row r="271" spans="1:21" ht="32.450000000000003" customHeight="1">
      <c r="A271" s="56"/>
      <c r="B271" s="57"/>
      <c r="F271" s="58"/>
      <c r="G271" s="15"/>
      <c r="H271" s="15"/>
      <c r="I271" s="25"/>
      <c r="J271" s="25"/>
      <c r="K271" s="96"/>
      <c r="L271" s="96"/>
      <c r="M271" s="16"/>
      <c r="N271" s="46"/>
      <c r="O271" s="30"/>
      <c r="P271" s="37"/>
      <c r="Q271" s="33"/>
      <c r="R271" s="39"/>
      <c r="T271" s="59"/>
      <c r="U271" s="59"/>
    </row>
    <row r="272" spans="1:21" ht="32.450000000000003" customHeight="1">
      <c r="A272" s="56"/>
      <c r="B272" s="57"/>
      <c r="F272" s="58"/>
      <c r="G272" s="15"/>
      <c r="H272" s="15"/>
      <c r="I272" s="25"/>
      <c r="J272" s="25"/>
      <c r="K272" s="96"/>
      <c r="L272" s="96"/>
      <c r="M272" s="16"/>
      <c r="N272" s="46"/>
      <c r="O272" s="30"/>
      <c r="P272" s="37"/>
      <c r="Q272" s="33"/>
      <c r="R272" s="39"/>
      <c r="T272" s="59"/>
      <c r="U272" s="59"/>
    </row>
    <row r="273" spans="1:21" ht="32.450000000000003" customHeight="1">
      <c r="A273" s="56"/>
      <c r="B273" s="57"/>
      <c r="F273" s="58"/>
      <c r="G273" s="15"/>
      <c r="H273" s="15"/>
      <c r="I273" s="25"/>
      <c r="J273" s="25"/>
      <c r="K273" s="96"/>
      <c r="L273" s="96"/>
      <c r="M273" s="16"/>
      <c r="N273" s="46"/>
      <c r="O273" s="30"/>
      <c r="P273" s="37"/>
      <c r="Q273" s="33"/>
      <c r="R273" s="39"/>
      <c r="T273" s="59"/>
      <c r="U273" s="59"/>
    </row>
    <row r="274" spans="1:21" ht="32.450000000000003" customHeight="1">
      <c r="A274" s="56"/>
      <c r="B274" s="57"/>
      <c r="F274" s="58"/>
      <c r="G274" s="15"/>
      <c r="H274" s="15"/>
      <c r="I274" s="25"/>
      <c r="J274" s="25"/>
      <c r="K274" s="96"/>
      <c r="L274" s="96"/>
      <c r="M274" s="16"/>
      <c r="N274" s="46"/>
      <c r="O274" s="30"/>
      <c r="P274" s="37"/>
      <c r="Q274" s="33"/>
      <c r="R274" s="39"/>
      <c r="T274" s="59"/>
      <c r="U274" s="59"/>
    </row>
    <row r="275" spans="1:21" ht="32.450000000000003" customHeight="1">
      <c r="A275" s="56"/>
      <c r="B275" s="57"/>
      <c r="F275" s="58"/>
      <c r="G275" s="15"/>
      <c r="H275" s="15"/>
      <c r="I275" s="25"/>
      <c r="J275" s="25"/>
      <c r="K275" s="96"/>
      <c r="L275" s="96"/>
      <c r="M275" s="16"/>
      <c r="N275" s="46"/>
      <c r="O275" s="30"/>
      <c r="P275" s="37"/>
      <c r="Q275" s="33"/>
      <c r="R275" s="39"/>
      <c r="T275" s="59"/>
      <c r="U275" s="59"/>
    </row>
    <row r="276" spans="1:21" ht="32.450000000000003" customHeight="1">
      <c r="A276" s="56"/>
      <c r="B276" s="57"/>
      <c r="F276" s="58"/>
      <c r="G276" s="15"/>
      <c r="H276" s="15"/>
      <c r="I276" s="25"/>
      <c r="J276" s="25"/>
      <c r="K276" s="96"/>
      <c r="L276" s="96"/>
      <c r="M276" s="16"/>
      <c r="N276" s="46"/>
      <c r="O276" s="30"/>
      <c r="P276" s="37"/>
      <c r="Q276" s="33"/>
      <c r="R276" s="39"/>
      <c r="T276" s="59"/>
      <c r="U276" s="59"/>
    </row>
    <row r="277" spans="1:21" ht="32.450000000000003" customHeight="1">
      <c r="A277" s="56"/>
      <c r="B277" s="57"/>
      <c r="F277" s="58"/>
      <c r="G277" s="15"/>
      <c r="H277" s="15"/>
      <c r="I277" s="25"/>
      <c r="J277" s="25"/>
      <c r="K277" s="96"/>
      <c r="L277" s="96"/>
      <c r="M277" s="16"/>
      <c r="N277" s="46"/>
      <c r="O277" s="30"/>
      <c r="P277" s="37"/>
      <c r="Q277" s="33"/>
      <c r="R277" s="39"/>
      <c r="T277" s="59"/>
      <c r="U277" s="59"/>
    </row>
    <row r="278" spans="1:21" ht="32.450000000000003" customHeight="1">
      <c r="A278" s="56"/>
      <c r="B278" s="57"/>
      <c r="F278" s="58"/>
      <c r="G278" s="15"/>
      <c r="H278" s="15"/>
      <c r="I278" s="25"/>
      <c r="J278" s="25"/>
      <c r="K278" s="96"/>
      <c r="L278" s="96"/>
      <c r="M278" s="16"/>
      <c r="N278" s="46"/>
      <c r="O278" s="30"/>
      <c r="P278" s="37"/>
      <c r="Q278" s="33"/>
      <c r="R278" s="39"/>
      <c r="T278" s="59"/>
      <c r="U278" s="59"/>
    </row>
    <row r="279" spans="1:21" ht="32.450000000000003" customHeight="1">
      <c r="A279" s="56"/>
      <c r="B279" s="57"/>
      <c r="F279" s="58"/>
      <c r="G279" s="15"/>
      <c r="H279" s="15"/>
      <c r="I279" s="25"/>
      <c r="J279" s="25"/>
      <c r="K279" s="96"/>
      <c r="L279" s="96"/>
      <c r="M279" s="16"/>
      <c r="N279" s="46"/>
      <c r="O279" s="30"/>
      <c r="P279" s="37"/>
      <c r="Q279" s="33"/>
      <c r="R279" s="39"/>
      <c r="T279" s="59"/>
      <c r="U279" s="59"/>
    </row>
    <row r="280" spans="1:21" ht="32.450000000000003" customHeight="1">
      <c r="A280" s="56"/>
      <c r="B280" s="57"/>
      <c r="F280" s="58"/>
      <c r="G280" s="15"/>
      <c r="H280" s="15"/>
      <c r="I280" s="25"/>
      <c r="J280" s="25"/>
      <c r="K280" s="96"/>
      <c r="L280" s="96"/>
      <c r="M280" s="16"/>
      <c r="N280" s="46"/>
      <c r="O280" s="30"/>
      <c r="P280" s="37"/>
      <c r="Q280" s="33"/>
      <c r="R280" s="39"/>
      <c r="T280" s="59"/>
      <c r="U280" s="59"/>
    </row>
    <row r="281" spans="1:21" ht="32.450000000000003" customHeight="1">
      <c r="A281" s="56"/>
      <c r="B281" s="57"/>
      <c r="F281" s="58"/>
      <c r="G281" s="15"/>
      <c r="H281" s="15"/>
      <c r="I281" s="25"/>
      <c r="J281" s="25"/>
      <c r="K281" s="96"/>
      <c r="L281" s="96"/>
      <c r="M281" s="16"/>
      <c r="N281" s="46"/>
      <c r="O281" s="30"/>
      <c r="P281" s="37"/>
      <c r="Q281" s="33"/>
      <c r="R281" s="39"/>
      <c r="T281" s="59"/>
      <c r="U281" s="59"/>
    </row>
    <row r="282" spans="1:21" ht="32.450000000000003" customHeight="1">
      <c r="A282" s="56"/>
      <c r="B282" s="57"/>
      <c r="F282" s="58"/>
      <c r="G282" s="15"/>
      <c r="H282" s="15"/>
      <c r="I282" s="25"/>
      <c r="J282" s="25"/>
      <c r="K282" s="96"/>
      <c r="L282" s="96"/>
      <c r="M282" s="16"/>
      <c r="N282" s="46"/>
      <c r="O282" s="30"/>
      <c r="P282" s="37"/>
      <c r="Q282" s="33"/>
      <c r="R282" s="39"/>
      <c r="T282" s="59"/>
      <c r="U282" s="59"/>
    </row>
    <row r="283" spans="1:21" ht="32.450000000000003" customHeight="1">
      <c r="A283" s="56"/>
      <c r="B283" s="57"/>
      <c r="F283" s="58"/>
      <c r="G283" s="15"/>
      <c r="H283" s="15"/>
      <c r="I283" s="25"/>
      <c r="J283" s="25"/>
      <c r="K283" s="96"/>
      <c r="L283" s="96"/>
      <c r="M283" s="16"/>
      <c r="N283" s="46"/>
      <c r="O283" s="30"/>
      <c r="P283" s="37"/>
      <c r="Q283" s="33"/>
      <c r="R283" s="39"/>
      <c r="T283" s="59"/>
      <c r="U283" s="59"/>
    </row>
    <row r="284" spans="1:21" ht="32.450000000000003" customHeight="1">
      <c r="A284" s="56"/>
      <c r="B284" s="57"/>
      <c r="F284" s="58"/>
      <c r="G284" s="15"/>
      <c r="H284" s="15"/>
      <c r="I284" s="25"/>
      <c r="J284" s="25"/>
      <c r="K284" s="96"/>
      <c r="L284" s="96"/>
      <c r="M284" s="16"/>
      <c r="N284" s="46"/>
      <c r="O284" s="30"/>
      <c r="P284" s="37"/>
      <c r="Q284" s="33"/>
      <c r="R284" s="39"/>
      <c r="T284" s="59"/>
      <c r="U284" s="59"/>
    </row>
    <row r="285" spans="1:21" ht="32.450000000000003" customHeight="1">
      <c r="A285" s="56"/>
      <c r="B285" s="57"/>
      <c r="F285" s="58"/>
      <c r="G285" s="15"/>
      <c r="H285" s="15"/>
      <c r="I285" s="25"/>
      <c r="J285" s="25"/>
      <c r="K285" s="96"/>
      <c r="L285" s="96"/>
      <c r="M285" s="16"/>
      <c r="N285" s="46"/>
      <c r="O285" s="30"/>
      <c r="P285" s="37"/>
      <c r="Q285" s="33"/>
      <c r="R285" s="39"/>
      <c r="T285" s="59"/>
      <c r="U285" s="59"/>
    </row>
    <row r="286" spans="1:21" ht="32.450000000000003" customHeight="1">
      <c r="A286" s="56"/>
      <c r="B286" s="57"/>
      <c r="F286" s="58"/>
      <c r="G286" s="15"/>
      <c r="H286" s="15"/>
      <c r="I286" s="25"/>
      <c r="J286" s="25"/>
      <c r="K286" s="96"/>
      <c r="L286" s="96"/>
      <c r="M286" s="16"/>
      <c r="N286" s="46"/>
      <c r="O286" s="30"/>
      <c r="P286" s="37"/>
      <c r="Q286" s="33"/>
      <c r="R286" s="39"/>
      <c r="T286" s="59"/>
      <c r="U286" s="59"/>
    </row>
    <row r="287" spans="1:21" ht="32.450000000000003" customHeight="1">
      <c r="A287" s="56"/>
      <c r="B287" s="57"/>
      <c r="F287" s="58"/>
      <c r="G287" s="15"/>
      <c r="H287" s="15"/>
      <c r="I287" s="25"/>
      <c r="J287" s="25"/>
      <c r="K287" s="96"/>
      <c r="L287" s="96"/>
      <c r="M287" s="16"/>
      <c r="N287" s="46"/>
      <c r="O287" s="30"/>
      <c r="P287" s="37"/>
      <c r="Q287" s="33"/>
      <c r="R287" s="39"/>
      <c r="T287" s="59"/>
      <c r="U287" s="59"/>
    </row>
    <row r="288" spans="1:21" ht="32.450000000000003" customHeight="1">
      <c r="A288" s="56"/>
      <c r="B288" s="57"/>
      <c r="F288" s="58"/>
      <c r="G288" s="15"/>
      <c r="H288" s="15"/>
      <c r="I288" s="25"/>
      <c r="J288" s="25"/>
      <c r="K288" s="96"/>
      <c r="L288" s="96"/>
      <c r="M288" s="16"/>
      <c r="N288" s="46"/>
      <c r="O288" s="30"/>
      <c r="P288" s="37"/>
      <c r="Q288" s="33"/>
      <c r="R288" s="39"/>
      <c r="T288" s="59"/>
      <c r="U288" s="59"/>
    </row>
    <row r="289" spans="1:21" ht="32.450000000000003" customHeight="1">
      <c r="A289" s="56"/>
      <c r="B289" s="57"/>
      <c r="F289" s="58"/>
      <c r="G289" s="15"/>
      <c r="H289" s="15"/>
      <c r="I289" s="25"/>
      <c r="J289" s="25"/>
      <c r="K289" s="96"/>
      <c r="L289" s="96"/>
      <c r="M289" s="16"/>
      <c r="N289" s="46"/>
      <c r="O289" s="30"/>
      <c r="P289" s="37"/>
      <c r="Q289" s="33"/>
      <c r="R289" s="39"/>
      <c r="T289" s="59"/>
      <c r="U289" s="59"/>
    </row>
    <row r="290" spans="1:21" ht="32.450000000000003" customHeight="1">
      <c r="A290" s="56"/>
      <c r="B290" s="57"/>
      <c r="F290" s="58"/>
      <c r="G290" s="15"/>
      <c r="H290" s="15"/>
      <c r="I290" s="25"/>
      <c r="J290" s="25"/>
      <c r="K290" s="96"/>
      <c r="L290" s="96"/>
      <c r="M290" s="16"/>
      <c r="N290" s="46"/>
      <c r="O290" s="30"/>
      <c r="P290" s="37"/>
      <c r="Q290" s="33"/>
      <c r="R290" s="39"/>
      <c r="T290" s="59"/>
      <c r="U290" s="59"/>
    </row>
    <row r="291" spans="1:21" ht="32.450000000000003" customHeight="1">
      <c r="A291" s="56"/>
      <c r="B291" s="57"/>
      <c r="F291" s="58"/>
      <c r="G291" s="15"/>
      <c r="H291" s="15"/>
      <c r="I291" s="25"/>
      <c r="J291" s="25"/>
      <c r="K291" s="96"/>
      <c r="L291" s="96"/>
      <c r="M291" s="16"/>
      <c r="N291" s="46"/>
      <c r="O291" s="30"/>
      <c r="P291" s="37"/>
      <c r="Q291" s="33"/>
      <c r="R291" s="39"/>
      <c r="T291" s="59"/>
      <c r="U291" s="59"/>
    </row>
    <row r="292" spans="1:21" ht="32.450000000000003" customHeight="1">
      <c r="A292" s="56"/>
      <c r="B292" s="57"/>
      <c r="F292" s="58"/>
      <c r="G292" s="15"/>
      <c r="H292" s="15"/>
      <c r="I292" s="25"/>
      <c r="J292" s="25"/>
      <c r="K292" s="96"/>
      <c r="L292" s="96"/>
      <c r="M292" s="16"/>
      <c r="N292" s="46"/>
      <c r="O292" s="30"/>
      <c r="P292" s="37"/>
      <c r="Q292" s="33"/>
      <c r="R292" s="39"/>
      <c r="T292" s="59"/>
      <c r="U292" s="59"/>
    </row>
    <row r="293" spans="1:21" ht="32.450000000000003" customHeight="1">
      <c r="G293" s="15"/>
      <c r="H293" s="15"/>
      <c r="I293" s="25"/>
      <c r="J293" s="25"/>
      <c r="K293" s="96"/>
      <c r="L293" s="96"/>
      <c r="M293" s="16"/>
      <c r="N293" s="46"/>
      <c r="O293" s="30"/>
      <c r="P293" s="37"/>
      <c r="Q293" s="33"/>
      <c r="R293" s="39"/>
    </row>
    <row r="294" spans="1:21" ht="15"/>
    <row r="295" spans="1:21" ht="15"/>
    <row r="296" spans="1:21" ht="15"/>
    <row r="297" spans="1:21" ht="15"/>
    <row r="298" spans="1:21" ht="15"/>
    <row r="299" spans="1:21" ht="15"/>
    <row r="300" spans="1:21" ht="15"/>
    <row r="301" spans="1:21" ht="15"/>
    <row r="302" spans="1:21" ht="15"/>
    <row r="303" spans="1:21" ht="15"/>
    <row r="304" spans="1:21" ht="15"/>
    <row r="305" ht="15"/>
    <row r="306" ht="15"/>
    <row r="307" ht="15"/>
    <row r="308" ht="15"/>
    <row r="309" ht="15"/>
    <row r="310" ht="15"/>
    <row r="311" ht="15"/>
    <row r="312" ht="15"/>
    <row r="313" ht="15"/>
    <row r="314" ht="15"/>
    <row r="315" ht="15"/>
    <row r="316" ht="15"/>
    <row r="317" ht="15"/>
    <row r="318" ht="15"/>
    <row r="319" ht="15"/>
    <row r="320" ht="15"/>
    <row r="321" ht="15"/>
    <row r="322" ht="15"/>
    <row r="323" ht="15"/>
    <row r="324" ht="15"/>
    <row r="325" ht="15"/>
    <row r="326" ht="15"/>
    <row r="327" ht="15"/>
    <row r="328" ht="15"/>
    <row r="329" ht="15"/>
    <row r="330" ht="15"/>
    <row r="331" ht="15"/>
    <row r="332" ht="15"/>
    <row r="333" ht="15"/>
    <row r="334" ht="15"/>
    <row r="335" ht="15"/>
    <row r="336" ht="15"/>
    <row r="337" ht="15"/>
    <row r="338" ht="15"/>
  </sheetData>
  <mergeCells count="237">
    <mergeCell ref="C83:C87"/>
    <mergeCell ref="C3:C7"/>
    <mergeCell ref="C8:C12"/>
    <mergeCell ref="C13:C17"/>
    <mergeCell ref="C18:C22"/>
    <mergeCell ref="C23:C27"/>
    <mergeCell ref="A88:A92"/>
    <mergeCell ref="B88:B92"/>
    <mergeCell ref="P88:P92"/>
    <mergeCell ref="A63:A67"/>
    <mergeCell ref="B63:B67"/>
    <mergeCell ref="P63:P67"/>
    <mergeCell ref="A68:A72"/>
    <mergeCell ref="B68:B72"/>
    <mergeCell ref="P68:P72"/>
    <mergeCell ref="A38:A42"/>
    <mergeCell ref="B38:B42"/>
    <mergeCell ref="C33:C37"/>
    <mergeCell ref="C38:C42"/>
    <mergeCell ref="A23:A27"/>
    <mergeCell ref="B23:B27"/>
    <mergeCell ref="P23:P27"/>
    <mergeCell ref="R88:R92"/>
    <mergeCell ref="A33:A37"/>
    <mergeCell ref="B33:B37"/>
    <mergeCell ref="P33:P37"/>
    <mergeCell ref="R33:R37"/>
    <mergeCell ref="A3:A7"/>
    <mergeCell ref="B3:B7"/>
    <mergeCell ref="A8:A12"/>
    <mergeCell ref="B8:B12"/>
    <mergeCell ref="A13:A17"/>
    <mergeCell ref="A43:A47"/>
    <mergeCell ref="B43:B47"/>
    <mergeCell ref="A48:A52"/>
    <mergeCell ref="B48:B52"/>
    <mergeCell ref="B13:B17"/>
    <mergeCell ref="A18:A22"/>
    <mergeCell ref="B18:B22"/>
    <mergeCell ref="A53:A57"/>
    <mergeCell ref="B53:B57"/>
    <mergeCell ref="P53:P57"/>
    <mergeCell ref="R53:R57"/>
    <mergeCell ref="A58:A62"/>
    <mergeCell ref="B58:B62"/>
    <mergeCell ref="P58:P62"/>
    <mergeCell ref="T23:T27"/>
    <mergeCell ref="A28:A32"/>
    <mergeCell ref="B28:B32"/>
    <mergeCell ref="P28:P32"/>
    <mergeCell ref="R28:R32"/>
    <mergeCell ref="T28:T32"/>
    <mergeCell ref="C28:C32"/>
    <mergeCell ref="T88:T92"/>
    <mergeCell ref="A93:A97"/>
    <mergeCell ref="B93:B97"/>
    <mergeCell ref="P93:P97"/>
    <mergeCell ref="R93:R97"/>
    <mergeCell ref="T93:T97"/>
    <mergeCell ref="A83:A87"/>
    <mergeCell ref="B83:B87"/>
    <mergeCell ref="P83:P87"/>
    <mergeCell ref="R83:R87"/>
    <mergeCell ref="T83:T87"/>
    <mergeCell ref="C88:C92"/>
    <mergeCell ref="C93:C97"/>
    <mergeCell ref="C43:C47"/>
    <mergeCell ref="C48:C52"/>
    <mergeCell ref="C53:C57"/>
    <mergeCell ref="C58:C62"/>
    <mergeCell ref="A1:A2"/>
    <mergeCell ref="B1:B2"/>
    <mergeCell ref="D1:D2"/>
    <mergeCell ref="F1:F2"/>
    <mergeCell ref="G1:H1"/>
    <mergeCell ref="M1:R1"/>
    <mergeCell ref="O2:P2"/>
    <mergeCell ref="Q2:R2"/>
    <mergeCell ref="I1:J1"/>
    <mergeCell ref="K1:L1"/>
    <mergeCell ref="Z1:Z2"/>
    <mergeCell ref="AA1:AA2"/>
    <mergeCell ref="P3:P7"/>
    <mergeCell ref="R3:R7"/>
    <mergeCell ref="T3:T7"/>
    <mergeCell ref="P8:P12"/>
    <mergeCell ref="R8:R12"/>
    <mergeCell ref="T8:T12"/>
    <mergeCell ref="P43:P47"/>
    <mergeCell ref="R43:R47"/>
    <mergeCell ref="T43:T47"/>
    <mergeCell ref="P13:P17"/>
    <mergeCell ref="R13:R17"/>
    <mergeCell ref="T13:T17"/>
    <mergeCell ref="P18:P22"/>
    <mergeCell ref="R18:R22"/>
    <mergeCell ref="T18:T22"/>
    <mergeCell ref="Y1:Y2"/>
    <mergeCell ref="W1:W2"/>
    <mergeCell ref="T1:T2"/>
    <mergeCell ref="T33:T37"/>
    <mergeCell ref="P38:P42"/>
    <mergeCell ref="R38:R42"/>
    <mergeCell ref="T38:T42"/>
    <mergeCell ref="R23:R27"/>
    <mergeCell ref="C63:C67"/>
    <mergeCell ref="A73:A77"/>
    <mergeCell ref="B73:B77"/>
    <mergeCell ref="P73:P77"/>
    <mergeCell ref="R73:R77"/>
    <mergeCell ref="A78:A82"/>
    <mergeCell ref="B78:B82"/>
    <mergeCell ref="C68:C72"/>
    <mergeCell ref="C73:C77"/>
    <mergeCell ref="C78:C82"/>
    <mergeCell ref="T48:T52"/>
    <mergeCell ref="T53:T57"/>
    <mergeCell ref="R58:R62"/>
    <mergeCell ref="T58:T62"/>
    <mergeCell ref="T63:T67"/>
    <mergeCell ref="T68:T72"/>
    <mergeCell ref="T73:T77"/>
    <mergeCell ref="P78:P82"/>
    <mergeCell ref="R78:R82"/>
    <mergeCell ref="T78:T82"/>
    <mergeCell ref="P48:P52"/>
    <mergeCell ref="R48:R52"/>
    <mergeCell ref="R68:R72"/>
    <mergeCell ref="R63:R67"/>
    <mergeCell ref="A98:A102"/>
    <mergeCell ref="B98:B102"/>
    <mergeCell ref="P98:P102"/>
    <mergeCell ref="R98:R102"/>
    <mergeCell ref="T98:T102"/>
    <mergeCell ref="A103:A107"/>
    <mergeCell ref="B103:B107"/>
    <mergeCell ref="P103:P107"/>
    <mergeCell ref="R103:R107"/>
    <mergeCell ref="T103:T107"/>
    <mergeCell ref="C98:C102"/>
    <mergeCell ref="C103:C107"/>
    <mergeCell ref="A108:A112"/>
    <mergeCell ref="B108:B112"/>
    <mergeCell ref="P108:P112"/>
    <mergeCell ref="R108:R112"/>
    <mergeCell ref="T108:T112"/>
    <mergeCell ref="A113:A117"/>
    <mergeCell ref="B113:B117"/>
    <mergeCell ref="P113:P117"/>
    <mergeCell ref="R113:R117"/>
    <mergeCell ref="T113:T117"/>
    <mergeCell ref="C108:C112"/>
    <mergeCell ref="C113:C117"/>
    <mergeCell ref="A118:A122"/>
    <mergeCell ref="B118:B122"/>
    <mergeCell ref="P118:P122"/>
    <mergeCell ref="R118:R122"/>
    <mergeCell ref="T118:T122"/>
    <mergeCell ref="A123:A127"/>
    <mergeCell ref="B123:B127"/>
    <mergeCell ref="P123:P127"/>
    <mergeCell ref="R123:R127"/>
    <mergeCell ref="T123:T127"/>
    <mergeCell ref="C118:C122"/>
    <mergeCell ref="C123:C127"/>
    <mergeCell ref="A128:A132"/>
    <mergeCell ref="B128:B132"/>
    <mergeCell ref="P128:P132"/>
    <mergeCell ref="R128:R132"/>
    <mergeCell ref="T128:T132"/>
    <mergeCell ref="A133:A137"/>
    <mergeCell ref="B133:B137"/>
    <mergeCell ref="P133:P137"/>
    <mergeCell ref="R133:R137"/>
    <mergeCell ref="T133:T137"/>
    <mergeCell ref="C128:C132"/>
    <mergeCell ref="C133:C137"/>
    <mergeCell ref="A138:A142"/>
    <mergeCell ref="B138:B142"/>
    <mergeCell ref="P138:P142"/>
    <mergeCell ref="R138:R142"/>
    <mergeCell ref="T138:T142"/>
    <mergeCell ref="A143:A147"/>
    <mergeCell ref="B143:B147"/>
    <mergeCell ref="P143:P147"/>
    <mergeCell ref="R143:R147"/>
    <mergeCell ref="T143:T147"/>
    <mergeCell ref="C138:C142"/>
    <mergeCell ref="C143:C147"/>
    <mergeCell ref="A148:A152"/>
    <mergeCell ref="B148:B152"/>
    <mergeCell ref="P148:P152"/>
    <mergeCell ref="R148:R152"/>
    <mergeCell ref="T148:T152"/>
    <mergeCell ref="A153:A157"/>
    <mergeCell ref="B153:B157"/>
    <mergeCell ref="P153:P157"/>
    <mergeCell ref="R153:R157"/>
    <mergeCell ref="T153:T157"/>
    <mergeCell ref="C148:C152"/>
    <mergeCell ref="C153:C157"/>
    <mergeCell ref="A158:A162"/>
    <mergeCell ref="B158:B162"/>
    <mergeCell ref="P158:P162"/>
    <mergeCell ref="R158:R162"/>
    <mergeCell ref="T158:T162"/>
    <mergeCell ref="A163:A167"/>
    <mergeCell ref="B163:B167"/>
    <mergeCell ref="P163:P167"/>
    <mergeCell ref="R163:R167"/>
    <mergeCell ref="T163:T167"/>
    <mergeCell ref="C158:C162"/>
    <mergeCell ref="C163:C167"/>
    <mergeCell ref="A168:A172"/>
    <mergeCell ref="B168:B172"/>
    <mergeCell ref="P168:P172"/>
    <mergeCell ref="R168:R172"/>
    <mergeCell ref="T168:T172"/>
    <mergeCell ref="A173:A177"/>
    <mergeCell ref="B173:B177"/>
    <mergeCell ref="P173:P177"/>
    <mergeCell ref="R173:R177"/>
    <mergeCell ref="T173:T177"/>
    <mergeCell ref="C168:C172"/>
    <mergeCell ref="C173:C177"/>
    <mergeCell ref="A178:A182"/>
    <mergeCell ref="B178:B182"/>
    <mergeCell ref="P178:P182"/>
    <mergeCell ref="R178:R182"/>
    <mergeCell ref="T178:T182"/>
    <mergeCell ref="A183:A187"/>
    <mergeCell ref="B183:B187"/>
    <mergeCell ref="P183:P187"/>
    <mergeCell ref="R183:R187"/>
    <mergeCell ref="T183:T187"/>
    <mergeCell ref="C178:C182"/>
    <mergeCell ref="C183:C187"/>
  </mergeCells>
  <phoneticPr fontId="18" type="noConversion"/>
  <pageMargins left="0.7" right="0.7" top="0.75" bottom="0.75" header="0.3" footer="0.3"/>
  <pageSetup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เวิร์กชีต</vt:lpstr>
      </vt:variant>
      <vt:variant>
        <vt:i4>1</vt:i4>
      </vt:variant>
    </vt:vector>
  </HeadingPairs>
  <TitlesOfParts>
    <vt:vector size="1" baseType="lpstr">
      <vt:lpstr>from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Kantphich Chanamnuaychok</dc:creator>
  <cp:lastModifiedBy>Patchaya Worahan</cp:lastModifiedBy>
  <cp:lastPrinted>2023-06-01T10:29:24Z</cp:lastPrinted>
  <dcterms:created xsi:type="dcterms:W3CDTF">2021-07-11T17:28:22Z</dcterms:created>
  <dcterms:modified xsi:type="dcterms:W3CDTF">2023-12-22T03:23:48Z</dcterms:modified>
</cp:coreProperties>
</file>